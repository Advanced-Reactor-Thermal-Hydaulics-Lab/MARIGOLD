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TRSL\python_modules\MARIGOLD\examples\example_sheets\"/>
    </mc:Choice>
  </mc:AlternateContent>
  <xr:revisionPtr revIDLastSave="0" documentId="13_ncr:1_{BF91A011-C770-44FE-9F84-AF61947129B8}" xr6:coauthVersionLast="47" xr6:coauthVersionMax="47" xr10:uidLastSave="{00000000-0000-0000-0000-000000000000}"/>
  <bookViews>
    <workbookView xWindow="25080" yWindow="-120" windowWidth="25440" windowHeight="15390" tabRatio="768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14" i="76" l="1"/>
  <c r="CO14" i="76"/>
  <c r="CM9" i="76"/>
  <c r="CO9" i="76" s="1"/>
  <c r="CN10" i="76"/>
  <c r="CO10" i="76"/>
  <c r="CN11" i="76"/>
  <c r="CO11" i="76"/>
  <c r="CN12" i="76"/>
  <c r="CO12" i="76"/>
  <c r="CN13" i="76"/>
  <c r="CO13" i="76"/>
  <c r="CN15" i="76"/>
  <c r="CO15" i="76"/>
  <c r="CN16" i="76"/>
  <c r="CO16" i="76"/>
  <c r="CN17" i="76"/>
  <c r="CO17" i="76"/>
  <c r="CN18" i="76"/>
  <c r="CO18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CN9" i="76" l="1"/>
  <c r="CN29" i="76" s="1"/>
  <c r="AR240" i="76" s="1"/>
  <c r="AR239" i="76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F5" i="72"/>
  <c r="C1" i="76" s="1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N17" i="72"/>
  <c r="O17" i="72" s="1"/>
  <c r="L17" i="72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<sst xmlns="http://schemas.openxmlformats.org/spreadsheetml/2006/main" count="1597" uniqueCount="313">
  <si>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</si>
  <si>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</si>
  <si>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</si>
  <si>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</si>
  <si>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</si>
  <si>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</si>
  <si>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</si>
  <si>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</si>
  <si>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</si>
  <si>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</si>
  <si>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</si>
  <si>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</si>
  <si>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</si>
  <si>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</si>
  <si>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</si>
  <si>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</si>
  <si>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</si>
  <si>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</si>
  <si>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</si>
  <si>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</si>
  <si>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</si>
  <si>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</si>
  <si>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</si>
  <si>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</si>
  <si>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</si>
  <si>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</si>
  <si>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</si>
  <si>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</si>
  <si>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</si>
  <si>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</si>
  <si>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</si>
  <si>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</si>
  <si>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</si>
  <si>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</si>
  <si>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</si>
  <si>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</si>
  <si>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</si>
  <si>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</si>
  <si>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</si>
  <si>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</si>
  <si>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</si>
  <si>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</si>
  <si>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</si>
  <si>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</si>
  <si>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</si>
  <si>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</si>
  <si>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</si>
  <si>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</si>
  <si>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</si>
  <si>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</si>
  <si>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</si>
  <si>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</si>
  <si>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</si>
  <si>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</si>
  <si>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</si>
  <si>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</si>
  <si>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</si>
  <si>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</si>
  <si>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</si>
  <si>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</si>
  <si>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</si>
  <si>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</si>
  <si>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</si>
  <si>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</si>
  <si>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</si>
  <si>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</si>
  <si>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</si>
  <si>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</si>
  <si>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</si>
  <si>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</si>
  <si>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</si>
  <si>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</si>
  <si>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</si>
  <si>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</si>
  <si>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</si>
  <si>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</si>
  <si>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</si>
  <si>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</si>
  <si>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</si>
  <si>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</si>
  <si>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</si>
  <si>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</si>
  <si>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</si>
  <si>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</si>
  <si>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</si>
  <si>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</si>
  <si>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</si>
  <si>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</si>
  <si>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</si>
  <si>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</si>
  <si>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</si>
  <si>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</si>
  <si>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</si>
  <si>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</si>
  <si>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</si>
  <si>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</si>
  <si>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</si>
  <si>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</si>
  <si>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</si>
  <si>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</si>
  <si>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</si>
  <si>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</si>
  <si>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</si>
  <si>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</si>
  <si>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</si>
  <si>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</si>
  <si>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</si>
  <si>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</si>
  <si>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</si>
  <si>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</si>
  <si>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</si>
  <si>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</si>
  <si>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</si>
  <si>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</si>
  <si>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</si>
  <si>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</si>
  <si>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</si>
  <si>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</si>
  <si>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</si>
  <si>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</si>
  <si>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</si>
  <si>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</si>
  <si>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</si>
  <si>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</si>
  <si>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</si>
  <si>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</si>
  <si>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</si>
  <si>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</si>
  <si>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</si>
  <si>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</si>
  <si>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</si>
  <si>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</si>
  <si>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</si>
  <si>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</si>
  <si>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</si>
  <si>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</si>
  <si>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</si>
  <si>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</si>
  <si>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</si>
  <si>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</si>
  <si>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</si>
  <si>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</si>
  <si>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</si>
  <si>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</si>
  <si>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</si>
  <si>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</si>
  <si>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</si>
  <si>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</si>
  <si>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</si>
  <si>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</si>
  <si>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</si>
  <si>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</si>
  <si>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</si>
  <si>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</si>
  <si>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</si>
  <si>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</si>
  <si>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</si>
  <si>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</si>
  <si>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</si>
  <si>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</si>
  <si>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</si>
  <si>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</si>
  <si>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</si>
  <si>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</si>
  <si>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</si>
  <si>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</si>
  <si>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</si>
  <si>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</si>
  <si>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</si>
  <si>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</si>
  <si>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</si>
  <si>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</si>
  <si>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</si>
  <si>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</si>
  <si>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</si>
  <si>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</si>
  <si>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</si>
  <si>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</si>
  <si>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</si>
  <si>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</si>
  <si>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</si>
  <si>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</si>
  <si>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</si>
  <si>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</si>
  <si>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</si>
  <si>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</si>
  <si>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</si>
  <si>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</si>
  <si>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</si>
  <si>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</si>
  <si>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</si>
  <si>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</si>
  <si>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</si>
  <si>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</si>
  <si>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</si>
  <si>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</si>
  <si>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</si>
  <si>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</si>
  <si>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</si>
  <si>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</si>
  <si>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</si>
  <si>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</si>
  <si>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</si>
  <si>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</si>
  <si>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</si>
  <si>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</si>
  <si>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</si>
  <si>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</si>
  <si>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</si>
  <si>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</si>
  <si>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</si>
  <si>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</si>
  <si>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</si>
  <si>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</si>
  <si>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</si>
  <si>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</si>
  <si>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</si>
  <si>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</si>
  <si>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</si>
  <si>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</si>
  <si>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</si>
  <si>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</si>
  <si>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</si>
  <si>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</si>
  <si>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</si>
  <si>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</si>
  <si>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</si>
  <si>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</si>
  <si>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</si>
  <si>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</si>
  <si>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</si>
  <si>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</si>
  <si>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</si>
  <si>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</si>
  <si>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</si>
  <si>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</si>
  <si>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</si>
  <si>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</si>
  <si>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</si>
  <si>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</si>
  <si>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</si>
  <si>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</si>
  <si>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</si>
  <si>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</si>
  <si>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</si>
  <si>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</si>
  <si>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</si>
  <si>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</si>
  <si>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</si>
  <si>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</si>
  <si>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</si>
  <si>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</si>
  <si>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</si>
  <si>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</si>
  <si>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</si>
  <si>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</si>
  <si>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</si>
  <si>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</si>
  <si>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</si>
  <si>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</si>
  <si>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</si>
  <si>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</si>
  <si>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</si>
  <si>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</si>
  <si>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</si>
  <si>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</si>
  <si>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</si>
  <si>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</si>
  <si>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</si>
  <si>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</si>
  <si>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</si>
  <si>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</si>
  <si>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1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</si>
  <si>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</si>
  <si>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</si>
  <si>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</si>
  <si>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</si>
  <si>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</si>
  <si>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</si>
  <si>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</si>
  <si>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</si>
  <si>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</si>
  <si>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</si>
  <si>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</si>
  <si>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</si>
  <si>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</si>
  <si>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</si>
  <si>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</si>
  <si>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</si>
  <si>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</si>
  <si>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</si>
  <si>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</si>
  <si>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</si>
  <si>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</si>
  <si>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</si>
  <si>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</si>
  <si>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</si>
  <si>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</si>
  <si>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</si>
  <si>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</si>
  <si>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</si>
  <si>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</si>
  <si>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</si>
  <si>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</si>
  <si>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</si>
  <si>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</si>
  <si>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</si>
  <si>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</si>
  <si>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</si>
  <si>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</si>
  <si>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</si>
  <si>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950 (bypass)</t>
  </si>
  <si>
    <t>ex2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</si>
</sst>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37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0.1065</c:v>
                </c:pt>
                <c:pt idx="1">
                  <c:v>0.15909999999999999</c:v>
                </c:pt>
                <c:pt idx="2">
                  <c:v>0.10680000000000001</c:v>
                </c:pt>
                <c:pt idx="3">
                  <c:v>7.2700000000000001E-2</c:v>
                </c:pt>
                <c:pt idx="4">
                  <c:v>6.4000000000000001E-2</c:v>
                </c:pt>
                <c:pt idx="5">
                  <c:v>6.4600000000000005E-2</c:v>
                </c:pt>
                <c:pt idx="6">
                  <c:v>6.9800000000000001E-2</c:v>
                </c:pt>
                <c:pt idx="7">
                  <c:v>7.0000000000000007E-2</c:v>
                </c:pt>
                <c:pt idx="8">
                  <c:v>7.3700000000000002E-2</c:v>
                </c:pt>
                <c:pt idx="9">
                  <c:v>7.7600000000000002E-2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 formatCode="0.000">
                  <c:v>124.2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3.71</c:v>
                </c:pt>
                <c:pt idx="2">
                  <c:v>4.3499999999999996</c:v>
                </c:pt>
                <c:pt idx="3">
                  <c:v>3.74</c:v>
                </c:pt>
                <c:pt idx="4">
                  <c:v>3.84</c:v>
                </c:pt>
                <c:pt idx="5">
                  <c:v>3.75</c:v>
                </c:pt>
                <c:pt idx="6">
                  <c:v>3.73</c:v>
                </c:pt>
                <c:pt idx="7">
                  <c:v>3.81</c:v>
                </c:pt>
                <c:pt idx="8">
                  <c:v>3.69</c:v>
                </c:pt>
                <c:pt idx="9">
                  <c:v>3.88</c:v>
                </c:pt>
                <c:pt idx="10" formatCode="0.000">
                  <c:v>3.75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1.2190000000000001</c:v>
                </c:pt>
                <c:pt idx="2">
                  <c:v>1.177</c:v>
                </c:pt>
                <c:pt idx="3">
                  <c:v>1.2230000000000001</c:v>
                </c:pt>
                <c:pt idx="4">
                  <c:v>1.341</c:v>
                </c:pt>
                <c:pt idx="5">
                  <c:v>1.403</c:v>
                </c:pt>
                <c:pt idx="6">
                  <c:v>1.405</c:v>
                </c:pt>
                <c:pt idx="7">
                  <c:v>1.4379999999999999</c:v>
                </c:pt>
                <c:pt idx="8">
                  <c:v>1.415</c:v>
                </c:pt>
                <c:pt idx="9">
                  <c:v>1.4379999999999999</c:v>
                </c:pt>
                <c:pt idx="10" formatCode="0.000">
                  <c:v>1.4139999999999999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0.22600000000000001</c:v>
                </c:pt>
                <c:pt idx="2">
                  <c:v>0.309</c:v>
                </c:pt>
                <c:pt idx="3">
                  <c:v>0.28499999999999998</c:v>
                </c:pt>
                <c:pt idx="4">
                  <c:v>0.23300000000000001</c:v>
                </c:pt>
                <c:pt idx="5">
                  <c:v>0.219</c:v>
                </c:pt>
                <c:pt idx="6">
                  <c:v>0.183</c:v>
                </c:pt>
                <c:pt idx="7">
                  <c:v>0.191</c:v>
                </c:pt>
                <c:pt idx="8">
                  <c:v>0.183</c:v>
                </c:pt>
                <c:pt idx="9">
                  <c:v>0.16800000000000001</c:v>
                </c:pt>
                <c:pt idx="10" formatCode="0.000">
                  <c:v>0.16900000000000001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0.24399999999999999</c:v>
                </c:pt>
                <c:pt idx="2">
                  <c:v>0.26800000000000002</c:v>
                </c:pt>
                <c:pt idx="3">
                  <c:v>0.27700000000000002</c:v>
                </c:pt>
                <c:pt idx="4">
                  <c:v>0.24399999999999999</c:v>
                </c:pt>
                <c:pt idx="5">
                  <c:v>0.24</c:v>
                </c:pt>
                <c:pt idx="6">
                  <c:v>0.20300000000000001</c:v>
                </c:pt>
                <c:pt idx="7">
                  <c:v>0.216</c:v>
                </c:pt>
                <c:pt idx="8">
                  <c:v>0.19400000000000001</c:v>
                </c:pt>
                <c:pt idx="9">
                  <c:v>0.19</c:v>
                </c:pt>
                <c:pt idx="10" formatCode="0.000">
                  <c:v>0.186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>
                  <c:v>124.2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>
                  <c:v>124.2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 formatCode="0.000">
                  <c:v>124.2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1.2190000000000001</c:v>
                </c:pt>
                <c:pt idx="2">
                  <c:v>1.177</c:v>
                </c:pt>
                <c:pt idx="3">
                  <c:v>1.2230000000000001</c:v>
                </c:pt>
                <c:pt idx="4">
                  <c:v>1.341</c:v>
                </c:pt>
                <c:pt idx="5">
                  <c:v>1.403</c:v>
                </c:pt>
                <c:pt idx="6">
                  <c:v>1.405</c:v>
                </c:pt>
                <c:pt idx="7">
                  <c:v>1.4379999999999999</c:v>
                </c:pt>
                <c:pt idx="8">
                  <c:v>1.415</c:v>
                </c:pt>
                <c:pt idx="9">
                  <c:v>1.4379999999999999</c:v>
                </c:pt>
                <c:pt idx="10" formatCode="0.000">
                  <c:v>1.4139999999999999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0.22600000000000001</c:v>
                </c:pt>
                <c:pt idx="2">
                  <c:v>0.309</c:v>
                </c:pt>
                <c:pt idx="3">
                  <c:v>0.28499999999999998</c:v>
                </c:pt>
                <c:pt idx="4">
                  <c:v>0.23300000000000001</c:v>
                </c:pt>
                <c:pt idx="5">
                  <c:v>0.219</c:v>
                </c:pt>
                <c:pt idx="6">
                  <c:v>0.183</c:v>
                </c:pt>
                <c:pt idx="7">
                  <c:v>0.191</c:v>
                </c:pt>
                <c:pt idx="8">
                  <c:v>0.183</c:v>
                </c:pt>
                <c:pt idx="9">
                  <c:v>0.16800000000000001</c:v>
                </c:pt>
                <c:pt idx="10" formatCode="0.000">
                  <c:v>0.16900000000000001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3.71</c:v>
                </c:pt>
                <c:pt idx="2">
                  <c:v>4.3499999999999996</c:v>
                </c:pt>
                <c:pt idx="3">
                  <c:v>3.74</c:v>
                </c:pt>
                <c:pt idx="4">
                  <c:v>3.84</c:v>
                </c:pt>
                <c:pt idx="5">
                  <c:v>3.75</c:v>
                </c:pt>
                <c:pt idx="6">
                  <c:v>3.73</c:v>
                </c:pt>
                <c:pt idx="7">
                  <c:v>3.81</c:v>
                </c:pt>
                <c:pt idx="8">
                  <c:v>3.69</c:v>
                </c:pt>
                <c:pt idx="9">
                  <c:v>3.88</c:v>
                </c:pt>
                <c:pt idx="10" formatCode="0.000">
                  <c:v>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2.44</c:v>
                </c:pt>
                <c:pt idx="2">
                  <c:v>2.68</c:v>
                </c:pt>
                <c:pt idx="3">
                  <c:v>2.37</c:v>
                </c:pt>
                <c:pt idx="4">
                  <c:v>2.4</c:v>
                </c:pt>
                <c:pt idx="5">
                  <c:v>2.35</c:v>
                </c:pt>
                <c:pt idx="6">
                  <c:v>2.35</c:v>
                </c:pt>
                <c:pt idx="7">
                  <c:v>2.4</c:v>
                </c:pt>
                <c:pt idx="8">
                  <c:v>2.3199999999999998</c:v>
                </c:pt>
                <c:pt idx="9">
                  <c:v>2.4</c:v>
                </c:pt>
                <c:pt idx="10" formatCode="0.000">
                  <c:v>2.37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1.0817684534338328</c:v>
                </c:pt>
                <c:pt idx="2">
                  <c:v>1.1407848505888163</c:v>
                </c:pt>
                <c:pt idx="3">
                  <c:v>1.2064420306149009</c:v>
                </c:pt>
                <c:pt idx="4">
                  <c:v>1.1934422956441149</c:v>
                </c:pt>
                <c:pt idx="5">
                  <c:v>1.2552934746589473</c:v>
                </c:pt>
                <c:pt idx="6">
                  <c:v>1.2630376425105572</c:v>
                </c:pt>
                <c:pt idx="7">
                  <c:v>1.297926988680451</c:v>
                </c:pt>
                <c:pt idx="8">
                  <c:v>1.2862301653018129</c:v>
                </c:pt>
                <c:pt idx="9">
                  <c:v>1.3134107811487792</c:v>
                </c:pt>
                <c:pt idx="10">
                  <c:v>1.3143062193322257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0.13723154656616732</c:v>
                </c:pt>
                <c:pt idx="2">
                  <c:v>3.6215149411183756E-2</c:v>
                </c:pt>
                <c:pt idx="3">
                  <c:v>1.6557969385099236E-2</c:v>
                </c:pt>
                <c:pt idx="4">
                  <c:v>0.14755770435588511</c:v>
                </c:pt>
                <c:pt idx="5">
                  <c:v>0.14770652534105277</c:v>
                </c:pt>
                <c:pt idx="6">
                  <c:v>0.14196235748944286</c:v>
                </c:pt>
                <c:pt idx="7">
                  <c:v>0.14007301131954897</c:v>
                </c:pt>
                <c:pt idx="8">
                  <c:v>0.12876983469818715</c:v>
                </c:pt>
                <c:pt idx="9">
                  <c:v>0.12458921885122076</c:v>
                </c:pt>
                <c:pt idx="10">
                  <c:v>9.9693780667774234E-2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tabSelected="1" zoomScale="70" zoomScaleNormal="70" workbookViewId="0">
      <selection activeCell="B2" sqref="B2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202" t="s">
        <v>32</v>
      </c>
      <c r="B1" s="203"/>
      <c r="C1" s="203"/>
      <c r="D1" s="203"/>
      <c r="E1" s="203"/>
      <c r="F1" s="203"/>
      <c r="G1" s="203"/>
      <c r="H1" s="204"/>
      <c r="I1" s="76"/>
      <c r="J1" s="76"/>
      <c r="M1" s="12" t="s">
        <v>56</v>
      </c>
      <c r="W1" s="214"/>
      <c r="X1" s="214"/>
    </row>
    <row r="2" spans="1:63" ht="18.75" thickBot="1" x14ac:dyDescent="0.3">
      <c r="A2" s="103" t="s">
        <v>0</v>
      </c>
      <c r="B2" s="98" t="s">
        <v>312</v>
      </c>
      <c r="C2" s="103" t="s">
        <v>4</v>
      </c>
      <c r="D2" s="101">
        <v>6.7</v>
      </c>
      <c r="E2" s="103" t="s">
        <v>8</v>
      </c>
      <c r="F2" s="101"/>
      <c r="G2" s="215" t="s">
        <v>31</v>
      </c>
      <c r="H2" s="216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10.5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202" t="s">
        <v>104</v>
      </c>
      <c r="N3" s="203"/>
      <c r="O3" s="204"/>
      <c r="Q3" s="202" t="s">
        <v>234</v>
      </c>
      <c r="R3" s="203"/>
      <c r="S3" s="204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5" t="s">
        <v>105</v>
      </c>
      <c r="N4" s="207" t="s">
        <v>106</v>
      </c>
      <c r="O4" s="208"/>
      <c r="Q4" s="205" t="s">
        <v>218</v>
      </c>
      <c r="R4" s="207" t="s">
        <v>218</v>
      </c>
      <c r="S4" s="208"/>
      <c r="W4" s="76"/>
      <c r="X4" s="110"/>
    </row>
    <row r="5" spans="1:63" ht="18.75" thickBot="1" x14ac:dyDescent="0.3">
      <c r="A5" s="9" t="s">
        <v>120</v>
      </c>
      <c r="B5" s="100" t="s">
        <v>311</v>
      </c>
      <c r="C5" s="97" t="s">
        <v>7</v>
      </c>
      <c r="D5" s="2">
        <f>D2*SQRT((D3+14.696)*530/(14.696*(460+D4)))</f>
        <v>8.7301340705632722</v>
      </c>
      <c r="E5" s="9" t="s">
        <v>3</v>
      </c>
      <c r="F5" s="7">
        <f>F2/8.01</f>
        <v>0</v>
      </c>
      <c r="M5" s="206"/>
      <c r="N5" s="65" t="s">
        <v>108</v>
      </c>
      <c r="O5" s="66" t="s">
        <v>109</v>
      </c>
      <c r="Q5" s="206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0.13552080912423131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202" t="s">
        <v>22</v>
      </c>
      <c r="B8" s="203"/>
      <c r="C8" s="203"/>
      <c r="D8" s="203"/>
      <c r="E8" s="203"/>
      <c r="F8" s="203"/>
      <c r="G8" s="203"/>
      <c r="H8" s="204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17" t="s">
        <v>13</v>
      </c>
      <c r="B9" s="218"/>
      <c r="C9" s="219" t="s">
        <v>239</v>
      </c>
      <c r="D9" s="220"/>
      <c r="E9" s="220"/>
      <c r="F9" s="220"/>
      <c r="G9" s="220"/>
      <c r="H9" s="221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00" t="s">
        <v>103</v>
      </c>
      <c r="B13" s="20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306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0.15047773755086605</v>
      </c>
      <c r="P16" s="75" t="e">
        <f>IF(I16=$B$4,($R$16-O16)/$R$16*100,NA())</f>
        <v>#N/A</v>
      </c>
      <c r="R16" s="74">
        <f>'2'!AF246</f>
        <v>5.6840000000000009E-2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0.16684587991491634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3.5</v>
      </c>
      <c r="O18" s="191">
        <f t="shared" si="4"/>
        <v>0.10945338595788653</v>
      </c>
      <c r="P18" s="75">
        <f t="shared" si="5"/>
        <v>-92.564014704233841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0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0.20155977635239397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1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0.19109674401348201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1"/>
      <c r="B21" s="106"/>
      <c r="C21" s="106"/>
      <c r="D21" s="106"/>
      <c r="E21" s="106"/>
      <c r="F21" s="106"/>
      <c r="H21"/>
      <c r="I21" s="213"/>
      <c r="J21" s="213"/>
      <c r="K21"/>
      <c r="L21"/>
      <c r="M21"/>
      <c r="N21"/>
      <c r="O21"/>
      <c r="P21"/>
      <c r="Q21"/>
      <c r="R21"/>
      <c r="S21"/>
      <c r="T21"/>
      <c r="U21"/>
      <c r="V21"/>
      <c r="W21" s="213"/>
      <c r="X21" s="213"/>
      <c r="Y21"/>
    </row>
    <row r="22" spans="1:52" ht="52.5" customHeight="1" x14ac:dyDescent="0.25">
      <c r="A22" s="211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1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1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1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09"/>
      <c r="AE25" s="209"/>
      <c r="AF25" s="209"/>
      <c r="AG25" s="209"/>
      <c r="AH25" s="209"/>
      <c r="AI25" s="209"/>
      <c r="AJ25" s="209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1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1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1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1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1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1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1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1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1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1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1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1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2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19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198"/>
    </row>
    <row r="44" spans="1:43" ht="38.25" customHeight="1" thickBot="1" x14ac:dyDescent="0.3">
      <c r="A44" s="77" t="s">
        <v>236</v>
      </c>
      <c r="B44" s="19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A1:H1"/>
    <mergeCell ref="W1:X1"/>
    <mergeCell ref="G2:H2"/>
    <mergeCell ref="A8:H8"/>
    <mergeCell ref="A9:B9"/>
    <mergeCell ref="C9:H9"/>
    <mergeCell ref="Q3:S3"/>
    <mergeCell ref="Q4:Q5"/>
    <mergeCell ref="R4:S4"/>
    <mergeCell ref="AF25:AJ25"/>
    <mergeCell ref="A19:A38"/>
    <mergeCell ref="AD25:AE25"/>
    <mergeCell ref="W21:X21"/>
    <mergeCell ref="I21:J21"/>
    <mergeCell ref="B42:B44"/>
    <mergeCell ref="A13:B13"/>
    <mergeCell ref="M3:O3"/>
    <mergeCell ref="M4:M5"/>
    <mergeCell ref="N4:O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zoomScale="90" zoomScaleNormal="90" zoomScaleSheetLayoutView="30" workbookViewId="0">
      <selection activeCell="B18" sqref="B18:BD18"/>
    </sheetView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</v>
      </c>
      <c r="D1" s="13" t="s">
        <v>135</v>
      </c>
      <c r="E1" s="93">
        <f>999*C1*(25.4/1000)/(0.001)</f>
        <v>0</v>
      </c>
      <c r="F1" s="57" t="s">
        <v>80</v>
      </c>
      <c r="G1" s="94">
        <f>1.78*E1^0.125</f>
        <v>0</v>
      </c>
      <c r="I1" s="3" t="s">
        <v>270</v>
      </c>
      <c r="J1" s="13">
        <v>998</v>
      </c>
      <c r="CL1" s="13" t="s">
        <v>301</v>
      </c>
      <c r="CM1" s="13">
        <v>1</v>
      </c>
    </row>
    <row r="2" spans="1:94" ht="17.25" x14ac:dyDescent="0.3">
      <c r="B2" s="13" t="s">
        <v>136</v>
      </c>
      <c r="C2" s="92">
        <f>'1'!D6</f>
        <v>0.13552080912423131</v>
      </c>
      <c r="D2" s="13" t="s">
        <v>81</v>
      </c>
      <c r="E2" s="93">
        <v>50000</v>
      </c>
      <c r="F2" s="57" t="s">
        <v>137</v>
      </c>
      <c r="G2" s="94" t="e">
        <f>(G1+1)*(2*G1+1)/(2*G1^2)*(C1/(1-G246))</f>
        <v>#DIV/0!</v>
      </c>
      <c r="I2" s="3" t="s">
        <v>302</v>
      </c>
      <c r="J2" s="13">
        <v>1.2050000000000001</v>
      </c>
    </row>
    <row r="5" spans="1:94" ht="15.75" thickBot="1" x14ac:dyDescent="0.3">
      <c r="A5" s="17" t="s">
        <v>271</v>
      </c>
      <c r="B5" s="13" t="s">
        <v>287</v>
      </c>
    </row>
    <row r="6" spans="1:94" ht="18.75" customHeight="1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  <c r="BE6" s="162"/>
      <c r="BF6" s="244" t="s">
        <v>187</v>
      </c>
      <c r="BG6" s="244"/>
      <c r="BH6" s="245"/>
      <c r="BI6" s="243" t="s">
        <v>180</v>
      </c>
      <c r="BJ6" s="244"/>
      <c r="BK6" s="244"/>
      <c r="BL6" s="244"/>
      <c r="BM6" s="245"/>
      <c r="BN6" s="243" t="s">
        <v>181</v>
      </c>
      <c r="BO6" s="244"/>
      <c r="BP6" s="245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32" t="s">
        <v>121</v>
      </c>
      <c r="CD6" s="233"/>
      <c r="CE6" s="234"/>
      <c r="CF6" s="222" t="s">
        <v>14</v>
      </c>
      <c r="CG6" s="222" t="s">
        <v>49</v>
      </c>
      <c r="CH6" s="224" t="s">
        <v>10</v>
      </c>
      <c r="CI6" s="226" t="s">
        <v>58</v>
      </c>
      <c r="CJ6" s="228" t="s">
        <v>297</v>
      </c>
      <c r="CK6" s="230" t="s">
        <v>298</v>
      </c>
      <c r="CL6" s="230" t="s">
        <v>300</v>
      </c>
      <c r="CM6" s="230" t="s">
        <v>299</v>
      </c>
      <c r="CN6" s="230" t="s">
        <v>303</v>
      </c>
      <c r="CO6" s="230" t="s">
        <v>307</v>
      </c>
    </row>
    <row r="7" spans="1:94" ht="18" thickBot="1" x14ac:dyDescent="0.35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23"/>
      <c r="CG7" s="223"/>
      <c r="CH7" s="225"/>
      <c r="CI7" s="227"/>
      <c r="CJ7" s="229"/>
      <c r="CK7" s="231"/>
      <c r="CL7" s="231"/>
      <c r="CM7" s="231"/>
      <c r="CN7" s="231"/>
      <c r="CO7" s="231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1062</v>
      </c>
      <c r="F9" s="96">
        <v>535</v>
      </c>
      <c r="G9" s="96">
        <v>0</v>
      </c>
      <c r="H9" s="96">
        <v>0</v>
      </c>
      <c r="I9" s="96">
        <v>1597</v>
      </c>
      <c r="J9" s="96">
        <v>0</v>
      </c>
      <c r="K9" s="96">
        <v>1597</v>
      </c>
      <c r="L9" s="111">
        <v>1597</v>
      </c>
      <c r="M9" s="96">
        <v>1507</v>
      </c>
      <c r="N9" s="96">
        <v>1234</v>
      </c>
      <c r="O9" s="96">
        <v>1171</v>
      </c>
      <c r="P9" s="112">
        <v>53.2</v>
      </c>
      <c r="Q9" s="111">
        <v>860</v>
      </c>
      <c r="R9" s="96">
        <v>490</v>
      </c>
      <c r="S9" s="96">
        <v>0</v>
      </c>
      <c r="T9" s="96">
        <v>0</v>
      </c>
      <c r="U9" s="96">
        <v>1350</v>
      </c>
      <c r="V9" s="112">
        <v>84.53</v>
      </c>
      <c r="W9" s="96">
        <v>5.3600000000000002E-2</v>
      </c>
      <c r="X9" s="96">
        <v>5.2900000000000003E-2</v>
      </c>
      <c r="Y9" s="96">
        <v>0</v>
      </c>
      <c r="Z9" s="96">
        <v>0</v>
      </c>
      <c r="AA9" s="96">
        <v>0.1065</v>
      </c>
      <c r="AB9" s="96">
        <v>0</v>
      </c>
      <c r="AC9" s="96">
        <v>0.1065</v>
      </c>
      <c r="AD9" s="111">
        <v>115.53</v>
      </c>
      <c r="AE9" s="13">
        <v>56.67</v>
      </c>
      <c r="AF9" s="13">
        <v>0</v>
      </c>
      <c r="AG9" s="13">
        <v>0</v>
      </c>
      <c r="AH9" s="13">
        <v>172.2</v>
      </c>
      <c r="AI9" s="13">
        <v>0</v>
      </c>
      <c r="AJ9" s="84">
        <v>172.2</v>
      </c>
      <c r="AK9" s="113">
        <v>3.71</v>
      </c>
      <c r="AL9" s="13">
        <v>2.44</v>
      </c>
      <c r="AM9" s="13">
        <v>0</v>
      </c>
      <c r="AN9" s="84">
        <v>0</v>
      </c>
      <c r="AO9" s="13">
        <v>1.2190000000000001</v>
      </c>
      <c r="AP9" s="13">
        <v>0</v>
      </c>
      <c r="AQ9" s="13">
        <v>0.24399999999999999</v>
      </c>
      <c r="AR9" s="13">
        <v>0</v>
      </c>
      <c r="AS9" s="13">
        <v>0.22600000000000001</v>
      </c>
      <c r="AT9" s="113">
        <v>0.13</v>
      </c>
      <c r="AU9" s="13">
        <v>0</v>
      </c>
      <c r="AV9" s="13">
        <v>0.13</v>
      </c>
      <c r="AW9" s="13">
        <v>0.39500000000000002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0.20016406890894173</v>
      </c>
      <c r="BF9" s="157">
        <f t="shared" ref="BF9:BF27" si="2">I9/C9</f>
        <v>53.233333333333334</v>
      </c>
      <c r="BG9" s="157">
        <f t="shared" ref="BG9:BG27" si="3">J9/C9</f>
        <v>0</v>
      </c>
      <c r="BH9" s="157">
        <f t="shared" ref="BH9:BH27" si="4">K9/C9</f>
        <v>53.233333333333334</v>
      </c>
      <c r="BI9" s="152">
        <f t="shared" ref="BI9:BI27" si="5">(AA9/$E$246-1)^2</f>
        <v>1.891125902957971</v>
      </c>
      <c r="BJ9" s="153">
        <f t="shared" ref="BJ9:BJ27" si="6">(AA9/$G$246-1)^2</f>
        <v>1.891125902957971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1.891125902957971</v>
      </c>
      <c r="BN9" s="153">
        <f t="shared" ref="BN9:BN27" si="10">(AH9/$H$246-1)^2</f>
        <v>2.1390161914890773</v>
      </c>
      <c r="BO9" s="116" t="e">
        <f t="shared" ref="BO9:BO27" si="11">(AI9/$I$246-1)^2</f>
        <v>#DIV/0!</v>
      </c>
      <c r="BP9" s="153">
        <f t="shared" ref="BP9:BP27" si="12">(AJ9/$J$246-1)^2</f>
        <v>2.1390161914890773</v>
      </c>
      <c r="BQ9" s="141" t="e">
        <f t="shared" ref="BQ9:BQ13" si="13">I9/H9</f>
        <v>#DIV/0!</v>
      </c>
      <c r="BR9" s="111">
        <f t="shared" si="0"/>
        <v>197.37200000000001</v>
      </c>
      <c r="BS9" s="96">
        <f t="shared" ref="BS9:BS27" si="14">6000*AC9/AJ9</f>
        <v>3.7108013937282234</v>
      </c>
      <c r="BT9" s="96">
        <f t="shared" ref="BT9:BT27" si="15">BS9*AC9</f>
        <v>0.39520034843205576</v>
      </c>
      <c r="BU9" s="96">
        <f t="shared" ref="BU9:BU27" si="16">AB9*AN9</f>
        <v>0</v>
      </c>
      <c r="BV9" s="96"/>
      <c r="BW9" s="96" t="e">
        <f t="shared" ref="BW9:BW27" si="17">$G$2*(1-ABS(A9))^(1/$G$1)</f>
        <v>#DIV/0!</v>
      </c>
      <c r="BX9" s="96" t="e">
        <f t="shared" ref="BX9:BX27" si="18">SUM(W9:X9)*AO9+SUM(Y9:Z9)*AP9+(1-AC9)*BW9</f>
        <v>#DIV/0!</v>
      </c>
      <c r="BY9" s="96" t="e">
        <f t="shared" ref="BY9:BY27" si="19">AC9*BX9</f>
        <v>#DIV/0!</v>
      </c>
      <c r="BZ9" s="96" t="e">
        <f t="shared" ref="BZ9:BZ27" si="20">(AO9*SUM(W9:X9)/AC9)+(AP9*SUM(Y9:Z9)/AC9)-BX9</f>
        <v>#DIV/0!</v>
      </c>
      <c r="CA9" s="96" t="e">
        <f t="shared" ref="CA9:CA27" si="21">AC9*BZ9</f>
        <v>#DIV/0!</v>
      </c>
      <c r="CB9" s="112" t="e">
        <f t="shared" ref="CB9:CB27" si="22">CA9/(1-AC9)</f>
        <v>#DIV/0!</v>
      </c>
      <c r="CC9" s="113">
        <f t="shared" ref="CC9:CC27" si="23">M9/L9*100</f>
        <v>94.364433312460861</v>
      </c>
      <c r="CD9" s="13">
        <f t="shared" ref="CD9:CD27" si="24">N9/L9*100</f>
        <v>77.269881026925475</v>
      </c>
      <c r="CE9" s="84">
        <f t="shared" ref="CE9:CE27" si="25">O9/L9*100</f>
        <v>73.32498434564809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7.5687489999999996E-2</v>
      </c>
      <c r="CK9" s="96">
        <v>2.251999E-2</v>
      </c>
      <c r="CL9" s="96">
        <f t="shared" ref="CL9:CL28" si="27">SQRT(2*CONVERT(CJ9, "psi", "Pa") / $J$1)</f>
        <v>1.022636454461801</v>
      </c>
      <c r="CM9" s="96">
        <f>IF(CF9=A9,SQRT((2*CONVERT(CJ9,"psi","Pa")-AC9*$J$2*AO9^2)/((1-AC9)*$CM$1*$J$1)), NA())</f>
        <v>1.0817684534338328</v>
      </c>
      <c r="CN9" s="96">
        <f t="shared" ref="CN9:CN27" si="28">(1-AC9)*CM9</f>
        <v>0.96656011314312951</v>
      </c>
      <c r="CO9" s="112">
        <f t="shared" ref="CO9:CO28" si="29">IF(AO9&gt;0, AO9-CM9, 0)</f>
        <v>0.13723154656616732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1192</v>
      </c>
      <c r="F10" s="96">
        <v>905</v>
      </c>
      <c r="G10" s="96">
        <v>0</v>
      </c>
      <c r="H10" s="96">
        <v>0</v>
      </c>
      <c r="I10" s="96">
        <v>2097</v>
      </c>
      <c r="J10" s="96">
        <v>0</v>
      </c>
      <c r="K10" s="96">
        <v>2097</v>
      </c>
      <c r="L10" s="111">
        <v>2097</v>
      </c>
      <c r="M10" s="96">
        <v>1909</v>
      </c>
      <c r="N10" s="96">
        <v>1865</v>
      </c>
      <c r="O10" s="96">
        <v>1843</v>
      </c>
      <c r="P10" s="112">
        <v>69.900000000000006</v>
      </c>
      <c r="Q10" s="111">
        <v>906</v>
      </c>
      <c r="R10" s="96">
        <v>894</v>
      </c>
      <c r="S10" s="96">
        <v>0</v>
      </c>
      <c r="T10" s="96">
        <v>0</v>
      </c>
      <c r="U10" s="96">
        <v>1800</v>
      </c>
      <c r="V10" s="112">
        <v>85.84</v>
      </c>
      <c r="W10" s="96">
        <v>6.5000000000000002E-2</v>
      </c>
      <c r="X10" s="96">
        <v>9.4100000000000003E-2</v>
      </c>
      <c r="Y10" s="96">
        <v>0</v>
      </c>
      <c r="Z10" s="96">
        <v>0</v>
      </c>
      <c r="AA10" s="96">
        <v>0.15909999999999999</v>
      </c>
      <c r="AB10" s="96">
        <v>0</v>
      </c>
      <c r="AC10" s="96">
        <v>0.15909999999999999</v>
      </c>
      <c r="AD10" s="111">
        <v>137.35</v>
      </c>
      <c r="AE10" s="13">
        <v>82.01</v>
      </c>
      <c r="AF10" s="13">
        <v>0</v>
      </c>
      <c r="AG10" s="13">
        <v>0</v>
      </c>
      <c r="AH10" s="13">
        <v>219.36</v>
      </c>
      <c r="AI10" s="13">
        <v>0</v>
      </c>
      <c r="AJ10" s="84">
        <v>219.36</v>
      </c>
      <c r="AK10" s="113">
        <v>4.3499999999999996</v>
      </c>
      <c r="AL10" s="13">
        <v>2.68</v>
      </c>
      <c r="AM10" s="13">
        <v>0</v>
      </c>
      <c r="AN10" s="84">
        <v>0</v>
      </c>
      <c r="AO10" s="13">
        <v>1.177</v>
      </c>
      <c r="AP10" s="13">
        <v>0</v>
      </c>
      <c r="AQ10" s="13">
        <v>0.26800000000000002</v>
      </c>
      <c r="AR10" s="13">
        <v>0</v>
      </c>
      <c r="AS10" s="13">
        <v>0.309</v>
      </c>
      <c r="AT10" s="113">
        <v>0.187</v>
      </c>
      <c r="AU10" s="13">
        <v>0</v>
      </c>
      <c r="AV10" s="13">
        <v>0.187</v>
      </c>
      <c r="AW10" s="13">
        <v>0.69199999999999995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0.22769753610875107</v>
      </c>
      <c r="BF10" s="157">
        <f t="shared" si="2"/>
        <v>69.900000000000006</v>
      </c>
      <c r="BG10" s="157">
        <f t="shared" si="3"/>
        <v>0</v>
      </c>
      <c r="BH10" s="157">
        <f t="shared" si="4"/>
        <v>69.900000000000006</v>
      </c>
      <c r="BI10" s="152">
        <f t="shared" si="5"/>
        <v>6.4937145725508936</v>
      </c>
      <c r="BJ10" s="153">
        <f t="shared" si="6"/>
        <v>6.4937145725508936</v>
      </c>
      <c r="BK10" s="116" t="e">
        <f t="shared" si="7"/>
        <v>#DIV/0!</v>
      </c>
      <c r="BL10" s="116">
        <f t="shared" si="8"/>
        <v>1</v>
      </c>
      <c r="BM10" s="154">
        <f t="shared" si="9"/>
        <v>6.4937145725508936</v>
      </c>
      <c r="BN10" s="153">
        <f t="shared" si="10"/>
        <v>4.5665417744979244</v>
      </c>
      <c r="BO10" s="116" t="e">
        <f t="shared" si="11"/>
        <v>#DIV/0!</v>
      </c>
      <c r="BP10" s="153">
        <f t="shared" si="12"/>
        <v>4.5665417744979244</v>
      </c>
      <c r="BQ10" s="141" t="e">
        <f t="shared" si="13"/>
        <v>#DIV/0!</v>
      </c>
      <c r="BR10" s="111">
        <f t="shared" si="0"/>
        <v>304.065</v>
      </c>
      <c r="BS10" s="96">
        <f t="shared" si="14"/>
        <v>4.3517505470459508</v>
      </c>
      <c r="BT10" s="96">
        <f t="shared" si="15"/>
        <v>0.69236351203501068</v>
      </c>
      <c r="BU10" s="96">
        <f t="shared" si="16"/>
        <v>0</v>
      </c>
      <c r="BV10" s="96"/>
      <c r="BW10" s="96" t="e">
        <f t="shared" si="17"/>
        <v>#DIV/0!</v>
      </c>
      <c r="BX10" s="96" t="e">
        <f t="shared" si="18"/>
        <v>#DIV/0!</v>
      </c>
      <c r="BY10" s="96" t="e">
        <f t="shared" si="19"/>
        <v>#DIV/0!</v>
      </c>
      <c r="BZ10" s="96" t="e">
        <f t="shared" si="20"/>
        <v>#DIV/0!</v>
      </c>
      <c r="CA10" s="96" t="e">
        <f t="shared" si="21"/>
        <v>#DIV/0!</v>
      </c>
      <c r="CB10" s="112" t="e">
        <f t="shared" si="22"/>
        <v>#DIV/0!</v>
      </c>
      <c r="CC10" s="113">
        <f t="shared" si="23"/>
        <v>91.03481163567001</v>
      </c>
      <c r="CD10" s="13">
        <f t="shared" si="24"/>
        <v>88.936576061039588</v>
      </c>
      <c r="CE10" s="84">
        <f t="shared" si="25"/>
        <v>87.887458273724377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7.9220760000000001E-2</v>
      </c>
      <c r="CK10" s="96">
        <v>2.2487779999999999E-2</v>
      </c>
      <c r="CL10" s="96">
        <f t="shared" si="27"/>
        <v>1.0462337385268861</v>
      </c>
      <c r="CM10" s="96">
        <f t="shared" ref="CM10:CM28" si="30">IF(CF10=A10,SQRT((2*CONVERT(CJ10,"psi","Pa")-AC10*$J$2*AO10^2)/((1-AC10)*$CM$1*$J$1)), NA())</f>
        <v>1.1407848505888163</v>
      </c>
      <c r="CN10" s="96">
        <f t="shared" si="28"/>
        <v>0.95928598086013561</v>
      </c>
      <c r="CO10" s="112">
        <f t="shared" si="29"/>
        <v>3.6215149411183756E-2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1023</v>
      </c>
      <c r="F11" s="96">
        <v>630</v>
      </c>
      <c r="G11" s="96">
        <v>0</v>
      </c>
      <c r="H11" s="96">
        <v>0</v>
      </c>
      <c r="I11" s="96">
        <v>1653</v>
      </c>
      <c r="J11" s="96">
        <v>0</v>
      </c>
      <c r="K11" s="96">
        <v>1653</v>
      </c>
      <c r="L11" s="111">
        <v>1653</v>
      </c>
      <c r="M11" s="96">
        <v>1377</v>
      </c>
      <c r="N11" s="96">
        <v>1575</v>
      </c>
      <c r="O11" s="96">
        <v>1440</v>
      </c>
      <c r="P11" s="112">
        <v>55.1</v>
      </c>
      <c r="Q11" s="111">
        <v>668</v>
      </c>
      <c r="R11" s="96">
        <v>609</v>
      </c>
      <c r="S11" s="96">
        <v>0</v>
      </c>
      <c r="T11" s="96">
        <v>0</v>
      </c>
      <c r="U11" s="96">
        <v>1277</v>
      </c>
      <c r="V11" s="112">
        <v>77.25</v>
      </c>
      <c r="W11" s="96">
        <v>4.8000000000000001E-2</v>
      </c>
      <c r="X11" s="96">
        <v>5.8799999999999998E-2</v>
      </c>
      <c r="Y11" s="96">
        <v>0</v>
      </c>
      <c r="Z11" s="96">
        <v>0</v>
      </c>
      <c r="AA11" s="96">
        <v>0.10680000000000001</v>
      </c>
      <c r="AB11" s="96">
        <v>0</v>
      </c>
      <c r="AC11" s="96">
        <v>0.10680000000000001</v>
      </c>
      <c r="AD11" s="111">
        <v>112.62</v>
      </c>
      <c r="AE11" s="13">
        <v>58.68</v>
      </c>
      <c r="AF11" s="13">
        <v>0</v>
      </c>
      <c r="AG11" s="13">
        <v>0</v>
      </c>
      <c r="AH11" s="13">
        <v>171.3</v>
      </c>
      <c r="AI11" s="13">
        <v>0</v>
      </c>
      <c r="AJ11" s="84">
        <v>171.3</v>
      </c>
      <c r="AK11" s="113">
        <v>3.74</v>
      </c>
      <c r="AL11" s="13">
        <v>2.37</v>
      </c>
      <c r="AM11" s="13">
        <v>0</v>
      </c>
      <c r="AN11" s="84">
        <v>0</v>
      </c>
      <c r="AO11" s="13">
        <v>1.2230000000000001</v>
      </c>
      <c r="AP11" s="13">
        <v>0</v>
      </c>
      <c r="AQ11" s="13">
        <v>0.27700000000000002</v>
      </c>
      <c r="AR11" s="13">
        <v>0</v>
      </c>
      <c r="AS11" s="13">
        <v>0.28499999999999998</v>
      </c>
      <c r="AT11" s="113">
        <v>0.13100000000000001</v>
      </c>
      <c r="AU11" s="13">
        <v>0</v>
      </c>
      <c r="AV11" s="13">
        <v>0.13100000000000001</v>
      </c>
      <c r="AW11" s="13">
        <v>0.39900000000000002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0.22649223221586265</v>
      </c>
      <c r="BF11" s="157">
        <f t="shared" si="2"/>
        <v>55.1</v>
      </c>
      <c r="BG11" s="157">
        <f t="shared" si="3"/>
        <v>0</v>
      </c>
      <c r="BH11" s="157">
        <f t="shared" si="4"/>
        <v>55.1</v>
      </c>
      <c r="BI11" s="152">
        <f t="shared" si="5"/>
        <v>1.9095724032296935</v>
      </c>
      <c r="BJ11" s="153">
        <f t="shared" si="6"/>
        <v>1.9095724032296935</v>
      </c>
      <c r="BK11" s="116" t="e">
        <f t="shared" si="7"/>
        <v>#DIV/0!</v>
      </c>
      <c r="BL11" s="116">
        <f t="shared" si="8"/>
        <v>1</v>
      </c>
      <c r="BM11" s="154">
        <f t="shared" si="9"/>
        <v>1.9095724032296935</v>
      </c>
      <c r="BN11" s="153">
        <f t="shared" si="10"/>
        <v>2.1015349352257906</v>
      </c>
      <c r="BO11" s="116" t="e">
        <f t="shared" si="11"/>
        <v>#DIV/0!</v>
      </c>
      <c r="BP11" s="153">
        <f t="shared" si="12"/>
        <v>2.1015349352257906</v>
      </c>
      <c r="BQ11" s="141" t="e">
        <f t="shared" si="13"/>
        <v>#DIV/0!</v>
      </c>
      <c r="BR11" s="111">
        <f t="shared" si="0"/>
        <v>206.07400000000001</v>
      </c>
      <c r="BS11" s="96">
        <f t="shared" si="14"/>
        <v>3.7408056042031523</v>
      </c>
      <c r="BT11" s="96">
        <f t="shared" si="15"/>
        <v>0.39951803852889667</v>
      </c>
      <c r="BU11" s="96">
        <f t="shared" si="16"/>
        <v>0</v>
      </c>
      <c r="BV11" s="96"/>
      <c r="BW11" s="96" t="e">
        <f t="shared" si="17"/>
        <v>#DIV/0!</v>
      </c>
      <c r="BX11" s="96" t="e">
        <f t="shared" si="18"/>
        <v>#DIV/0!</v>
      </c>
      <c r="BY11" s="96" t="e">
        <f t="shared" si="19"/>
        <v>#DIV/0!</v>
      </c>
      <c r="BZ11" s="96" t="e">
        <f t="shared" si="20"/>
        <v>#DIV/0!</v>
      </c>
      <c r="CA11" s="96" t="e">
        <f t="shared" si="21"/>
        <v>#DIV/0!</v>
      </c>
      <c r="CB11" s="112" t="e">
        <f t="shared" si="22"/>
        <v>#DIV/0!</v>
      </c>
      <c r="CC11" s="113">
        <f t="shared" si="23"/>
        <v>83.303085299455532</v>
      </c>
      <c r="CD11" s="13">
        <f t="shared" si="24"/>
        <v>95.281306715063522</v>
      </c>
      <c r="CE11" s="84">
        <f t="shared" si="25"/>
        <v>87.114337568058076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9.4103900000000004E-2</v>
      </c>
      <c r="CK11" s="96">
        <v>2.2496869999999999E-2</v>
      </c>
      <c r="CL11" s="96">
        <f t="shared" si="27"/>
        <v>1.1402839983420456</v>
      </c>
      <c r="CM11" s="96">
        <f t="shared" si="30"/>
        <v>1.2064420306149009</v>
      </c>
      <c r="CN11" s="96">
        <f t="shared" si="28"/>
        <v>1.0775940217452293</v>
      </c>
      <c r="CO11" s="112">
        <f t="shared" si="29"/>
        <v>1.6557969385099236E-2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770</v>
      </c>
      <c r="F12" s="96">
        <v>445</v>
      </c>
      <c r="G12" s="96">
        <v>0</v>
      </c>
      <c r="H12" s="96">
        <v>0</v>
      </c>
      <c r="I12" s="96">
        <v>1215</v>
      </c>
      <c r="J12" s="96">
        <v>0</v>
      </c>
      <c r="K12" s="96">
        <v>1215</v>
      </c>
      <c r="L12" s="111">
        <v>1215</v>
      </c>
      <c r="M12" s="96">
        <v>1082</v>
      </c>
      <c r="N12" s="96">
        <v>1120</v>
      </c>
      <c r="O12" s="96">
        <v>1053</v>
      </c>
      <c r="P12" s="112">
        <v>40.5</v>
      </c>
      <c r="Q12" s="111">
        <v>572</v>
      </c>
      <c r="R12" s="96">
        <v>437</v>
      </c>
      <c r="S12" s="96">
        <v>0</v>
      </c>
      <c r="T12" s="96">
        <v>0</v>
      </c>
      <c r="U12" s="96">
        <v>1009</v>
      </c>
      <c r="V12" s="112">
        <v>83.05</v>
      </c>
      <c r="W12" s="96">
        <v>3.3599999999999998E-2</v>
      </c>
      <c r="X12" s="96">
        <v>3.9100000000000003E-2</v>
      </c>
      <c r="Y12" s="96">
        <v>0</v>
      </c>
      <c r="Z12" s="96">
        <v>0</v>
      </c>
      <c r="AA12" s="96">
        <v>7.2700000000000001E-2</v>
      </c>
      <c r="AB12" s="96">
        <v>0</v>
      </c>
      <c r="AC12" s="96">
        <v>7.2700000000000001E-2</v>
      </c>
      <c r="AD12" s="111">
        <v>77.13</v>
      </c>
      <c r="AE12" s="13">
        <v>36.369999999999997</v>
      </c>
      <c r="AF12" s="13">
        <v>0</v>
      </c>
      <c r="AG12" s="13">
        <v>0</v>
      </c>
      <c r="AH12" s="13">
        <v>113.5</v>
      </c>
      <c r="AI12" s="13">
        <v>0</v>
      </c>
      <c r="AJ12" s="84">
        <v>113.5</v>
      </c>
      <c r="AK12" s="113">
        <v>3.84</v>
      </c>
      <c r="AL12" s="13">
        <v>2.4</v>
      </c>
      <c r="AM12" s="13">
        <v>0</v>
      </c>
      <c r="AN12" s="84">
        <v>0</v>
      </c>
      <c r="AO12" s="13">
        <v>1.341</v>
      </c>
      <c r="AP12" s="13">
        <v>0</v>
      </c>
      <c r="AQ12" s="13">
        <v>0.24399999999999999</v>
      </c>
      <c r="AR12" s="13">
        <v>0</v>
      </c>
      <c r="AS12" s="13">
        <v>0.23300000000000001</v>
      </c>
      <c r="AT12" s="113">
        <v>9.7000000000000003E-2</v>
      </c>
      <c r="AU12" s="13">
        <v>0</v>
      </c>
      <c r="AV12" s="13">
        <v>9.7000000000000003E-2</v>
      </c>
      <c r="AW12" s="13">
        <v>0.27900000000000003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0.18195376584638329</v>
      </c>
      <c r="BF12" s="157">
        <f t="shared" si="2"/>
        <v>40.5</v>
      </c>
      <c r="BG12" s="157">
        <f t="shared" si="3"/>
        <v>0</v>
      </c>
      <c r="BH12" s="157">
        <f t="shared" si="4"/>
        <v>40.5</v>
      </c>
      <c r="BI12" s="152">
        <f t="shared" si="5"/>
        <v>0.38609876525051218</v>
      </c>
      <c r="BJ12" s="153">
        <f t="shared" si="6"/>
        <v>0.38609876525051218</v>
      </c>
      <c r="BK12" s="116" t="e">
        <f t="shared" si="7"/>
        <v>#DIV/0!</v>
      </c>
      <c r="BL12" s="116">
        <f t="shared" si="8"/>
        <v>1</v>
      </c>
      <c r="BM12" s="154">
        <f t="shared" si="9"/>
        <v>0.38609876525051218</v>
      </c>
      <c r="BN12" s="153">
        <f t="shared" si="10"/>
        <v>0.38825502880814267</v>
      </c>
      <c r="BO12" s="116" t="e">
        <f t="shared" si="11"/>
        <v>#DIV/0!</v>
      </c>
      <c r="BP12" s="153">
        <f t="shared" si="12"/>
        <v>0.38825502880814267</v>
      </c>
      <c r="BQ12" s="141" t="e">
        <f t="shared" si="13"/>
        <v>#DIV/0!</v>
      </c>
      <c r="BR12" s="111">
        <f t="shared" si="0"/>
        <v>155.51999999999998</v>
      </c>
      <c r="BS12" s="96">
        <f t="shared" si="14"/>
        <v>3.8431718061674007</v>
      </c>
      <c r="BT12" s="96">
        <f t="shared" si="15"/>
        <v>0.27939859030837005</v>
      </c>
      <c r="BU12" s="96">
        <f t="shared" si="16"/>
        <v>0</v>
      </c>
      <c r="BV12" s="96"/>
      <c r="BW12" s="96" t="e">
        <f t="shared" si="17"/>
        <v>#DIV/0!</v>
      </c>
      <c r="BX12" s="96" t="e">
        <f t="shared" si="18"/>
        <v>#DIV/0!</v>
      </c>
      <c r="BY12" s="96" t="e">
        <f t="shared" si="19"/>
        <v>#DIV/0!</v>
      </c>
      <c r="BZ12" s="96" t="e">
        <f t="shared" si="20"/>
        <v>#DIV/0!</v>
      </c>
      <c r="CA12" s="96" t="e">
        <f t="shared" si="21"/>
        <v>#DIV/0!</v>
      </c>
      <c r="CB12" s="112" t="e">
        <f t="shared" si="22"/>
        <v>#DIV/0!</v>
      </c>
      <c r="CC12" s="113">
        <f t="shared" si="23"/>
        <v>89.053497942386826</v>
      </c>
      <c r="CD12" s="13">
        <f t="shared" si="24"/>
        <v>92.181069958847743</v>
      </c>
      <c r="CE12" s="84">
        <f t="shared" si="25"/>
        <v>86.666666666666671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9.5599710000000004E-2</v>
      </c>
      <c r="CK12" s="96">
        <v>2.245426E-2</v>
      </c>
      <c r="CL12" s="96">
        <f t="shared" si="27"/>
        <v>1.1493108484423418</v>
      </c>
      <c r="CM12" s="96">
        <f t="shared" si="30"/>
        <v>1.1934422956441149</v>
      </c>
      <c r="CN12" s="96">
        <f t="shared" si="28"/>
        <v>1.1066790407507878</v>
      </c>
      <c r="CO12" s="112">
        <f t="shared" si="29"/>
        <v>0.14755770435588511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784</v>
      </c>
      <c r="F13" s="96">
        <v>361</v>
      </c>
      <c r="G13" s="96">
        <v>0</v>
      </c>
      <c r="H13" s="96">
        <v>0</v>
      </c>
      <c r="I13" s="96">
        <v>1145</v>
      </c>
      <c r="J13" s="96">
        <v>0</v>
      </c>
      <c r="K13" s="96">
        <v>1145</v>
      </c>
      <c r="L13" s="111">
        <v>1145</v>
      </c>
      <c r="M13" s="96">
        <v>1051</v>
      </c>
      <c r="N13" s="96">
        <v>1022</v>
      </c>
      <c r="O13" s="96">
        <v>981</v>
      </c>
      <c r="P13" s="112">
        <v>38.200000000000003</v>
      </c>
      <c r="Q13" s="111">
        <v>637</v>
      </c>
      <c r="R13" s="96">
        <v>361</v>
      </c>
      <c r="S13" s="96">
        <v>0</v>
      </c>
      <c r="T13" s="96">
        <v>0</v>
      </c>
      <c r="U13" s="96">
        <v>998</v>
      </c>
      <c r="V13" s="112">
        <v>87.16</v>
      </c>
      <c r="W13" s="96">
        <v>3.32E-2</v>
      </c>
      <c r="X13" s="96">
        <v>3.09E-2</v>
      </c>
      <c r="Y13" s="96">
        <v>0</v>
      </c>
      <c r="Z13" s="96">
        <v>0</v>
      </c>
      <c r="AA13" s="96">
        <v>6.4000000000000001E-2</v>
      </c>
      <c r="AB13" s="96">
        <v>0</v>
      </c>
      <c r="AC13" s="96">
        <v>6.4000000000000001E-2</v>
      </c>
      <c r="AD13" s="111">
        <v>75.59</v>
      </c>
      <c r="AE13" s="13">
        <v>26.88</v>
      </c>
      <c r="AF13" s="13">
        <v>0</v>
      </c>
      <c r="AG13" s="13">
        <v>0</v>
      </c>
      <c r="AH13" s="13">
        <v>102.46</v>
      </c>
      <c r="AI13" s="13">
        <v>0</v>
      </c>
      <c r="AJ13" s="84">
        <v>102.46</v>
      </c>
      <c r="AK13" s="113">
        <v>3.75</v>
      </c>
      <c r="AL13" s="13">
        <v>2.35</v>
      </c>
      <c r="AM13" s="13">
        <v>0</v>
      </c>
      <c r="AN13" s="84">
        <v>0</v>
      </c>
      <c r="AO13" s="13">
        <v>1.403</v>
      </c>
      <c r="AP13" s="13">
        <v>0</v>
      </c>
      <c r="AQ13" s="13">
        <v>0.24</v>
      </c>
      <c r="AR13" s="13">
        <v>0</v>
      </c>
      <c r="AS13" s="13">
        <v>0.219</v>
      </c>
      <c r="AT13" s="113">
        <v>0.09</v>
      </c>
      <c r="AU13" s="13">
        <v>0</v>
      </c>
      <c r="AV13" s="13">
        <v>0.09</v>
      </c>
      <c r="AW13" s="13">
        <v>0.24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0.17106200997861723</v>
      </c>
      <c r="BF13" s="157">
        <f t="shared" si="2"/>
        <v>38.166666666666664</v>
      </c>
      <c r="BG13" s="157">
        <f t="shared" si="3"/>
        <v>0</v>
      </c>
      <c r="BH13" s="157">
        <f t="shared" si="4"/>
        <v>38.166666666666664</v>
      </c>
      <c r="BI13" s="152">
        <f t="shared" si="5"/>
        <v>0.18261904710387031</v>
      </c>
      <c r="BJ13" s="153">
        <f t="shared" si="6"/>
        <v>0.18261904710387031</v>
      </c>
      <c r="BK13" s="116" t="e">
        <f t="shared" si="7"/>
        <v>#DIV/0!</v>
      </c>
      <c r="BL13" s="116">
        <f t="shared" si="8"/>
        <v>1</v>
      </c>
      <c r="BM13" s="154">
        <f t="shared" si="9"/>
        <v>0.18261904710387031</v>
      </c>
      <c r="BN13" s="153">
        <f t="shared" si="10"/>
        <v>0.21643352307593028</v>
      </c>
      <c r="BO13" s="116" t="e">
        <f t="shared" si="11"/>
        <v>#DIV/0!</v>
      </c>
      <c r="BP13" s="153">
        <f t="shared" si="12"/>
        <v>0.21643352307593028</v>
      </c>
      <c r="BQ13" s="141" t="e">
        <f t="shared" si="13"/>
        <v>#DIV/0!</v>
      </c>
      <c r="BR13" s="111">
        <f t="shared" si="0"/>
        <v>143.25</v>
      </c>
      <c r="BS13" s="96">
        <f t="shared" si="14"/>
        <v>3.7478040210813979</v>
      </c>
      <c r="BT13" s="96">
        <f t="shared" si="15"/>
        <v>0.23985945734920947</v>
      </c>
      <c r="BU13" s="96">
        <f t="shared" si="16"/>
        <v>0</v>
      </c>
      <c r="BV13" s="96"/>
      <c r="BW13" s="96" t="e">
        <f t="shared" si="17"/>
        <v>#DIV/0!</v>
      </c>
      <c r="BX13" s="96" t="e">
        <f t="shared" si="18"/>
        <v>#DIV/0!</v>
      </c>
      <c r="BY13" s="96" t="e">
        <f t="shared" si="19"/>
        <v>#DIV/0!</v>
      </c>
      <c r="BZ13" s="96" t="e">
        <f t="shared" si="20"/>
        <v>#DIV/0!</v>
      </c>
      <c r="CA13" s="96" t="e">
        <f t="shared" si="21"/>
        <v>#DIV/0!</v>
      </c>
      <c r="CB13" s="112" t="e">
        <f t="shared" si="22"/>
        <v>#DIV/0!</v>
      </c>
      <c r="CC13" s="113">
        <f t="shared" si="23"/>
        <v>91.790393013100442</v>
      </c>
      <c r="CD13" s="13">
        <f t="shared" si="24"/>
        <v>89.257641921397379</v>
      </c>
      <c r="CE13" s="84">
        <f t="shared" si="25"/>
        <v>85.676855895196496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0.10675611</v>
      </c>
      <c r="CK13" s="96">
        <v>2.247008E-2</v>
      </c>
      <c r="CL13" s="96">
        <f t="shared" si="27"/>
        <v>1.214522567166985</v>
      </c>
      <c r="CM13" s="96">
        <f t="shared" si="30"/>
        <v>1.2552934746589473</v>
      </c>
      <c r="CN13" s="96">
        <f t="shared" si="28"/>
        <v>1.1749546922807745</v>
      </c>
      <c r="CO13" s="112">
        <f t="shared" si="29"/>
        <v>0.14770652534105277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845</v>
      </c>
      <c r="F14" s="96">
        <v>315</v>
      </c>
      <c r="G14" s="96">
        <v>0</v>
      </c>
      <c r="H14" s="96">
        <v>0</v>
      </c>
      <c r="I14" s="96">
        <v>1160</v>
      </c>
      <c r="J14" s="96">
        <v>0</v>
      </c>
      <c r="K14" s="96">
        <v>1160</v>
      </c>
      <c r="L14" s="111">
        <v>1160</v>
      </c>
      <c r="M14" s="96">
        <v>1078</v>
      </c>
      <c r="N14" s="96">
        <v>1043</v>
      </c>
      <c r="O14" s="96">
        <v>987</v>
      </c>
      <c r="P14" s="112">
        <v>38.700000000000003</v>
      </c>
      <c r="Q14" s="111">
        <v>701</v>
      </c>
      <c r="R14" s="96">
        <v>312</v>
      </c>
      <c r="S14" s="96">
        <v>0</v>
      </c>
      <c r="T14" s="96">
        <v>0</v>
      </c>
      <c r="U14" s="96">
        <v>1013</v>
      </c>
      <c r="V14" s="112">
        <v>87.33</v>
      </c>
      <c r="W14" s="96">
        <v>3.8100000000000002E-2</v>
      </c>
      <c r="X14" s="96">
        <v>2.6499999999999999E-2</v>
      </c>
      <c r="Y14" s="96">
        <v>0</v>
      </c>
      <c r="Z14" s="96">
        <v>0</v>
      </c>
      <c r="AA14" s="96">
        <v>6.4600000000000005E-2</v>
      </c>
      <c r="AB14" s="96">
        <v>0</v>
      </c>
      <c r="AC14" s="96">
        <v>6.4600000000000005E-2</v>
      </c>
      <c r="AD14" s="111">
        <v>81.48</v>
      </c>
      <c r="AE14" s="13">
        <v>22.48</v>
      </c>
      <c r="AF14" s="13">
        <v>0</v>
      </c>
      <c r="AG14" s="13">
        <v>0</v>
      </c>
      <c r="AH14" s="13">
        <v>103.96</v>
      </c>
      <c r="AI14" s="13">
        <v>0</v>
      </c>
      <c r="AJ14" s="84">
        <v>103.96</v>
      </c>
      <c r="AK14" s="113">
        <v>3.73</v>
      </c>
      <c r="AL14" s="13">
        <v>2.35</v>
      </c>
      <c r="AM14" s="13">
        <v>0</v>
      </c>
      <c r="AN14" s="84">
        <v>0</v>
      </c>
      <c r="AO14" s="13">
        <v>1.405</v>
      </c>
      <c r="AP14" s="13">
        <v>0</v>
      </c>
      <c r="AQ14" s="13">
        <v>0.20300000000000001</v>
      </c>
      <c r="AR14" s="13">
        <v>0</v>
      </c>
      <c r="AS14" s="13">
        <v>0.183</v>
      </c>
      <c r="AT14" s="113">
        <v>9.0999999999999998E-2</v>
      </c>
      <c r="AU14" s="13">
        <v>0</v>
      </c>
      <c r="AV14" s="13">
        <v>9.0999999999999998E-2</v>
      </c>
      <c r="AW14" s="13">
        <v>0.24099999999999999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0.14448398576512456</v>
      </c>
      <c r="BF14" s="157">
        <f t="shared" si="2"/>
        <v>38.666666666666664</v>
      </c>
      <c r="BG14" s="157">
        <f t="shared" si="3"/>
        <v>0</v>
      </c>
      <c r="BH14" s="157">
        <f t="shared" si="4"/>
        <v>38.666666666666664</v>
      </c>
      <c r="BI14" s="152">
        <f t="shared" si="5"/>
        <v>0.19423482923513263</v>
      </c>
      <c r="BJ14" s="153">
        <f t="shared" si="6"/>
        <v>0.19423482923513263</v>
      </c>
      <c r="BK14" s="116" t="e">
        <f t="shared" si="7"/>
        <v>#DIV/0!</v>
      </c>
      <c r="BL14" s="116">
        <f t="shared" si="8"/>
        <v>1</v>
      </c>
      <c r="BM14" s="154">
        <f t="shared" si="9"/>
        <v>0.19423482923513263</v>
      </c>
      <c r="BN14" s="153">
        <f t="shared" si="10"/>
        <v>0.23685240005316224</v>
      </c>
      <c r="BO14" s="116" t="e">
        <f t="shared" si="11"/>
        <v>#DIV/0!</v>
      </c>
      <c r="BP14" s="153">
        <f t="shared" si="12"/>
        <v>0.23685240005316224</v>
      </c>
      <c r="BQ14" s="141"/>
      <c r="BR14" s="111">
        <f t="shared" si="0"/>
        <v>144.351</v>
      </c>
      <c r="BS14" s="96">
        <f t="shared" si="14"/>
        <v>3.7283570604078498</v>
      </c>
      <c r="BT14" s="96">
        <f t="shared" si="15"/>
        <v>0.2408518661023471</v>
      </c>
      <c r="BU14" s="96">
        <f t="shared" si="16"/>
        <v>0</v>
      </c>
      <c r="BV14" s="96"/>
      <c r="BW14" s="96" t="e">
        <f t="shared" si="17"/>
        <v>#DIV/0!</v>
      </c>
      <c r="BX14" s="96" t="e">
        <f t="shared" si="18"/>
        <v>#DIV/0!</v>
      </c>
      <c r="BY14" s="96" t="e">
        <f t="shared" si="19"/>
        <v>#DIV/0!</v>
      </c>
      <c r="BZ14" s="96" t="e">
        <f t="shared" si="20"/>
        <v>#DIV/0!</v>
      </c>
      <c r="CA14" s="96" t="e">
        <f t="shared" si="21"/>
        <v>#DIV/0!</v>
      </c>
      <c r="CB14" s="112" t="e">
        <f t="shared" si="22"/>
        <v>#DIV/0!</v>
      </c>
      <c r="CC14" s="113">
        <f t="shared" si="23"/>
        <v>92.931034482758619</v>
      </c>
      <c r="CD14" s="13">
        <f t="shared" si="24"/>
        <v>89.913793103448285</v>
      </c>
      <c r="CE14" s="84">
        <f t="shared" si="25"/>
        <v>85.086206896551715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0.1080081</v>
      </c>
      <c r="CK14" s="96">
        <v>2.2532880000000002E-2</v>
      </c>
      <c r="CL14" s="96">
        <f t="shared" si="27"/>
        <v>1.2216235092651475</v>
      </c>
      <c r="CM14" s="96">
        <f t="shared" si="30"/>
        <v>1.2630376425105572</v>
      </c>
      <c r="CN14" s="96">
        <f t="shared" si="28"/>
        <v>1.1814454108043753</v>
      </c>
      <c r="CO14" s="112">
        <f t="shared" si="29"/>
        <v>0.14196235748944286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928</v>
      </c>
      <c r="F15" s="96">
        <v>328</v>
      </c>
      <c r="G15" s="96">
        <v>0</v>
      </c>
      <c r="H15" s="96">
        <v>0</v>
      </c>
      <c r="I15" s="96">
        <v>1256</v>
      </c>
      <c r="J15" s="96">
        <v>0</v>
      </c>
      <c r="K15" s="96">
        <v>1256</v>
      </c>
      <c r="L15" s="111">
        <v>1256</v>
      </c>
      <c r="M15" s="96">
        <v>1167</v>
      </c>
      <c r="N15" s="96">
        <v>1137</v>
      </c>
      <c r="O15" s="96">
        <v>1097</v>
      </c>
      <c r="P15" s="112">
        <v>41.9</v>
      </c>
      <c r="Q15" s="111">
        <v>789</v>
      </c>
      <c r="R15" s="96">
        <v>327</v>
      </c>
      <c r="S15" s="96">
        <v>0</v>
      </c>
      <c r="T15" s="96">
        <v>0</v>
      </c>
      <c r="U15" s="96">
        <v>1116</v>
      </c>
      <c r="V15" s="112">
        <v>88.85</v>
      </c>
      <c r="W15" s="96">
        <v>4.24E-2</v>
      </c>
      <c r="X15" s="96">
        <v>2.7400000000000001E-2</v>
      </c>
      <c r="Y15" s="96">
        <v>0</v>
      </c>
      <c r="Z15" s="96">
        <v>0</v>
      </c>
      <c r="AA15" s="96">
        <v>6.9800000000000001E-2</v>
      </c>
      <c r="AB15" s="96">
        <v>0</v>
      </c>
      <c r="AC15" s="96">
        <v>6.9800000000000001E-2</v>
      </c>
      <c r="AD15" s="111">
        <v>87.84</v>
      </c>
      <c r="AE15" s="13">
        <v>22.1</v>
      </c>
      <c r="AF15" s="13">
        <v>0</v>
      </c>
      <c r="AG15" s="13">
        <v>0</v>
      </c>
      <c r="AH15" s="13">
        <v>109.94</v>
      </c>
      <c r="AI15" s="13">
        <v>0</v>
      </c>
      <c r="AJ15" s="84">
        <v>109.94</v>
      </c>
      <c r="AK15" s="113">
        <v>3.81</v>
      </c>
      <c r="AL15" s="13">
        <v>2.4</v>
      </c>
      <c r="AM15" s="13">
        <v>0</v>
      </c>
      <c r="AN15" s="84">
        <v>0</v>
      </c>
      <c r="AO15" s="13">
        <v>1.4379999999999999</v>
      </c>
      <c r="AP15" s="13">
        <v>0</v>
      </c>
      <c r="AQ15" s="13">
        <v>0.216</v>
      </c>
      <c r="AR15" s="13">
        <v>0</v>
      </c>
      <c r="AS15" s="13">
        <v>0.191</v>
      </c>
      <c r="AT15" s="113">
        <v>0.1</v>
      </c>
      <c r="AU15" s="13">
        <v>0</v>
      </c>
      <c r="AV15" s="13">
        <v>0.1</v>
      </c>
      <c r="AW15" s="13">
        <v>0.26600000000000001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0.1502086230876217</v>
      </c>
      <c r="BF15" s="157">
        <f t="shared" si="2"/>
        <v>41.866666666666667</v>
      </c>
      <c r="BG15" s="157">
        <f t="shared" si="3"/>
        <v>0</v>
      </c>
      <c r="BH15" s="157">
        <f t="shared" si="4"/>
        <v>41.866666666666667</v>
      </c>
      <c r="BI15" s="152">
        <f t="shared" si="5"/>
        <v>0.30990613953038193</v>
      </c>
      <c r="BJ15" s="153">
        <f t="shared" si="6"/>
        <v>0.30990613953038193</v>
      </c>
      <c r="BK15" s="116" t="e">
        <f t="shared" si="7"/>
        <v>#DIV/0!</v>
      </c>
      <c r="BL15" s="116">
        <f t="shared" si="8"/>
        <v>1</v>
      </c>
      <c r="BM15" s="154">
        <f t="shared" si="9"/>
        <v>0.30990613953038193</v>
      </c>
      <c r="BN15" s="153">
        <f t="shared" si="10"/>
        <v>0.32740315217018873</v>
      </c>
      <c r="BO15" s="116" t="e">
        <f t="shared" si="11"/>
        <v>#DIV/0!</v>
      </c>
      <c r="BP15" s="153">
        <f t="shared" si="12"/>
        <v>0.32740315217018873</v>
      </c>
      <c r="BQ15" s="141"/>
      <c r="BR15" s="111">
        <f t="shared" si="0"/>
        <v>159.63900000000001</v>
      </c>
      <c r="BS15" s="96">
        <f t="shared" si="14"/>
        <v>3.8093505548480993</v>
      </c>
      <c r="BT15" s="96">
        <f t="shared" si="15"/>
        <v>0.26589266872839734</v>
      </c>
      <c r="BU15" s="96">
        <f t="shared" si="16"/>
        <v>0</v>
      </c>
      <c r="BV15" s="96"/>
      <c r="BW15" s="96" t="e">
        <f t="shared" si="17"/>
        <v>#DIV/0!</v>
      </c>
      <c r="BX15" s="96" t="e">
        <f t="shared" si="18"/>
        <v>#DIV/0!</v>
      </c>
      <c r="BY15" s="96" t="e">
        <f t="shared" si="19"/>
        <v>#DIV/0!</v>
      </c>
      <c r="BZ15" s="96" t="e">
        <f t="shared" si="20"/>
        <v>#DIV/0!</v>
      </c>
      <c r="CA15" s="96" t="e">
        <f t="shared" si="21"/>
        <v>#DIV/0!</v>
      </c>
      <c r="CB15" s="112" t="e">
        <f t="shared" si="22"/>
        <v>#DIV/0!</v>
      </c>
      <c r="CC15" s="113">
        <f t="shared" si="23"/>
        <v>92.914012738853501</v>
      </c>
      <c r="CD15" s="13">
        <f t="shared" si="24"/>
        <v>90.525477707006374</v>
      </c>
      <c r="CE15" s="84">
        <f t="shared" si="25"/>
        <v>87.340764331210181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0.11342446</v>
      </c>
      <c r="CK15" s="96">
        <v>2.2630239999999999E-2</v>
      </c>
      <c r="CL15" s="96">
        <f t="shared" si="27"/>
        <v>1.251879647138336</v>
      </c>
      <c r="CM15" s="96">
        <f t="shared" si="30"/>
        <v>1.297926988680451</v>
      </c>
      <c r="CN15" s="96">
        <f t="shared" si="28"/>
        <v>1.2073316848705555</v>
      </c>
      <c r="CO15" s="112">
        <f t="shared" si="29"/>
        <v>0.14007301131954897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956</v>
      </c>
      <c r="F16" s="96">
        <v>322</v>
      </c>
      <c r="G16" s="96">
        <v>0</v>
      </c>
      <c r="H16" s="96">
        <v>0</v>
      </c>
      <c r="I16" s="96">
        <v>1278</v>
      </c>
      <c r="J16" s="96">
        <v>0</v>
      </c>
      <c r="K16" s="96">
        <v>1278</v>
      </c>
      <c r="L16" s="111">
        <v>1278</v>
      </c>
      <c r="M16" s="96">
        <v>1166</v>
      </c>
      <c r="N16" s="96">
        <v>1157</v>
      </c>
      <c r="O16" s="96">
        <v>1123</v>
      </c>
      <c r="P16" s="112">
        <v>42.6</v>
      </c>
      <c r="Q16" s="111">
        <v>806</v>
      </c>
      <c r="R16" s="96">
        <v>322</v>
      </c>
      <c r="S16" s="96">
        <v>0</v>
      </c>
      <c r="T16" s="96">
        <v>0</v>
      </c>
      <c r="U16" s="96">
        <v>1128</v>
      </c>
      <c r="V16" s="112">
        <v>88.26</v>
      </c>
      <c r="W16" s="96">
        <v>4.3099999999999999E-2</v>
      </c>
      <c r="X16" s="96">
        <v>2.69E-2</v>
      </c>
      <c r="Y16" s="96">
        <v>0</v>
      </c>
      <c r="Z16" s="96">
        <v>0</v>
      </c>
      <c r="AA16" s="96">
        <v>7.0000000000000007E-2</v>
      </c>
      <c r="AB16" s="96">
        <v>0</v>
      </c>
      <c r="AC16" s="96">
        <v>7.0000000000000007E-2</v>
      </c>
      <c r="AD16" s="111">
        <v>92.18</v>
      </c>
      <c r="AE16" s="13">
        <v>21.61</v>
      </c>
      <c r="AF16" s="13">
        <v>0</v>
      </c>
      <c r="AG16" s="13">
        <v>0</v>
      </c>
      <c r="AH16" s="13">
        <v>113.79</v>
      </c>
      <c r="AI16" s="13">
        <v>0</v>
      </c>
      <c r="AJ16" s="84">
        <v>113.79</v>
      </c>
      <c r="AK16" s="113">
        <v>3.69</v>
      </c>
      <c r="AL16" s="13">
        <v>2.3199999999999998</v>
      </c>
      <c r="AM16" s="13">
        <v>0</v>
      </c>
      <c r="AN16" s="84">
        <v>0</v>
      </c>
      <c r="AO16" s="13">
        <v>1.415</v>
      </c>
      <c r="AP16" s="13">
        <v>0</v>
      </c>
      <c r="AQ16" s="13">
        <v>0.19400000000000001</v>
      </c>
      <c r="AR16" s="13">
        <v>0</v>
      </c>
      <c r="AS16" s="13">
        <v>0.183</v>
      </c>
      <c r="AT16" s="113">
        <v>9.9000000000000005E-2</v>
      </c>
      <c r="AU16" s="13">
        <v>0</v>
      </c>
      <c r="AV16" s="13">
        <v>9.9000000000000005E-2</v>
      </c>
      <c r="AW16" s="13">
        <v>0.25800000000000001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0.13710247349823321</v>
      </c>
      <c r="BF16" s="157">
        <f t="shared" si="2"/>
        <v>42.6</v>
      </c>
      <c r="BG16" s="157">
        <f t="shared" si="3"/>
        <v>0</v>
      </c>
      <c r="BH16" s="157">
        <f t="shared" si="4"/>
        <v>42.6</v>
      </c>
      <c r="BI16" s="152">
        <f t="shared" si="5"/>
        <v>0.31489221427549963</v>
      </c>
      <c r="BJ16" s="153">
        <f t="shared" si="6"/>
        <v>0.31489221427549963</v>
      </c>
      <c r="BK16" s="116" t="e">
        <f t="shared" si="7"/>
        <v>#DIV/0!</v>
      </c>
      <c r="BL16" s="116">
        <f t="shared" si="8"/>
        <v>1</v>
      </c>
      <c r="BM16" s="154">
        <f t="shared" si="9"/>
        <v>0.31489221427549963</v>
      </c>
      <c r="BN16" s="153">
        <f t="shared" si="10"/>
        <v>0.39344039117525614</v>
      </c>
      <c r="BO16" s="116" t="e">
        <f t="shared" si="11"/>
        <v>#DIV/0!</v>
      </c>
      <c r="BP16" s="153">
        <f t="shared" si="12"/>
        <v>0.39344039117525614</v>
      </c>
      <c r="BQ16" s="141"/>
      <c r="BR16" s="111">
        <f t="shared" si="0"/>
        <v>157.19400000000002</v>
      </c>
      <c r="BS16" s="96">
        <f t="shared" si="14"/>
        <v>3.6910097548114953</v>
      </c>
      <c r="BT16" s="96">
        <f t="shared" si="15"/>
        <v>0.2583706828368047</v>
      </c>
      <c r="BU16" s="96">
        <f t="shared" si="16"/>
        <v>0</v>
      </c>
      <c r="BV16" s="96"/>
      <c r="BW16" s="96" t="e">
        <f t="shared" si="17"/>
        <v>#DIV/0!</v>
      </c>
      <c r="BX16" s="96" t="e">
        <f t="shared" si="18"/>
        <v>#DIV/0!</v>
      </c>
      <c r="BY16" s="96" t="e">
        <f t="shared" si="19"/>
        <v>#DIV/0!</v>
      </c>
      <c r="BZ16" s="96" t="e">
        <f t="shared" si="20"/>
        <v>#DIV/0!</v>
      </c>
      <c r="CA16" s="96" t="e">
        <f t="shared" si="21"/>
        <v>#DIV/0!</v>
      </c>
      <c r="CB16" s="112" t="e">
        <f t="shared" si="22"/>
        <v>#DIV/0!</v>
      </c>
      <c r="CC16" s="113">
        <f t="shared" si="23"/>
        <v>91.23630672926447</v>
      </c>
      <c r="CD16" s="13">
        <f t="shared" si="24"/>
        <v>90.532081377151798</v>
      </c>
      <c r="CE16" s="84">
        <f t="shared" si="25"/>
        <v>87.87167449139281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0.11136524</v>
      </c>
      <c r="CK16" s="96">
        <v>2.2396650000000001E-2</v>
      </c>
      <c r="CL16" s="96">
        <f t="shared" si="27"/>
        <v>1.2404636639555704</v>
      </c>
      <c r="CM16" s="96">
        <f t="shared" si="30"/>
        <v>1.2862301653018129</v>
      </c>
      <c r="CN16" s="96">
        <f t="shared" si="28"/>
        <v>1.1961940537306859</v>
      </c>
      <c r="CO16" s="112">
        <f t="shared" si="29"/>
        <v>0.12876983469818715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939</v>
      </c>
      <c r="F17" s="96">
        <v>384</v>
      </c>
      <c r="G17" s="96">
        <v>0</v>
      </c>
      <c r="H17" s="96">
        <v>0</v>
      </c>
      <c r="I17" s="96">
        <v>1323</v>
      </c>
      <c r="J17" s="96">
        <v>0</v>
      </c>
      <c r="K17" s="96">
        <v>1323</v>
      </c>
      <c r="L17" s="111">
        <v>1323</v>
      </c>
      <c r="M17" s="96">
        <v>1234</v>
      </c>
      <c r="N17" s="96">
        <v>1200</v>
      </c>
      <c r="O17" s="96">
        <v>1166</v>
      </c>
      <c r="P17" s="112">
        <v>44.1</v>
      </c>
      <c r="Q17" s="111">
        <v>789</v>
      </c>
      <c r="R17" s="96">
        <v>383</v>
      </c>
      <c r="S17" s="96">
        <v>0</v>
      </c>
      <c r="T17" s="96">
        <v>0</v>
      </c>
      <c r="U17" s="96">
        <v>1172</v>
      </c>
      <c r="V17" s="112">
        <v>88.59</v>
      </c>
      <c r="W17" s="96">
        <v>4.2000000000000003E-2</v>
      </c>
      <c r="X17" s="96">
        <v>3.1699999999999999E-2</v>
      </c>
      <c r="Y17" s="96">
        <v>0</v>
      </c>
      <c r="Z17" s="96">
        <v>0</v>
      </c>
      <c r="AA17" s="96">
        <v>7.3700000000000002E-2</v>
      </c>
      <c r="AB17" s="96">
        <v>0</v>
      </c>
      <c r="AC17" s="96">
        <v>7.3700000000000002E-2</v>
      </c>
      <c r="AD17" s="111">
        <v>88.45</v>
      </c>
      <c r="AE17" s="13">
        <v>25.46</v>
      </c>
      <c r="AF17" s="13">
        <v>0</v>
      </c>
      <c r="AG17" s="13">
        <v>0</v>
      </c>
      <c r="AH17" s="13">
        <v>113.92</v>
      </c>
      <c r="AI17" s="13">
        <v>0</v>
      </c>
      <c r="AJ17" s="84">
        <v>113.92</v>
      </c>
      <c r="AK17" s="113">
        <v>3.88</v>
      </c>
      <c r="AL17" s="13">
        <v>2.4</v>
      </c>
      <c r="AM17" s="13">
        <v>0</v>
      </c>
      <c r="AN17" s="84">
        <v>0</v>
      </c>
      <c r="AO17" s="13">
        <v>1.4379999999999999</v>
      </c>
      <c r="AP17" s="13">
        <v>0</v>
      </c>
      <c r="AQ17" s="13">
        <v>0.19</v>
      </c>
      <c r="AR17" s="13">
        <v>0</v>
      </c>
      <c r="AS17" s="13">
        <v>0.16800000000000001</v>
      </c>
      <c r="AT17" s="113">
        <v>0.106</v>
      </c>
      <c r="AU17" s="13">
        <v>0</v>
      </c>
      <c r="AV17" s="13">
        <v>0.106</v>
      </c>
      <c r="AW17" s="13">
        <v>0.28599999999999998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0.13212795549374132</v>
      </c>
      <c r="BF17" s="157">
        <f t="shared" si="2"/>
        <v>44.1</v>
      </c>
      <c r="BG17" s="157">
        <f t="shared" si="3"/>
        <v>0</v>
      </c>
      <c r="BH17" s="157">
        <f t="shared" si="4"/>
        <v>44.1</v>
      </c>
      <c r="BI17" s="152">
        <f t="shared" si="5"/>
        <v>0.41431189461404544</v>
      </c>
      <c r="BJ17" s="153">
        <f t="shared" si="6"/>
        <v>0.41431189461404544</v>
      </c>
      <c r="BK17" s="116" t="e">
        <f t="shared" si="7"/>
        <v>#DIV/0!</v>
      </c>
      <c r="BL17" s="116">
        <f t="shared" si="8"/>
        <v>1</v>
      </c>
      <c r="BM17" s="154">
        <f t="shared" si="9"/>
        <v>0.41431189461404544</v>
      </c>
      <c r="BN17" s="153">
        <f t="shared" si="10"/>
        <v>0.39577602981810056</v>
      </c>
      <c r="BO17" s="116" t="e">
        <f t="shared" si="11"/>
        <v>#DIV/0!</v>
      </c>
      <c r="BP17" s="153">
        <f t="shared" si="12"/>
        <v>0.39577602981810056</v>
      </c>
      <c r="BQ17" s="141"/>
      <c r="BR17" s="111">
        <f t="shared" si="0"/>
        <v>171.108</v>
      </c>
      <c r="BS17" s="96">
        <f t="shared" si="14"/>
        <v>3.8816713483146064</v>
      </c>
      <c r="BT17" s="96">
        <f t="shared" si="15"/>
        <v>0.2860791783707865</v>
      </c>
      <c r="BU17" s="96">
        <f t="shared" si="16"/>
        <v>0</v>
      </c>
      <c r="BV17" s="96"/>
      <c r="BW17" s="96" t="e">
        <f t="shared" si="17"/>
        <v>#DIV/0!</v>
      </c>
      <c r="BX17" s="96" t="e">
        <f t="shared" si="18"/>
        <v>#DIV/0!</v>
      </c>
      <c r="BY17" s="96" t="e">
        <f t="shared" si="19"/>
        <v>#DIV/0!</v>
      </c>
      <c r="BZ17" s="96" t="e">
        <f t="shared" si="20"/>
        <v>#DIV/0!</v>
      </c>
      <c r="CA17" s="96" t="e">
        <f t="shared" si="21"/>
        <v>#DIV/0!</v>
      </c>
      <c r="CB17" s="112" t="e">
        <f t="shared" si="22"/>
        <v>#DIV/0!</v>
      </c>
      <c r="CC17" s="113">
        <f t="shared" si="23"/>
        <v>93.272864701436134</v>
      </c>
      <c r="CD17" s="13">
        <f t="shared" si="24"/>
        <v>90.702947845804999</v>
      </c>
      <c r="CE17" s="84">
        <f t="shared" si="25"/>
        <v>88.13303099017385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0.11566032</v>
      </c>
      <c r="CK17" s="96">
        <v>2.2439319999999999E-2</v>
      </c>
      <c r="CL17" s="96">
        <f t="shared" si="27"/>
        <v>1.2641581631359342</v>
      </c>
      <c r="CM17" s="96">
        <f t="shared" si="30"/>
        <v>1.3134107811487792</v>
      </c>
      <c r="CN17" s="96">
        <f t="shared" si="28"/>
        <v>1.2166124065781141</v>
      </c>
      <c r="CO17" s="112">
        <f t="shared" si="29"/>
        <v>0.12458921885122076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1025</v>
      </c>
      <c r="F18" s="118">
        <v>365</v>
      </c>
      <c r="G18" s="118">
        <v>0</v>
      </c>
      <c r="H18" s="118">
        <v>0</v>
      </c>
      <c r="I18" s="118">
        <v>1390</v>
      </c>
      <c r="J18" s="118">
        <v>0</v>
      </c>
      <c r="K18" s="118">
        <v>1390</v>
      </c>
      <c r="L18" s="117">
        <v>1390</v>
      </c>
      <c r="M18" s="118">
        <v>1277</v>
      </c>
      <c r="N18" s="118">
        <v>1281</v>
      </c>
      <c r="O18" s="118">
        <v>1248</v>
      </c>
      <c r="P18" s="144">
        <v>46.3</v>
      </c>
      <c r="Q18" s="117">
        <v>866</v>
      </c>
      <c r="R18" s="118">
        <v>364</v>
      </c>
      <c r="S18" s="118">
        <v>0</v>
      </c>
      <c r="T18" s="118">
        <v>0</v>
      </c>
      <c r="U18" s="118">
        <v>1230</v>
      </c>
      <c r="V18" s="144">
        <v>88.49</v>
      </c>
      <c r="W18" s="118">
        <v>4.6899999999999997E-2</v>
      </c>
      <c r="X18" s="118">
        <v>3.0700000000000002E-2</v>
      </c>
      <c r="Y18" s="118">
        <v>0</v>
      </c>
      <c r="Z18" s="118">
        <v>0</v>
      </c>
      <c r="AA18" s="118">
        <v>7.7600000000000002E-2</v>
      </c>
      <c r="AB18" s="118">
        <v>0</v>
      </c>
      <c r="AC18" s="118">
        <v>7.7600000000000002E-2</v>
      </c>
      <c r="AD18" s="117">
        <v>99.09</v>
      </c>
      <c r="AE18" s="145">
        <v>25.11</v>
      </c>
      <c r="AF18" s="145">
        <v>0</v>
      </c>
      <c r="AG18" s="145">
        <v>0</v>
      </c>
      <c r="AH18" s="145">
        <v>124.2</v>
      </c>
      <c r="AI18" s="145">
        <v>0</v>
      </c>
      <c r="AJ18" s="144">
        <v>124.2</v>
      </c>
      <c r="AK18" s="117">
        <v>3.75</v>
      </c>
      <c r="AL18" s="118">
        <v>2.37</v>
      </c>
      <c r="AM18" s="118">
        <v>0</v>
      </c>
      <c r="AN18" s="144">
        <v>0</v>
      </c>
      <c r="AO18" s="118">
        <v>1.4139999999999999</v>
      </c>
      <c r="AP18" s="118">
        <v>0</v>
      </c>
      <c r="AQ18" s="118">
        <v>0.186</v>
      </c>
      <c r="AR18" s="118">
        <v>0</v>
      </c>
      <c r="AS18" s="118">
        <v>0.16900000000000001</v>
      </c>
      <c r="AT18" s="117">
        <v>0.11</v>
      </c>
      <c r="AU18" s="145">
        <v>0</v>
      </c>
      <c r="AV18" s="145">
        <v>0.11</v>
      </c>
      <c r="AW18" s="145">
        <v>0.29099999999999998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46.333333333333336</v>
      </c>
      <c r="BG18" s="159">
        <f t="shared" si="3"/>
        <v>0</v>
      </c>
      <c r="BH18" s="160">
        <f t="shared" si="4"/>
        <v>46.333333333333336</v>
      </c>
      <c r="BI18" s="117">
        <f t="shared" si="5"/>
        <v>0.53384816886533215</v>
      </c>
      <c r="BJ18" s="118">
        <f t="shared" si="6"/>
        <v>0.53384816886533215</v>
      </c>
      <c r="BK18" s="131" t="e">
        <f t="shared" si="7"/>
        <v>#DIV/0!</v>
      </c>
      <c r="BL18" s="131">
        <f t="shared" si="8"/>
        <v>1</v>
      </c>
      <c r="BM18" s="155">
        <f t="shared" si="9"/>
        <v>0.53384816886533215</v>
      </c>
      <c r="BN18" s="118">
        <f t="shared" si="10"/>
        <v>0.60235598258051148</v>
      </c>
      <c r="BO18" s="131" t="e">
        <f t="shared" si="11"/>
        <v>#DIV/0!</v>
      </c>
      <c r="BP18" s="156">
        <f t="shared" si="12"/>
        <v>0.60235598258051148</v>
      </c>
      <c r="BQ18" s="143" t="e">
        <f t="shared" ref="BQ18" si="31">I18/H18</f>
        <v>#DIV/0!</v>
      </c>
      <c r="BR18" s="36">
        <f t="shared" si="0"/>
        <v>173.625</v>
      </c>
      <c r="BS18" s="37">
        <f t="shared" si="14"/>
        <v>3.7487922705314012</v>
      </c>
      <c r="BT18" s="37">
        <f t="shared" si="15"/>
        <v>0.29090628019323672</v>
      </c>
      <c r="BU18" s="37">
        <f t="shared" si="16"/>
        <v>0</v>
      </c>
      <c r="BV18" s="37"/>
      <c r="BW18" s="37" t="e">
        <f t="shared" si="17"/>
        <v>#DIV/0!</v>
      </c>
      <c r="BX18" s="37" t="e">
        <f t="shared" si="18"/>
        <v>#DIV/0!</v>
      </c>
      <c r="BY18" s="37" t="e">
        <f t="shared" si="19"/>
        <v>#DIV/0!</v>
      </c>
      <c r="BZ18" s="37" t="e">
        <f t="shared" si="20"/>
        <v>#DIV/0!</v>
      </c>
      <c r="CA18" s="37" t="e">
        <f t="shared" si="21"/>
        <v>#DIV/0!</v>
      </c>
      <c r="CB18" s="35" t="e">
        <f t="shared" si="22"/>
        <v>#DIV/0!</v>
      </c>
      <c r="CC18" s="88">
        <f t="shared" si="23"/>
        <v>91.870503597122294</v>
      </c>
      <c r="CD18" s="89">
        <f t="shared" si="24"/>
        <v>92.158273381294961</v>
      </c>
      <c r="CE18" s="90">
        <f t="shared" si="25"/>
        <v>89.7841726618705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0.11533073000000001</v>
      </c>
      <c r="CK18" s="118">
        <v>2.2434909999999999E-2</v>
      </c>
      <c r="CL18" s="118">
        <f>SQRT(2*CONVERT(CJ18, "psi", "Pa") / $J$1)</f>
        <v>1.2623556817801025</v>
      </c>
      <c r="CM18" s="118">
        <f t="shared" si="30"/>
        <v>1.3143062193322257</v>
      </c>
      <c r="CN18" s="118">
        <f t="shared" si="28"/>
        <v>1.212316056712045</v>
      </c>
      <c r="CO18" s="118">
        <f t="shared" si="29"/>
        <v>9.9693780667774234E-2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/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 t="e">
        <f t="shared" si="17"/>
        <v>#DIV/0!</v>
      </c>
      <c r="BX19" s="96" t="e">
        <f t="shared" si="18"/>
        <v>#DIV/0!</v>
      </c>
      <c r="BY19" s="96" t="e">
        <f t="shared" si="19"/>
        <v>#DIV/0!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30"/>
        <v>#N/A</v>
      </c>
      <c r="CN19" s="110" t="e">
        <f t="shared" si="28"/>
        <v>#N/A</v>
      </c>
      <c r="CO19" s="112">
        <f t="shared" si="29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/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 t="e">
        <f t="shared" si="17"/>
        <v>#DIV/0!</v>
      </c>
      <c r="BX20" s="96" t="e">
        <f t="shared" si="18"/>
        <v>#DIV/0!</v>
      </c>
      <c r="BY20" s="96" t="e">
        <f t="shared" si="19"/>
        <v>#DIV/0!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30"/>
        <v>#N/A</v>
      </c>
      <c r="CN20" s="110" t="e">
        <f t="shared" si="28"/>
        <v>#N/A</v>
      </c>
      <c r="CO20" s="112">
        <f t="shared" si="29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 t="e">
        <f t="shared" si="17"/>
        <v>#DIV/0!</v>
      </c>
      <c r="BX21" s="96" t="e">
        <f t="shared" si="18"/>
        <v>#DIV/0!</v>
      </c>
      <c r="BY21" s="96" t="e">
        <f t="shared" si="19"/>
        <v>#DIV/0!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30"/>
        <v>#N/A</v>
      </c>
      <c r="CN21" s="110" t="e">
        <f t="shared" si="28"/>
        <v>#N/A</v>
      </c>
      <c r="CO21" s="112">
        <f t="shared" si="29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 t="e">
        <f t="shared" si="17"/>
        <v>#DIV/0!</v>
      </c>
      <c r="BX22" s="96" t="e">
        <f t="shared" si="18"/>
        <v>#DIV/0!</v>
      </c>
      <c r="BY22" s="96" t="e">
        <f t="shared" si="19"/>
        <v>#DIV/0!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30"/>
        <v>#N/A</v>
      </c>
      <c r="CN22" s="110" t="e">
        <f t="shared" si="28"/>
        <v>#N/A</v>
      </c>
      <c r="CO22" s="112">
        <f t="shared" si="29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 t="e">
        <f t="shared" si="17"/>
        <v>#DIV/0!</v>
      </c>
      <c r="BX23" s="96" t="e">
        <f t="shared" si="18"/>
        <v>#DIV/0!</v>
      </c>
      <c r="BY23" s="96" t="e">
        <f t="shared" si="19"/>
        <v>#DIV/0!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30"/>
        <v>#N/A</v>
      </c>
      <c r="CN23" s="110" t="e">
        <f t="shared" si="28"/>
        <v>#N/A</v>
      </c>
      <c r="CO23" s="112">
        <f t="shared" si="29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 t="e">
        <f t="shared" si="17"/>
        <v>#DIV/0!</v>
      </c>
      <c r="BX24" s="96" t="e">
        <f t="shared" si="18"/>
        <v>#DIV/0!</v>
      </c>
      <c r="BY24" s="96" t="e">
        <f t="shared" si="19"/>
        <v>#DIV/0!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30"/>
        <v>#N/A</v>
      </c>
      <c r="CN24" s="110" t="e">
        <f t="shared" si="28"/>
        <v>#N/A</v>
      </c>
      <c r="CO24" s="112">
        <f t="shared" si="29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 t="e">
        <f t="shared" si="17"/>
        <v>#DIV/0!</v>
      </c>
      <c r="BX25" s="96" t="e">
        <f t="shared" si="18"/>
        <v>#DIV/0!</v>
      </c>
      <c r="BY25" s="96" t="e">
        <f t="shared" si="19"/>
        <v>#DIV/0!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30"/>
        <v>#N/A</v>
      </c>
      <c r="CN25" s="110" t="e">
        <f t="shared" si="28"/>
        <v>#N/A</v>
      </c>
      <c r="CO25" s="112">
        <f t="shared" si="29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 t="e">
        <f t="shared" si="17"/>
        <v>#DIV/0!</v>
      </c>
      <c r="BX26" s="96" t="e">
        <f t="shared" si="18"/>
        <v>#DIV/0!</v>
      </c>
      <c r="BY26" s="96" t="e">
        <f t="shared" si="19"/>
        <v>#DIV/0!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30"/>
        <v>#N/A</v>
      </c>
      <c r="CN26" s="110" t="e">
        <f t="shared" si="28"/>
        <v>#N/A</v>
      </c>
      <c r="CO26" s="112">
        <f t="shared" si="29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 t="e">
        <f t="shared" si="17"/>
        <v>#DIV/0!</v>
      </c>
      <c r="BX27" s="96" t="e">
        <f t="shared" si="18"/>
        <v>#DIV/0!</v>
      </c>
      <c r="BY27" s="96" t="e">
        <f t="shared" si="19"/>
        <v>#DIV/0!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30"/>
        <v>#N/A</v>
      </c>
      <c r="CN27" s="96" t="e">
        <f t="shared" si="28"/>
        <v>#N/A</v>
      </c>
      <c r="CO27" s="112">
        <f t="shared" si="29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30"/>
        <v>0</v>
      </c>
      <c r="CN28" s="195">
        <f>(1-AC27)*CM28</f>
        <v>0</v>
      </c>
      <c r="CO28" s="196">
        <f t="shared" si="29"/>
        <v>0</v>
      </c>
    </row>
    <row r="29" spans="1:93" ht="15.75" thickBot="1" x14ac:dyDescent="0.3">
      <c r="A29" s="235" t="s">
        <v>55</v>
      </c>
      <c r="B29" s="236"/>
      <c r="C29" s="237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454.47999999999996</v>
      </c>
      <c r="F29" s="38">
        <f t="shared" si="33"/>
        <v>244.06666666666669</v>
      </c>
      <c r="G29" s="38">
        <f t="shared" si="33"/>
        <v>0</v>
      </c>
      <c r="H29" s="38">
        <f t="shared" si="33"/>
        <v>0</v>
      </c>
      <c r="I29" s="38">
        <f t="shared" si="33"/>
        <v>698.54666666666674</v>
      </c>
      <c r="J29" s="38">
        <f t="shared" si="33"/>
        <v>0</v>
      </c>
      <c r="K29" s="38">
        <f t="shared" si="33"/>
        <v>698.54666666666674</v>
      </c>
      <c r="L29" s="38">
        <f t="shared" si="33"/>
        <v>698.54666666666674</v>
      </c>
      <c r="M29" s="38">
        <f t="shared" si="33"/>
        <v>631.94666666666672</v>
      </c>
      <c r="N29" s="38">
        <f t="shared" si="33"/>
        <v>612.20000000000005</v>
      </c>
      <c r="O29" s="38">
        <f t="shared" si="33"/>
        <v>581.45333333333338</v>
      </c>
      <c r="P29" s="38">
        <f t="shared" si="33"/>
        <v>23.28533333333333</v>
      </c>
      <c r="Q29" s="38">
        <f t="shared" si="33"/>
        <v>350.73333333333329</v>
      </c>
      <c r="R29" s="38">
        <f t="shared" si="33"/>
        <v>235.66666666666666</v>
      </c>
      <c r="S29" s="38">
        <f t="shared" si="33"/>
        <v>0</v>
      </c>
      <c r="T29" s="38">
        <f t="shared" si="33"/>
        <v>0</v>
      </c>
      <c r="U29" s="38">
        <f t="shared" si="33"/>
        <v>586.4</v>
      </c>
      <c r="V29" s="38">
        <f t="shared" si="33"/>
        <v>39.305199999999999</v>
      </c>
      <c r="W29" s="38">
        <f t="shared" si="33"/>
        <v>2.1782666666666669E-2</v>
      </c>
      <c r="X29" s="38">
        <f t="shared" si="33"/>
        <v>2.3062666666666669E-2</v>
      </c>
      <c r="Y29" s="38">
        <f t="shared" si="33"/>
        <v>0</v>
      </c>
      <c r="Z29" s="38">
        <f t="shared" si="33"/>
        <v>0</v>
      </c>
      <c r="AA29" s="38">
        <f t="shared" si="33"/>
        <v>4.4838666666666666E-2</v>
      </c>
      <c r="AB29" s="38">
        <f t="shared" si="33"/>
        <v>0</v>
      </c>
      <c r="AC29" s="38">
        <f t="shared" si="33"/>
        <v>4.4838666666666666E-2</v>
      </c>
      <c r="AD29" s="38">
        <f t="shared" si="33"/>
        <v>47.919466666666665</v>
      </c>
      <c r="AE29" s="38">
        <f t="shared" si="33"/>
        <v>22.008933333333335</v>
      </c>
      <c r="AF29" s="38">
        <f t="shared" si="33"/>
        <v>0</v>
      </c>
      <c r="AG29" s="38">
        <f t="shared" si="33"/>
        <v>0</v>
      </c>
      <c r="AH29" s="38">
        <f t="shared" si="33"/>
        <v>69.927866666666674</v>
      </c>
      <c r="AI29" s="38">
        <f t="shared" si="33"/>
        <v>0</v>
      </c>
      <c r="AJ29" s="38">
        <f t="shared" si="33"/>
        <v>69.927866666666674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1.7826666666666666</v>
      </c>
      <c r="AL29" s="38">
        <f t="shared" si="34"/>
        <v>1.1312</v>
      </c>
      <c r="AM29" s="38">
        <f t="shared" si="34"/>
        <v>0</v>
      </c>
      <c r="AN29" s="38">
        <f t="shared" si="34"/>
        <v>0</v>
      </c>
      <c r="AO29" s="38">
        <f t="shared" si="34"/>
        <v>0.60339999999999994</v>
      </c>
      <c r="AP29" s="38">
        <f t="shared" si="34"/>
        <v>0</v>
      </c>
      <c r="AQ29" s="38">
        <f t="shared" si="34"/>
        <v>0.11435999999999999</v>
      </c>
      <c r="AR29" s="38">
        <f t="shared" si="34"/>
        <v>0</v>
      </c>
      <c r="AS29" s="38">
        <f t="shared" si="34"/>
        <v>0.11131999999999999</v>
      </c>
      <c r="AT29" s="38">
        <f t="shared" si="34"/>
        <v>5.6840000000000009E-2</v>
      </c>
      <c r="AU29" s="38">
        <f t="shared" si="34"/>
        <v>0</v>
      </c>
      <c r="AV29" s="38">
        <f t="shared" si="34"/>
        <v>5.6840000000000009E-2</v>
      </c>
      <c r="AW29" s="38">
        <f t="shared" si="34"/>
        <v>0.17302666666666666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8.9436106764584578E-2</v>
      </c>
      <c r="BF29" s="38">
        <f t="shared" si="34"/>
        <v>23.284888888888887</v>
      </c>
      <c r="BG29" s="38">
        <f t="shared" si="34"/>
        <v>0</v>
      </c>
      <c r="BH29" s="38">
        <f t="shared" si="34"/>
        <v>23.284888888888887</v>
      </c>
      <c r="BI29" s="38">
        <f t="shared" si="34"/>
        <v>1.2397437594220666</v>
      </c>
      <c r="BJ29" s="38">
        <f t="shared" si="34"/>
        <v>1.2397437594220666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1.2397437594220666</v>
      </c>
      <c r="BN29" s="38">
        <f t="shared" si="34"/>
        <v>1.1896016099651765</v>
      </c>
      <c r="BO29" s="38" t="e">
        <f t="shared" si="34"/>
        <v>#DIV/0!</v>
      </c>
      <c r="BP29" s="38">
        <f t="shared" si="34"/>
        <v>1.1896016099651765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89.518093333333326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 t="e">
        <f t="shared" si="35"/>
        <v>#DIV/0!</v>
      </c>
      <c r="BX29" s="38" t="e">
        <f t="shared" si="35"/>
        <v>#DIV/0!</v>
      </c>
      <c r="BY29" s="38" t="e">
        <f t="shared" si="35"/>
        <v>#DIV/0!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0.52792938934475775</v>
      </c>
      <c r="CM29" s="38" t="e">
        <f t="shared" si="36"/>
        <v>#N/A</v>
      </c>
      <c r="CN29" s="38" t="e">
        <f t="shared" si="36"/>
        <v>#N/A</v>
      </c>
      <c r="CO29" s="38">
        <f t="shared" si="36"/>
        <v>4.846078459594394E-2</v>
      </c>
    </row>
    <row r="50" spans="1:187" ht="15.75" thickBot="1" x14ac:dyDescent="0.3">
      <c r="A50" s="17" t="s">
        <v>271</v>
      </c>
      <c r="B50" s="13" t="s">
        <v>291</v>
      </c>
      <c r="CQ50" s="17" t="s">
        <v>271</v>
      </c>
      <c r="CR50" s="13" t="s">
        <v>294</v>
      </c>
    </row>
    <row r="51" spans="1:187" ht="18.75" customHeight="1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  <c r="BE51" s="14"/>
      <c r="BF51" s="243" t="s">
        <v>187</v>
      </c>
      <c r="BG51" s="244"/>
      <c r="BH51" s="245"/>
      <c r="BI51" s="243" t="s">
        <v>180</v>
      </c>
      <c r="BJ51" s="244"/>
      <c r="BK51" s="244"/>
      <c r="BL51" s="244"/>
      <c r="BM51" s="245"/>
      <c r="BN51" s="243" t="s">
        <v>181</v>
      </c>
      <c r="BO51" s="244"/>
      <c r="BP51" s="245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32" t="s">
        <v>121</v>
      </c>
      <c r="CD51" s="233"/>
      <c r="CE51" s="234"/>
      <c r="CF51" s="222" t="s">
        <v>14</v>
      </c>
      <c r="CG51" s="222" t="s">
        <v>49</v>
      </c>
      <c r="CH51" s="224" t="s">
        <v>10</v>
      </c>
      <c r="CI51" s="226" t="s">
        <v>58</v>
      </c>
      <c r="CJ51" s="228" t="s">
        <v>297</v>
      </c>
      <c r="CK51" s="230" t="s">
        <v>298</v>
      </c>
      <c r="CL51" s="230" t="s">
        <v>300</v>
      </c>
      <c r="CM51" s="230" t="s">
        <v>299</v>
      </c>
      <c r="CN51" s="230" t="s">
        <v>303</v>
      </c>
      <c r="CO51" s="230" t="s">
        <v>307</v>
      </c>
      <c r="CQ51" s="222" t="s">
        <v>14</v>
      </c>
      <c r="CR51" s="222" t="s">
        <v>49</v>
      </c>
      <c r="CS51" s="224" t="s">
        <v>10</v>
      </c>
      <c r="CT51" s="226" t="s">
        <v>58</v>
      </c>
      <c r="CU51" s="246" t="s">
        <v>15</v>
      </c>
      <c r="CV51" s="247"/>
      <c r="CW51" s="247"/>
      <c r="CX51" s="247"/>
      <c r="CY51" s="247"/>
      <c r="CZ51" s="247"/>
      <c r="DA51" s="248"/>
      <c r="DB51" s="246" t="s">
        <v>53</v>
      </c>
      <c r="DC51" s="247"/>
      <c r="DD51" s="247"/>
      <c r="DE51" s="247"/>
      <c r="DF51" s="248"/>
      <c r="DG51" s="246" t="s">
        <v>33</v>
      </c>
      <c r="DH51" s="247"/>
      <c r="DI51" s="247"/>
      <c r="DJ51" s="247"/>
      <c r="DK51" s="247"/>
      <c r="DL51" s="248"/>
      <c r="DM51" s="246" t="s">
        <v>16</v>
      </c>
      <c r="DN51" s="247"/>
      <c r="DO51" s="247"/>
      <c r="DP51" s="247"/>
      <c r="DQ51" s="247"/>
      <c r="DR51" s="247"/>
      <c r="DS51" s="248"/>
      <c r="DT51" s="246" t="s">
        <v>17</v>
      </c>
      <c r="DU51" s="247"/>
      <c r="DV51" s="247"/>
      <c r="DW51" s="247"/>
      <c r="DX51" s="247"/>
      <c r="DY51" s="247"/>
      <c r="DZ51" s="248"/>
      <c r="EA51" s="238" t="s">
        <v>34</v>
      </c>
      <c r="EB51" s="239"/>
      <c r="EC51" s="239"/>
      <c r="ED51" s="240"/>
      <c r="EE51" s="238" t="s">
        <v>18</v>
      </c>
      <c r="EF51" s="239"/>
      <c r="EG51" s="239"/>
      <c r="EH51" s="239"/>
      <c r="EI51" s="240"/>
      <c r="EJ51" s="238" t="s">
        <v>50</v>
      </c>
      <c r="EK51" s="239"/>
      <c r="EL51" s="241"/>
      <c r="EM51" s="242" t="s">
        <v>52</v>
      </c>
      <c r="EN51" s="240"/>
      <c r="EO51" s="238" t="s">
        <v>51</v>
      </c>
      <c r="EP51" s="239"/>
      <c r="EQ51" s="239"/>
      <c r="ER51" s="239"/>
      <c r="ES51" s="239"/>
      <c r="ET51" s="240"/>
      <c r="EU51" s="14"/>
      <c r="EV51" s="243" t="s">
        <v>187</v>
      </c>
      <c r="EW51" s="244"/>
      <c r="EX51" s="245"/>
      <c r="EY51" s="243" t="s">
        <v>180</v>
      </c>
      <c r="EZ51" s="244"/>
      <c r="FA51" s="244"/>
      <c r="FB51" s="244"/>
      <c r="FC51" s="245"/>
      <c r="FD51" s="243" t="s">
        <v>181</v>
      </c>
      <c r="FE51" s="244"/>
      <c r="FF51" s="245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32" t="s">
        <v>121</v>
      </c>
      <c r="FT51" s="233"/>
      <c r="FU51" s="234"/>
      <c r="FV51" s="222" t="s">
        <v>14</v>
      </c>
      <c r="FW51" s="222" t="s">
        <v>49</v>
      </c>
      <c r="FX51" s="224" t="s">
        <v>10</v>
      </c>
      <c r="FY51" s="226" t="s">
        <v>58</v>
      </c>
      <c r="FZ51" s="228" t="s">
        <v>297</v>
      </c>
      <c r="GA51" s="230" t="s">
        <v>298</v>
      </c>
      <c r="GB51" s="230" t="s">
        <v>300</v>
      </c>
      <c r="GC51" s="230" t="s">
        <v>299</v>
      </c>
      <c r="GD51" s="230" t="s">
        <v>303</v>
      </c>
      <c r="GE51" s="230" t="s">
        <v>307</v>
      </c>
    </row>
    <row r="52" spans="1:187" ht="18" thickBot="1" x14ac:dyDescent="0.35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23"/>
      <c r="CG52" s="223"/>
      <c r="CH52" s="225"/>
      <c r="CI52" s="227"/>
      <c r="CJ52" s="229"/>
      <c r="CK52" s="231"/>
      <c r="CL52" s="231"/>
      <c r="CM52" s="231"/>
      <c r="CN52" s="231"/>
      <c r="CO52" s="231"/>
      <c r="CP52" s="116"/>
      <c r="CQ52" s="223"/>
      <c r="CR52" s="223"/>
      <c r="CS52" s="225"/>
      <c r="CT52" s="227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23"/>
      <c r="FW52" s="223"/>
      <c r="FX52" s="225"/>
      <c r="FY52" s="227"/>
      <c r="FZ52" s="229"/>
      <c r="GA52" s="231"/>
      <c r="GB52" s="231"/>
      <c r="GC52" s="231"/>
      <c r="GD52" s="231"/>
      <c r="GE52" s="231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 t="e">
        <f t="shared" ref="BW53:BW72" si="39">$G$2*(1-ABS(A53))^(1/$G$1)</f>
        <v>#DIV/0!</v>
      </c>
      <c r="BX53" s="33" t="e">
        <f t="shared" ref="BX53" si="40">SUM(W53:X53)*AO53+SUM(Y53:Z53)*AP53+(1-AC53)*BW53</f>
        <v>#DIV/0!</v>
      </c>
      <c r="BY53" s="33" t="e">
        <f t="shared" ref="BY53:BY72" si="41">AC53*BX53</f>
        <v>#DIV/0!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#DIV/0!</v>
      </c>
      <c r="FN53" s="33" t="e">
        <f t="shared" ref="FN53" si="45">SUM(DM53:DN53)*EE53+SUM(DO53:DP53)*EF53+(1-DS53)*FM53</f>
        <v>#DIV/0!</v>
      </c>
      <c r="FO53" s="33" t="e">
        <f t="shared" ref="FO53:FO72" si="46">DS53*FN53</f>
        <v>#DIV/0!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 t="e">
        <f t="shared" si="39"/>
        <v>#DIV/0!</v>
      </c>
      <c r="BX54" s="96" t="e">
        <f t="shared" ref="BX54:BX72" si="62">SUM(W54:X54)*AO54+SUM(Y54:Z54)*AP54+(1-AC54)*BW54</f>
        <v>#DIV/0!</v>
      </c>
      <c r="BY54" s="96" t="e">
        <f t="shared" si="41"/>
        <v>#DIV/0!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#DIV/0!</v>
      </c>
      <c r="FN54" s="96" t="e">
        <f t="shared" ref="FN54:FN72" si="89">SUM(DM54:DN54)*EE54+SUM(DO54:DP54)*EF54+(1-DS54)*FM54</f>
        <v>#DIV/0!</v>
      </c>
      <c r="FO54" s="96" t="e">
        <f t="shared" si="46"/>
        <v>#DIV/0!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 t="e">
        <f t="shared" si="39"/>
        <v>#DIV/0!</v>
      </c>
      <c r="BX55" s="96" t="e">
        <f t="shared" si="62"/>
        <v>#DIV/0!</v>
      </c>
      <c r="BY55" s="96" t="e">
        <f t="shared" si="41"/>
        <v>#DIV/0!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#DIV/0!</v>
      </c>
      <c r="FN55" s="96" t="e">
        <f t="shared" si="89"/>
        <v>#DIV/0!</v>
      </c>
      <c r="FO55" s="96" t="e">
        <f t="shared" si="46"/>
        <v>#DIV/0!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 t="e">
        <f t="shared" si="39"/>
        <v>#DIV/0!</v>
      </c>
      <c r="BX56" s="96" t="e">
        <f t="shared" si="62"/>
        <v>#DIV/0!</v>
      </c>
      <c r="BY56" s="96" t="e">
        <f t="shared" si="41"/>
        <v>#DIV/0!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#DIV/0!</v>
      </c>
      <c r="FN56" s="96" t="e">
        <f t="shared" si="89"/>
        <v>#DIV/0!</v>
      </c>
      <c r="FO56" s="96" t="e">
        <f t="shared" si="46"/>
        <v>#DIV/0!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 t="e">
        <f t="shared" si="39"/>
        <v>#DIV/0!</v>
      </c>
      <c r="BX57" s="96" t="e">
        <f t="shared" si="62"/>
        <v>#DIV/0!</v>
      </c>
      <c r="BY57" s="96" t="e">
        <f t="shared" si="41"/>
        <v>#DIV/0!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#DIV/0!</v>
      </c>
      <c r="FN57" s="96" t="e">
        <f t="shared" si="89"/>
        <v>#DIV/0!</v>
      </c>
      <c r="FO57" s="96" t="e">
        <f t="shared" si="46"/>
        <v>#DIV/0!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 t="e">
        <f t="shared" si="39"/>
        <v>#DIV/0!</v>
      </c>
      <c r="BX58" s="96" t="e">
        <f t="shared" si="62"/>
        <v>#DIV/0!</v>
      </c>
      <c r="BY58" s="96" t="e">
        <f t="shared" si="41"/>
        <v>#DIV/0!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#DIV/0!</v>
      </c>
      <c r="FN58" s="96" t="e">
        <f t="shared" si="89"/>
        <v>#DIV/0!</v>
      </c>
      <c r="FO58" s="96" t="e">
        <f t="shared" si="46"/>
        <v>#DIV/0!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 t="e">
        <f t="shared" si="39"/>
        <v>#DIV/0!</v>
      </c>
      <c r="BX59" s="96" t="e">
        <f t="shared" si="62"/>
        <v>#DIV/0!</v>
      </c>
      <c r="BY59" s="96" t="e">
        <f t="shared" si="41"/>
        <v>#DIV/0!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#DIV/0!</v>
      </c>
      <c r="FN59" s="96" t="e">
        <f t="shared" si="89"/>
        <v>#DIV/0!</v>
      </c>
      <c r="FO59" s="96" t="e">
        <f t="shared" si="46"/>
        <v>#DIV/0!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 t="e">
        <f t="shared" si="39"/>
        <v>#DIV/0!</v>
      </c>
      <c r="BX60" s="96" t="e">
        <f t="shared" si="62"/>
        <v>#DIV/0!</v>
      </c>
      <c r="BY60" s="96" t="e">
        <f t="shared" si="41"/>
        <v>#DIV/0!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#DIV/0!</v>
      </c>
      <c r="FN60" s="96" t="e">
        <f t="shared" si="89"/>
        <v>#DIV/0!</v>
      </c>
      <c r="FO60" s="96" t="e">
        <f t="shared" si="46"/>
        <v>#DIV/0!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 t="e">
        <f t="shared" si="39"/>
        <v>#DIV/0!</v>
      </c>
      <c r="BX61" s="96" t="e">
        <f t="shared" si="62"/>
        <v>#DIV/0!</v>
      </c>
      <c r="BY61" s="96" t="e">
        <f t="shared" si="41"/>
        <v>#DIV/0!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#DIV/0!</v>
      </c>
      <c r="FN61" s="96" t="e">
        <f t="shared" si="89"/>
        <v>#DIV/0!</v>
      </c>
      <c r="FO61" s="96" t="e">
        <f t="shared" si="46"/>
        <v>#DIV/0!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 t="e">
        <f t="shared" si="39"/>
        <v>#DIV/0!</v>
      </c>
      <c r="BX62" s="96" t="e">
        <f t="shared" si="62"/>
        <v>#DIV/0!</v>
      </c>
      <c r="BY62" s="96" t="e">
        <f t="shared" si="41"/>
        <v>#DIV/0!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#DIV/0!</v>
      </c>
      <c r="FN62" s="96" t="e">
        <f t="shared" si="89"/>
        <v>#DIV/0!</v>
      </c>
      <c r="FO62" s="96" t="e">
        <f t="shared" si="46"/>
        <v>#DIV/0!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 t="e">
        <f t="shared" si="39"/>
        <v>#DIV/0!</v>
      </c>
      <c r="BX63" s="37" t="e">
        <f t="shared" si="62"/>
        <v>#DIV/0!</v>
      </c>
      <c r="BY63" s="37" t="e">
        <f t="shared" si="41"/>
        <v>#DIV/0!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#DIV/0!</v>
      </c>
      <c r="FN63" s="37" t="e">
        <f t="shared" si="89"/>
        <v>#DIV/0!</v>
      </c>
      <c r="FO63" s="37" t="e">
        <f t="shared" si="46"/>
        <v>#DIV/0!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 t="e">
        <f t="shared" si="39"/>
        <v>#DIV/0!</v>
      </c>
      <c r="BX64" s="96" t="e">
        <f t="shared" si="62"/>
        <v>#DIV/0!</v>
      </c>
      <c r="BY64" s="96" t="e">
        <f t="shared" si="41"/>
        <v>#DIV/0!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#DIV/0!</v>
      </c>
      <c r="FN64" s="96" t="e">
        <f t="shared" si="89"/>
        <v>#DIV/0!</v>
      </c>
      <c r="FO64" s="96" t="e">
        <f t="shared" si="46"/>
        <v>#DIV/0!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 t="e">
        <f t="shared" si="39"/>
        <v>#DIV/0!</v>
      </c>
      <c r="BX65" s="96" t="e">
        <f t="shared" si="62"/>
        <v>#DIV/0!</v>
      </c>
      <c r="BY65" s="96" t="e">
        <f t="shared" si="41"/>
        <v>#DIV/0!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#DIV/0!</v>
      </c>
      <c r="FN65" s="96" t="e">
        <f t="shared" si="89"/>
        <v>#DIV/0!</v>
      </c>
      <c r="FO65" s="96" t="e">
        <f t="shared" si="46"/>
        <v>#DIV/0!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 t="e">
        <f t="shared" si="39"/>
        <v>#DIV/0!</v>
      </c>
      <c r="BX66" s="96" t="e">
        <f t="shared" si="62"/>
        <v>#DIV/0!</v>
      </c>
      <c r="BY66" s="96" t="e">
        <f t="shared" si="41"/>
        <v>#DIV/0!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#DIV/0!</v>
      </c>
      <c r="FN66" s="96" t="e">
        <f t="shared" si="89"/>
        <v>#DIV/0!</v>
      </c>
      <c r="FO66" s="96" t="e">
        <f t="shared" si="46"/>
        <v>#DIV/0!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 t="e">
        <f t="shared" si="39"/>
        <v>#DIV/0!</v>
      </c>
      <c r="BX67" s="96" t="e">
        <f t="shared" si="62"/>
        <v>#DIV/0!</v>
      </c>
      <c r="BY67" s="96" t="e">
        <f t="shared" si="41"/>
        <v>#DIV/0!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#DIV/0!</v>
      </c>
      <c r="FN67" s="96" t="e">
        <f t="shared" si="89"/>
        <v>#DIV/0!</v>
      </c>
      <c r="FO67" s="96" t="e">
        <f t="shared" si="46"/>
        <v>#DIV/0!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 t="e">
        <f t="shared" si="39"/>
        <v>#DIV/0!</v>
      </c>
      <c r="BX68" s="96" t="e">
        <f t="shared" si="62"/>
        <v>#DIV/0!</v>
      </c>
      <c r="BY68" s="96" t="e">
        <f t="shared" si="41"/>
        <v>#DIV/0!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#DIV/0!</v>
      </c>
      <c r="FN68" s="96" t="e">
        <f t="shared" si="89"/>
        <v>#DIV/0!</v>
      </c>
      <c r="FO68" s="96" t="e">
        <f t="shared" si="46"/>
        <v>#DIV/0!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 t="e">
        <f t="shared" si="39"/>
        <v>#DIV/0!</v>
      </c>
      <c r="BX69" s="96" t="e">
        <f t="shared" si="62"/>
        <v>#DIV/0!</v>
      </c>
      <c r="BY69" s="96" t="e">
        <f t="shared" si="41"/>
        <v>#DIV/0!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#DIV/0!</v>
      </c>
      <c r="FN69" s="96" t="e">
        <f t="shared" si="89"/>
        <v>#DIV/0!</v>
      </c>
      <c r="FO69" s="96" t="e">
        <f t="shared" si="46"/>
        <v>#DIV/0!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 t="e">
        <f t="shared" si="39"/>
        <v>#DIV/0!</v>
      </c>
      <c r="BX70" s="96" t="e">
        <f t="shared" si="62"/>
        <v>#DIV/0!</v>
      </c>
      <c r="BY70" s="96" t="e">
        <f t="shared" si="41"/>
        <v>#DIV/0!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#DIV/0!</v>
      </c>
      <c r="FN70" s="96" t="e">
        <f t="shared" si="89"/>
        <v>#DIV/0!</v>
      </c>
      <c r="FO70" s="96" t="e">
        <f t="shared" si="46"/>
        <v>#DIV/0!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 t="e">
        <f t="shared" si="39"/>
        <v>#DIV/0!</v>
      </c>
      <c r="BX71" s="96" t="e">
        <f t="shared" si="62"/>
        <v>#DIV/0!</v>
      </c>
      <c r="BY71" s="96" t="e">
        <f t="shared" si="41"/>
        <v>#DIV/0!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#DIV/0!</v>
      </c>
      <c r="FN71" s="96" t="e">
        <f t="shared" si="89"/>
        <v>#DIV/0!</v>
      </c>
      <c r="FO71" s="96" t="e">
        <f t="shared" si="46"/>
        <v>#DIV/0!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 t="e">
        <f t="shared" si="39"/>
        <v>#DIV/0!</v>
      </c>
      <c r="BX72" s="96" t="e">
        <f t="shared" si="62"/>
        <v>#DIV/0!</v>
      </c>
      <c r="BY72" s="96" t="e">
        <f t="shared" si="41"/>
        <v>#DIV/0!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#DIV/0!</v>
      </c>
      <c r="FN72" s="96" t="e">
        <f t="shared" si="89"/>
        <v>#DIV/0!</v>
      </c>
      <c r="FO72" s="96" t="e">
        <f t="shared" si="46"/>
        <v>#DIV/0!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5" t="s">
        <v>55</v>
      </c>
      <c r="B74" s="236"/>
      <c r="C74" s="237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 t="e">
        <f t="shared" si="109"/>
        <v>#DIV/0!</v>
      </c>
      <c r="BX74" s="38" t="e">
        <f t="shared" si="109"/>
        <v>#DIV/0!</v>
      </c>
      <c r="BY74" s="38" t="e">
        <f t="shared" si="109"/>
        <v>#DIV/0!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5" t="s">
        <v>55</v>
      </c>
      <c r="CR74" s="236"/>
      <c r="CS74" s="237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#DIV/0!</v>
      </c>
      <c r="FN74" s="38" t="e">
        <f t="shared" si="113"/>
        <v>#DIV/0!</v>
      </c>
      <c r="FO74" s="38" t="e">
        <f t="shared" si="113"/>
        <v>#DIV/0!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290</v>
      </c>
      <c r="CQ97" s="17" t="s">
        <v>271</v>
      </c>
      <c r="CR97" s="13" t="s">
        <v>293</v>
      </c>
    </row>
    <row r="98" spans="1:187" ht="18.75" customHeight="1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  <c r="BE98" s="14"/>
      <c r="BF98" s="243" t="s">
        <v>187</v>
      </c>
      <c r="BG98" s="244"/>
      <c r="BH98" s="245"/>
      <c r="BI98" s="243" t="s">
        <v>180</v>
      </c>
      <c r="BJ98" s="244"/>
      <c r="BK98" s="244"/>
      <c r="BL98" s="244"/>
      <c r="BM98" s="245"/>
      <c r="BN98" s="243" t="s">
        <v>181</v>
      </c>
      <c r="BO98" s="244"/>
      <c r="BP98" s="245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32" t="s">
        <v>121</v>
      </c>
      <c r="CD98" s="233"/>
      <c r="CE98" s="234"/>
      <c r="CF98" s="222" t="s">
        <v>14</v>
      </c>
      <c r="CG98" s="222" t="s">
        <v>49</v>
      </c>
      <c r="CH98" s="224" t="s">
        <v>10</v>
      </c>
      <c r="CI98" s="226" t="s">
        <v>58</v>
      </c>
      <c r="CJ98" s="228" t="s">
        <v>297</v>
      </c>
      <c r="CK98" s="230" t="s">
        <v>298</v>
      </c>
      <c r="CL98" s="230" t="s">
        <v>300</v>
      </c>
      <c r="CM98" s="230" t="s">
        <v>299</v>
      </c>
      <c r="CN98" s="230" t="s">
        <v>303</v>
      </c>
      <c r="CO98" s="230" t="s">
        <v>307</v>
      </c>
      <c r="CQ98" s="222" t="s">
        <v>14</v>
      </c>
      <c r="CR98" s="222" t="s">
        <v>49</v>
      </c>
      <c r="CS98" s="224" t="s">
        <v>10</v>
      </c>
      <c r="CT98" s="226" t="s">
        <v>58</v>
      </c>
      <c r="CU98" s="246" t="s">
        <v>15</v>
      </c>
      <c r="CV98" s="247"/>
      <c r="CW98" s="247"/>
      <c r="CX98" s="247"/>
      <c r="CY98" s="247"/>
      <c r="CZ98" s="247"/>
      <c r="DA98" s="248"/>
      <c r="DB98" s="246" t="s">
        <v>53</v>
      </c>
      <c r="DC98" s="247"/>
      <c r="DD98" s="247"/>
      <c r="DE98" s="247"/>
      <c r="DF98" s="248"/>
      <c r="DG98" s="246" t="s">
        <v>33</v>
      </c>
      <c r="DH98" s="247"/>
      <c r="DI98" s="247"/>
      <c r="DJ98" s="247"/>
      <c r="DK98" s="247"/>
      <c r="DL98" s="248"/>
      <c r="DM98" s="246" t="s">
        <v>16</v>
      </c>
      <c r="DN98" s="247"/>
      <c r="DO98" s="247"/>
      <c r="DP98" s="247"/>
      <c r="DQ98" s="247"/>
      <c r="DR98" s="247"/>
      <c r="DS98" s="248"/>
      <c r="DT98" s="246" t="s">
        <v>17</v>
      </c>
      <c r="DU98" s="247"/>
      <c r="DV98" s="247"/>
      <c r="DW98" s="247"/>
      <c r="DX98" s="247"/>
      <c r="DY98" s="247"/>
      <c r="DZ98" s="248"/>
      <c r="EA98" s="238" t="s">
        <v>34</v>
      </c>
      <c r="EB98" s="239"/>
      <c r="EC98" s="239"/>
      <c r="ED98" s="240"/>
      <c r="EE98" s="238" t="s">
        <v>18</v>
      </c>
      <c r="EF98" s="239"/>
      <c r="EG98" s="239"/>
      <c r="EH98" s="239"/>
      <c r="EI98" s="240"/>
      <c r="EJ98" s="238" t="s">
        <v>50</v>
      </c>
      <c r="EK98" s="239"/>
      <c r="EL98" s="241"/>
      <c r="EM98" s="242" t="s">
        <v>52</v>
      </c>
      <c r="EN98" s="240"/>
      <c r="EO98" s="238" t="s">
        <v>51</v>
      </c>
      <c r="EP98" s="239"/>
      <c r="EQ98" s="239"/>
      <c r="ER98" s="239"/>
      <c r="ES98" s="239"/>
      <c r="ET98" s="240"/>
      <c r="EU98" s="14"/>
      <c r="EV98" s="243" t="s">
        <v>187</v>
      </c>
      <c r="EW98" s="244"/>
      <c r="EX98" s="245"/>
      <c r="EY98" s="243" t="s">
        <v>180</v>
      </c>
      <c r="EZ98" s="244"/>
      <c r="FA98" s="244"/>
      <c r="FB98" s="244"/>
      <c r="FC98" s="245"/>
      <c r="FD98" s="243" t="s">
        <v>181</v>
      </c>
      <c r="FE98" s="244"/>
      <c r="FF98" s="245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32" t="s">
        <v>121</v>
      </c>
      <c r="FT98" s="233"/>
      <c r="FU98" s="234"/>
      <c r="FV98" s="222" t="s">
        <v>14</v>
      </c>
      <c r="FW98" s="222" t="s">
        <v>49</v>
      </c>
      <c r="FX98" s="224" t="s">
        <v>10</v>
      </c>
      <c r="FY98" s="226" t="s">
        <v>58</v>
      </c>
      <c r="FZ98" s="228" t="s">
        <v>297</v>
      </c>
      <c r="GA98" s="230" t="s">
        <v>298</v>
      </c>
      <c r="GB98" s="230" t="s">
        <v>300</v>
      </c>
      <c r="GC98" s="230" t="s">
        <v>299</v>
      </c>
      <c r="GD98" s="230" t="s">
        <v>303</v>
      </c>
      <c r="GE98" s="230" t="s">
        <v>307</v>
      </c>
    </row>
    <row r="99" spans="1:187" ht="18" thickBot="1" x14ac:dyDescent="0.35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23"/>
      <c r="CG99" s="223"/>
      <c r="CH99" s="225"/>
      <c r="CI99" s="227"/>
      <c r="CJ99" s="229"/>
      <c r="CK99" s="231"/>
      <c r="CL99" s="231"/>
      <c r="CM99" s="231"/>
      <c r="CN99" s="231"/>
      <c r="CO99" s="231"/>
      <c r="CP99" s="116"/>
      <c r="CQ99" s="223"/>
      <c r="CR99" s="223"/>
      <c r="CS99" s="225"/>
      <c r="CT99" s="227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23"/>
      <c r="FW99" s="223"/>
      <c r="FX99" s="225"/>
      <c r="FY99" s="227"/>
      <c r="FZ99" s="229"/>
      <c r="GA99" s="231"/>
      <c r="GB99" s="231"/>
      <c r="GC99" s="231"/>
      <c r="GD99" s="231"/>
      <c r="GE99" s="231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 t="e">
        <f t="shared" ref="BW101:BW119" si="132">$G$2*(1-ABS(A101))^(1/$G$1)</f>
        <v>#DIV/0!</v>
      </c>
      <c r="BX101" s="96" t="e">
        <f t="shared" ref="BX101:BX108" si="133">SUM(W101:X101)*AO101+SUM(Y101:Z101)*AP101+(1-AC101)*BW101</f>
        <v>#DIV/0!</v>
      </c>
      <c r="BY101" s="96" t="e">
        <f t="shared" ref="BY101:BY108" si="134">AC101*BX101</f>
        <v>#DIV/0!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#DIV/0!</v>
      </c>
      <c r="FN101" s="96" t="e">
        <f t="shared" ref="FN101:FN119" si="164">SUM(DM101:DN101)*EE101+SUM(DO101:DP101)*EF101+(1-DS101)*FM101</f>
        <v>#DIV/0!</v>
      </c>
      <c r="FO101" s="96" t="e">
        <f t="shared" ref="FO101:FO119" si="165">DS101*FN101</f>
        <v>#DIV/0!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 t="e">
        <f t="shared" si="132"/>
        <v>#DIV/0!</v>
      </c>
      <c r="BX102" s="96" t="e">
        <f t="shared" si="133"/>
        <v>#DIV/0!</v>
      </c>
      <c r="BY102" s="96" t="e">
        <f t="shared" si="134"/>
        <v>#DIV/0!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#DIV/0!</v>
      </c>
      <c r="FN102" s="96" t="e">
        <f t="shared" si="164"/>
        <v>#DIV/0!</v>
      </c>
      <c r="FO102" s="96" t="e">
        <f t="shared" si="165"/>
        <v>#DIV/0!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 t="e">
        <f t="shared" si="132"/>
        <v>#DIV/0!</v>
      </c>
      <c r="BX103" s="96" t="e">
        <f t="shared" si="133"/>
        <v>#DIV/0!</v>
      </c>
      <c r="BY103" s="96" t="e">
        <f t="shared" si="134"/>
        <v>#DIV/0!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#DIV/0!</v>
      </c>
      <c r="FN103" s="96" t="e">
        <f t="shared" si="164"/>
        <v>#DIV/0!</v>
      </c>
      <c r="FO103" s="96" t="e">
        <f t="shared" si="165"/>
        <v>#DIV/0!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 t="e">
        <f t="shared" si="132"/>
        <v>#DIV/0!</v>
      </c>
      <c r="BX104" s="96" t="e">
        <f t="shared" si="133"/>
        <v>#DIV/0!</v>
      </c>
      <c r="BY104" s="96" t="e">
        <f t="shared" si="134"/>
        <v>#DIV/0!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#DIV/0!</v>
      </c>
      <c r="FN104" s="96" t="e">
        <f t="shared" si="164"/>
        <v>#DIV/0!</v>
      </c>
      <c r="FO104" s="96" t="e">
        <f t="shared" si="165"/>
        <v>#DIV/0!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 t="e">
        <f t="shared" si="132"/>
        <v>#DIV/0!</v>
      </c>
      <c r="BX105" s="96" t="e">
        <f t="shared" si="133"/>
        <v>#DIV/0!</v>
      </c>
      <c r="BY105" s="96" t="e">
        <f t="shared" si="134"/>
        <v>#DIV/0!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#DIV/0!</v>
      </c>
      <c r="FN105" s="96" t="e">
        <f t="shared" si="164"/>
        <v>#DIV/0!</v>
      </c>
      <c r="FO105" s="96" t="e">
        <f t="shared" si="165"/>
        <v>#DIV/0!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 t="e">
        <f t="shared" si="132"/>
        <v>#DIV/0!</v>
      </c>
      <c r="BX106" s="96" t="e">
        <f t="shared" si="133"/>
        <v>#DIV/0!</v>
      </c>
      <c r="BY106" s="96" t="e">
        <f t="shared" si="134"/>
        <v>#DIV/0!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#DIV/0!</v>
      </c>
      <c r="FN106" s="96" t="e">
        <f t="shared" si="164"/>
        <v>#DIV/0!</v>
      </c>
      <c r="FO106" s="96" t="e">
        <f t="shared" si="165"/>
        <v>#DIV/0!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 t="e">
        <f t="shared" si="132"/>
        <v>#DIV/0!</v>
      </c>
      <c r="BX107" s="96" t="e">
        <f t="shared" si="133"/>
        <v>#DIV/0!</v>
      </c>
      <c r="BY107" s="96" t="e">
        <f t="shared" si="134"/>
        <v>#DIV/0!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#DIV/0!</v>
      </c>
      <c r="FN107" s="96" t="e">
        <f t="shared" si="164"/>
        <v>#DIV/0!</v>
      </c>
      <c r="FO107" s="96" t="e">
        <f t="shared" si="165"/>
        <v>#DIV/0!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 t="e">
        <f t="shared" si="132"/>
        <v>#DIV/0!</v>
      </c>
      <c r="BX108" s="96" t="e">
        <f t="shared" si="133"/>
        <v>#DIV/0!</v>
      </c>
      <c r="BY108" s="96" t="e">
        <f t="shared" si="134"/>
        <v>#DIV/0!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#DIV/0!</v>
      </c>
      <c r="FN108" s="96" t="e">
        <f t="shared" si="164"/>
        <v>#DIV/0!</v>
      </c>
      <c r="FO108" s="96" t="e">
        <f t="shared" si="165"/>
        <v>#DIV/0!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 t="e">
        <f t="shared" si="132"/>
        <v>#DIV/0!</v>
      </c>
      <c r="BX109" s="96" t="e">
        <f t="shared" ref="BX109:BX119" si="185">SUM(W109:X109)*AO109+SUM(Y109:Z109)*AP109+(1-AC109)*BW109</f>
        <v>#DIV/0!</v>
      </c>
      <c r="BY109" s="96" t="e">
        <f t="shared" ref="BY109:BY119" si="186">AC109*BX109</f>
        <v>#DIV/0!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#DIV/0!</v>
      </c>
      <c r="FN109" s="96" t="e">
        <f t="shared" si="164"/>
        <v>#DIV/0!</v>
      </c>
      <c r="FO109" s="96" t="e">
        <f t="shared" si="165"/>
        <v>#DIV/0!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 t="e">
        <f t="shared" si="132"/>
        <v>#DIV/0!</v>
      </c>
      <c r="BX110" s="37" t="e">
        <f t="shared" si="185"/>
        <v>#DIV/0!</v>
      </c>
      <c r="BY110" s="37" t="e">
        <f t="shared" si="186"/>
        <v>#DIV/0!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#DIV/0!</v>
      </c>
      <c r="FN110" s="37" t="e">
        <f t="shared" si="164"/>
        <v>#DIV/0!</v>
      </c>
      <c r="FO110" s="37" t="e">
        <f t="shared" si="165"/>
        <v>#DIV/0!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 t="e">
        <f t="shared" si="132"/>
        <v>#DIV/0!</v>
      </c>
      <c r="BX111" s="96" t="e">
        <f t="shared" si="185"/>
        <v>#DIV/0!</v>
      </c>
      <c r="BY111" s="96" t="e">
        <f t="shared" si="186"/>
        <v>#DIV/0!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#DIV/0!</v>
      </c>
      <c r="FN111" s="96" t="e">
        <f t="shared" si="164"/>
        <v>#DIV/0!</v>
      </c>
      <c r="FO111" s="96" t="e">
        <f t="shared" si="165"/>
        <v>#DIV/0!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 t="e">
        <f t="shared" si="132"/>
        <v>#DIV/0!</v>
      </c>
      <c r="BX112" s="96" t="e">
        <f t="shared" si="185"/>
        <v>#DIV/0!</v>
      </c>
      <c r="BY112" s="96" t="e">
        <f t="shared" si="186"/>
        <v>#DIV/0!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#DIV/0!</v>
      </c>
      <c r="FN112" s="96" t="e">
        <f t="shared" si="164"/>
        <v>#DIV/0!</v>
      </c>
      <c r="FO112" s="96" t="e">
        <f t="shared" si="165"/>
        <v>#DIV/0!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 t="e">
        <f t="shared" si="132"/>
        <v>#DIV/0!</v>
      </c>
      <c r="BX113" s="96" t="e">
        <f t="shared" si="185"/>
        <v>#DIV/0!</v>
      </c>
      <c r="BY113" s="96" t="e">
        <f t="shared" si="186"/>
        <v>#DIV/0!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#DIV/0!</v>
      </c>
      <c r="FN113" s="96" t="e">
        <f t="shared" si="164"/>
        <v>#DIV/0!</v>
      </c>
      <c r="FO113" s="96" t="e">
        <f t="shared" si="165"/>
        <v>#DIV/0!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 t="e">
        <f t="shared" si="132"/>
        <v>#DIV/0!</v>
      </c>
      <c r="BX114" s="96" t="e">
        <f t="shared" si="185"/>
        <v>#DIV/0!</v>
      </c>
      <c r="BY114" s="96" t="e">
        <f t="shared" si="186"/>
        <v>#DIV/0!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#DIV/0!</v>
      </c>
      <c r="FN114" s="96" t="e">
        <f t="shared" si="164"/>
        <v>#DIV/0!</v>
      </c>
      <c r="FO114" s="96" t="e">
        <f t="shared" si="165"/>
        <v>#DIV/0!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 t="e">
        <f t="shared" si="132"/>
        <v>#DIV/0!</v>
      </c>
      <c r="BX115" s="96" t="e">
        <f t="shared" si="185"/>
        <v>#DIV/0!</v>
      </c>
      <c r="BY115" s="96" t="e">
        <f t="shared" si="186"/>
        <v>#DIV/0!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#DIV/0!</v>
      </c>
      <c r="FN115" s="96" t="e">
        <f t="shared" si="164"/>
        <v>#DIV/0!</v>
      </c>
      <c r="FO115" s="96" t="e">
        <f t="shared" si="165"/>
        <v>#DIV/0!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 t="e">
        <f t="shared" si="132"/>
        <v>#DIV/0!</v>
      </c>
      <c r="BX116" s="96" t="e">
        <f t="shared" si="185"/>
        <v>#DIV/0!</v>
      </c>
      <c r="BY116" s="96" t="e">
        <f t="shared" si="186"/>
        <v>#DIV/0!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#DIV/0!</v>
      </c>
      <c r="FN116" s="96" t="e">
        <f t="shared" si="164"/>
        <v>#DIV/0!</v>
      </c>
      <c r="FO116" s="96" t="e">
        <f t="shared" si="165"/>
        <v>#DIV/0!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 t="e">
        <f t="shared" si="132"/>
        <v>#DIV/0!</v>
      </c>
      <c r="BX117" s="96" t="e">
        <f t="shared" si="185"/>
        <v>#DIV/0!</v>
      </c>
      <c r="BY117" s="96" t="e">
        <f t="shared" si="186"/>
        <v>#DIV/0!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#DIV/0!</v>
      </c>
      <c r="FN117" s="96" t="e">
        <f t="shared" si="164"/>
        <v>#DIV/0!</v>
      </c>
      <c r="FO117" s="96" t="e">
        <f t="shared" si="165"/>
        <v>#DIV/0!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 t="e">
        <f t="shared" si="132"/>
        <v>#DIV/0!</v>
      </c>
      <c r="BX118" s="96" t="e">
        <f t="shared" si="185"/>
        <v>#DIV/0!</v>
      </c>
      <c r="BY118" s="96" t="e">
        <f t="shared" si="186"/>
        <v>#DIV/0!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#DIV/0!</v>
      </c>
      <c r="FN118" s="96" t="e">
        <f t="shared" si="164"/>
        <v>#DIV/0!</v>
      </c>
      <c r="FO118" s="96" t="e">
        <f t="shared" si="165"/>
        <v>#DIV/0!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 t="e">
        <f t="shared" si="132"/>
        <v>#DIV/0!</v>
      </c>
      <c r="BX119" s="96" t="e">
        <f t="shared" si="185"/>
        <v>#DIV/0!</v>
      </c>
      <c r="BY119" s="96" t="e">
        <f t="shared" si="186"/>
        <v>#DIV/0!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#DIV/0!</v>
      </c>
      <c r="FN119" s="96" t="e">
        <f t="shared" si="164"/>
        <v>#DIV/0!</v>
      </c>
      <c r="FO119" s="96" t="e">
        <f t="shared" si="165"/>
        <v>#DIV/0!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5" t="s">
        <v>55</v>
      </c>
      <c r="B121" s="236"/>
      <c r="C121" s="237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 t="e">
        <f t="shared" si="201"/>
        <v>#DIV/0!</v>
      </c>
      <c r="BX121" s="38" t="e">
        <f t="shared" si="201"/>
        <v>#DIV/0!</v>
      </c>
      <c r="BY121" s="38" t="e">
        <f t="shared" si="201"/>
        <v>#DIV/0!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5" t="s">
        <v>55</v>
      </c>
      <c r="CR121" s="236"/>
      <c r="CS121" s="237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#DIV/0!</v>
      </c>
      <c r="FN121" s="38" t="e">
        <f t="shared" si="205"/>
        <v>#DIV/0!</v>
      </c>
      <c r="FO121" s="38" t="e">
        <f t="shared" si="205"/>
        <v>#DIV/0!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289</v>
      </c>
      <c r="CQ142" s="17" t="s">
        <v>271</v>
      </c>
      <c r="CR142" s="13" t="s">
        <v>292</v>
      </c>
    </row>
    <row r="143" spans="1:187" ht="18.75" customHeight="1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  <c r="BE143" s="14"/>
      <c r="BF143" s="243" t="s">
        <v>187</v>
      </c>
      <c r="BG143" s="244"/>
      <c r="BH143" s="245"/>
      <c r="BI143" s="243" t="s">
        <v>180</v>
      </c>
      <c r="BJ143" s="244"/>
      <c r="BK143" s="244"/>
      <c r="BL143" s="244"/>
      <c r="BM143" s="245"/>
      <c r="BN143" s="243" t="s">
        <v>181</v>
      </c>
      <c r="BO143" s="244"/>
      <c r="BP143" s="245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32" t="s">
        <v>121</v>
      </c>
      <c r="CD143" s="233"/>
      <c r="CE143" s="234"/>
      <c r="CF143" s="222" t="s">
        <v>14</v>
      </c>
      <c r="CG143" s="222" t="s">
        <v>49</v>
      </c>
      <c r="CH143" s="224" t="s">
        <v>10</v>
      </c>
      <c r="CI143" s="226" t="s">
        <v>58</v>
      </c>
      <c r="CJ143" s="228" t="s">
        <v>297</v>
      </c>
      <c r="CK143" s="230" t="s">
        <v>298</v>
      </c>
      <c r="CL143" s="230" t="s">
        <v>300</v>
      </c>
      <c r="CM143" s="230" t="s">
        <v>299</v>
      </c>
      <c r="CN143" s="230" t="s">
        <v>303</v>
      </c>
      <c r="CO143" s="230" t="s">
        <v>307</v>
      </c>
      <c r="CQ143" s="222" t="s">
        <v>14</v>
      </c>
      <c r="CR143" s="222" t="s">
        <v>49</v>
      </c>
      <c r="CS143" s="224" t="s">
        <v>10</v>
      </c>
      <c r="CT143" s="226" t="s">
        <v>58</v>
      </c>
      <c r="CU143" s="246" t="s">
        <v>15</v>
      </c>
      <c r="CV143" s="247"/>
      <c r="CW143" s="247"/>
      <c r="CX143" s="247"/>
      <c r="CY143" s="247"/>
      <c r="CZ143" s="247"/>
      <c r="DA143" s="248"/>
      <c r="DB143" s="246" t="s">
        <v>53</v>
      </c>
      <c r="DC143" s="247"/>
      <c r="DD143" s="247"/>
      <c r="DE143" s="247"/>
      <c r="DF143" s="248"/>
      <c r="DG143" s="246" t="s">
        <v>33</v>
      </c>
      <c r="DH143" s="247"/>
      <c r="DI143" s="247"/>
      <c r="DJ143" s="247"/>
      <c r="DK143" s="247"/>
      <c r="DL143" s="248"/>
      <c r="DM143" s="246" t="s">
        <v>16</v>
      </c>
      <c r="DN143" s="247"/>
      <c r="DO143" s="247"/>
      <c r="DP143" s="247"/>
      <c r="DQ143" s="247"/>
      <c r="DR143" s="247"/>
      <c r="DS143" s="248"/>
      <c r="DT143" s="246" t="s">
        <v>17</v>
      </c>
      <c r="DU143" s="247"/>
      <c r="DV143" s="247"/>
      <c r="DW143" s="247"/>
      <c r="DX143" s="247"/>
      <c r="DY143" s="247"/>
      <c r="DZ143" s="248"/>
      <c r="EA143" s="238" t="s">
        <v>34</v>
      </c>
      <c r="EB143" s="239"/>
      <c r="EC143" s="239"/>
      <c r="ED143" s="240"/>
      <c r="EE143" s="238" t="s">
        <v>18</v>
      </c>
      <c r="EF143" s="239"/>
      <c r="EG143" s="239"/>
      <c r="EH143" s="239"/>
      <c r="EI143" s="240"/>
      <c r="EJ143" s="238" t="s">
        <v>50</v>
      </c>
      <c r="EK143" s="239"/>
      <c r="EL143" s="241"/>
      <c r="EM143" s="242" t="s">
        <v>52</v>
      </c>
      <c r="EN143" s="240"/>
      <c r="EO143" s="238" t="s">
        <v>51</v>
      </c>
      <c r="EP143" s="239"/>
      <c r="EQ143" s="239"/>
      <c r="ER143" s="239"/>
      <c r="ES143" s="239"/>
      <c r="ET143" s="240"/>
      <c r="EU143" s="14"/>
      <c r="EV143" s="243" t="s">
        <v>187</v>
      </c>
      <c r="EW143" s="244"/>
      <c r="EX143" s="245"/>
      <c r="EY143" s="243" t="s">
        <v>180</v>
      </c>
      <c r="EZ143" s="244"/>
      <c r="FA143" s="244"/>
      <c r="FB143" s="244"/>
      <c r="FC143" s="245"/>
      <c r="FD143" s="243" t="s">
        <v>181</v>
      </c>
      <c r="FE143" s="244"/>
      <c r="FF143" s="245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32" t="s">
        <v>121</v>
      </c>
      <c r="FT143" s="233"/>
      <c r="FU143" s="234"/>
      <c r="FV143" s="222" t="s">
        <v>14</v>
      </c>
      <c r="FW143" s="222" t="s">
        <v>49</v>
      </c>
      <c r="FX143" s="224" t="s">
        <v>10</v>
      </c>
      <c r="FY143" s="226" t="s">
        <v>58</v>
      </c>
      <c r="FZ143" s="228" t="s">
        <v>297</v>
      </c>
      <c r="GA143" s="230" t="s">
        <v>298</v>
      </c>
      <c r="GB143" s="230" t="s">
        <v>300</v>
      </c>
      <c r="GC143" s="230" t="s">
        <v>299</v>
      </c>
      <c r="GD143" s="230" t="s">
        <v>303</v>
      </c>
      <c r="GE143" s="230" t="s">
        <v>307</v>
      </c>
    </row>
    <row r="144" spans="1:187" ht="18" thickBot="1" x14ac:dyDescent="0.35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23"/>
      <c r="CG144" s="223"/>
      <c r="CH144" s="225"/>
      <c r="CI144" s="227"/>
      <c r="CJ144" s="229"/>
      <c r="CK144" s="231"/>
      <c r="CL144" s="231"/>
      <c r="CM144" s="231"/>
      <c r="CN144" s="231"/>
      <c r="CO144" s="231"/>
      <c r="CP144" s="116"/>
      <c r="CQ144" s="223"/>
      <c r="CR144" s="223"/>
      <c r="CS144" s="225"/>
      <c r="CT144" s="227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23"/>
      <c r="FW144" s="223"/>
      <c r="FX144" s="225"/>
      <c r="FY144" s="227"/>
      <c r="FZ144" s="229"/>
      <c r="GA144" s="231"/>
      <c r="GB144" s="231"/>
      <c r="GC144" s="231"/>
      <c r="GD144" s="231"/>
      <c r="GE144" s="231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 t="e">
        <f t="shared" ref="BW146:BW164" si="224">$G$2*(1-ABS(A146))^(1/$G$1)</f>
        <v>#DIV/0!</v>
      </c>
      <c r="BX146" s="96" t="e">
        <f t="shared" ref="BX146:BX164" si="225">SUM(W146:X146)*AO146+SUM(Y146:Z146)*AP146+(1-AC146)*BW146</f>
        <v>#DIV/0!</v>
      </c>
      <c r="BY146" s="96" t="e">
        <f t="shared" ref="BY146:BY164" si="226">AC146*BX146</f>
        <v>#DIV/0!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#DIV/0!</v>
      </c>
      <c r="FN146" s="96" t="e">
        <f t="shared" ref="FN146:FN164" si="256">SUM(DM146:DN146)*EE146+SUM(DO146:DP146)*EF146+(1-DS146)*FM146</f>
        <v>#DIV/0!</v>
      </c>
      <c r="FO146" s="96" t="e">
        <f t="shared" ref="FO146:FO164" si="257">DS146*FN146</f>
        <v>#DIV/0!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 t="e">
        <f t="shared" si="224"/>
        <v>#DIV/0!</v>
      </c>
      <c r="BX147" s="96" t="e">
        <f t="shared" si="225"/>
        <v>#DIV/0!</v>
      </c>
      <c r="BY147" s="96" t="e">
        <f t="shared" si="226"/>
        <v>#DIV/0!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#DIV/0!</v>
      </c>
      <c r="FN147" s="96" t="e">
        <f t="shared" si="256"/>
        <v>#DIV/0!</v>
      </c>
      <c r="FO147" s="96" t="e">
        <f t="shared" si="257"/>
        <v>#DIV/0!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 t="e">
        <f t="shared" si="224"/>
        <v>#DIV/0!</v>
      </c>
      <c r="BX148" s="96" t="e">
        <f t="shared" si="225"/>
        <v>#DIV/0!</v>
      </c>
      <c r="BY148" s="96" t="e">
        <f t="shared" si="226"/>
        <v>#DIV/0!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#DIV/0!</v>
      </c>
      <c r="FN148" s="96" t="e">
        <f t="shared" si="256"/>
        <v>#DIV/0!</v>
      </c>
      <c r="FO148" s="96" t="e">
        <f t="shared" si="257"/>
        <v>#DIV/0!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 t="e">
        <f t="shared" si="224"/>
        <v>#DIV/0!</v>
      </c>
      <c r="BX149" s="96" t="e">
        <f t="shared" si="225"/>
        <v>#DIV/0!</v>
      </c>
      <c r="BY149" s="96" t="e">
        <f t="shared" si="226"/>
        <v>#DIV/0!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#DIV/0!</v>
      </c>
      <c r="FN149" s="96" t="e">
        <f t="shared" si="256"/>
        <v>#DIV/0!</v>
      </c>
      <c r="FO149" s="96" t="e">
        <f t="shared" si="257"/>
        <v>#DIV/0!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 t="e">
        <f t="shared" si="224"/>
        <v>#DIV/0!</v>
      </c>
      <c r="BX150" s="96" t="e">
        <f t="shared" si="225"/>
        <v>#DIV/0!</v>
      </c>
      <c r="BY150" s="96" t="e">
        <f t="shared" si="226"/>
        <v>#DIV/0!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#DIV/0!</v>
      </c>
      <c r="FN150" s="96" t="e">
        <f t="shared" si="256"/>
        <v>#DIV/0!</v>
      </c>
      <c r="FO150" s="96" t="e">
        <f t="shared" si="257"/>
        <v>#DIV/0!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 t="e">
        <f t="shared" si="224"/>
        <v>#DIV/0!</v>
      </c>
      <c r="BX151" s="96" t="e">
        <f t="shared" si="225"/>
        <v>#DIV/0!</v>
      </c>
      <c r="BY151" s="96" t="e">
        <f t="shared" si="226"/>
        <v>#DIV/0!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#DIV/0!</v>
      </c>
      <c r="FN151" s="96" t="e">
        <f t="shared" si="256"/>
        <v>#DIV/0!</v>
      </c>
      <c r="FO151" s="96" t="e">
        <f t="shared" si="257"/>
        <v>#DIV/0!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 t="e">
        <f t="shared" si="224"/>
        <v>#DIV/0!</v>
      </c>
      <c r="BX152" s="96" t="e">
        <f t="shared" si="225"/>
        <v>#DIV/0!</v>
      </c>
      <c r="BY152" s="96" t="e">
        <f t="shared" si="226"/>
        <v>#DIV/0!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#DIV/0!</v>
      </c>
      <c r="FN152" s="96" t="e">
        <f t="shared" si="256"/>
        <v>#DIV/0!</v>
      </c>
      <c r="FO152" s="96" t="e">
        <f t="shared" si="257"/>
        <v>#DIV/0!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 t="e">
        <f t="shared" si="224"/>
        <v>#DIV/0!</v>
      </c>
      <c r="BX153" s="96" t="e">
        <f t="shared" si="225"/>
        <v>#DIV/0!</v>
      </c>
      <c r="BY153" s="96" t="e">
        <f t="shared" si="226"/>
        <v>#DIV/0!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#DIV/0!</v>
      </c>
      <c r="FN153" s="96" t="e">
        <f t="shared" si="256"/>
        <v>#DIV/0!</v>
      </c>
      <c r="FO153" s="96" t="e">
        <f t="shared" si="257"/>
        <v>#DIV/0!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 t="e">
        <f t="shared" si="224"/>
        <v>#DIV/0!</v>
      </c>
      <c r="BX154" s="96" t="e">
        <f t="shared" si="225"/>
        <v>#DIV/0!</v>
      </c>
      <c r="BY154" s="96" t="e">
        <f t="shared" si="226"/>
        <v>#DIV/0!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#DIV/0!</v>
      </c>
      <c r="FN154" s="96" t="e">
        <f t="shared" si="256"/>
        <v>#DIV/0!</v>
      </c>
      <c r="FO154" s="96" t="e">
        <f t="shared" si="257"/>
        <v>#DIV/0!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 t="e">
        <f t="shared" si="224"/>
        <v>#DIV/0!</v>
      </c>
      <c r="BX155" s="37" t="e">
        <f t="shared" si="225"/>
        <v>#DIV/0!</v>
      </c>
      <c r="BY155" s="37" t="e">
        <f t="shared" si="226"/>
        <v>#DIV/0!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#DIV/0!</v>
      </c>
      <c r="FN155" s="37" t="e">
        <f t="shared" si="256"/>
        <v>#DIV/0!</v>
      </c>
      <c r="FO155" s="37" t="e">
        <f t="shared" si="257"/>
        <v>#DIV/0!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 t="e">
        <f t="shared" si="224"/>
        <v>#DIV/0!</v>
      </c>
      <c r="BX156" s="96" t="e">
        <f t="shared" si="225"/>
        <v>#DIV/0!</v>
      </c>
      <c r="BY156" s="96" t="e">
        <f t="shared" si="226"/>
        <v>#DIV/0!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#DIV/0!</v>
      </c>
      <c r="FN156" s="96" t="e">
        <f t="shared" si="256"/>
        <v>#DIV/0!</v>
      </c>
      <c r="FO156" s="96" t="e">
        <f t="shared" si="257"/>
        <v>#DIV/0!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 t="e">
        <f t="shared" si="224"/>
        <v>#DIV/0!</v>
      </c>
      <c r="BX157" s="96" t="e">
        <f t="shared" si="225"/>
        <v>#DIV/0!</v>
      </c>
      <c r="BY157" s="96" t="e">
        <f t="shared" si="226"/>
        <v>#DIV/0!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#DIV/0!</v>
      </c>
      <c r="FN157" s="96" t="e">
        <f t="shared" si="256"/>
        <v>#DIV/0!</v>
      </c>
      <c r="FO157" s="96" t="e">
        <f t="shared" si="257"/>
        <v>#DIV/0!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 t="e">
        <f t="shared" si="224"/>
        <v>#DIV/0!</v>
      </c>
      <c r="BX158" s="96" t="e">
        <f t="shared" si="225"/>
        <v>#DIV/0!</v>
      </c>
      <c r="BY158" s="96" t="e">
        <f t="shared" si="226"/>
        <v>#DIV/0!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#DIV/0!</v>
      </c>
      <c r="FN158" s="96" t="e">
        <f t="shared" si="256"/>
        <v>#DIV/0!</v>
      </c>
      <c r="FO158" s="96" t="e">
        <f t="shared" si="257"/>
        <v>#DIV/0!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 t="e">
        <f t="shared" si="224"/>
        <v>#DIV/0!</v>
      </c>
      <c r="BX159" s="96" t="e">
        <f t="shared" si="225"/>
        <v>#DIV/0!</v>
      </c>
      <c r="BY159" s="96" t="e">
        <f t="shared" si="226"/>
        <v>#DIV/0!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#DIV/0!</v>
      </c>
      <c r="FN159" s="96" t="e">
        <f t="shared" si="256"/>
        <v>#DIV/0!</v>
      </c>
      <c r="FO159" s="96" t="e">
        <f t="shared" si="257"/>
        <v>#DIV/0!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 t="e">
        <f t="shared" si="224"/>
        <v>#DIV/0!</v>
      </c>
      <c r="BX160" s="96" t="e">
        <f t="shared" si="225"/>
        <v>#DIV/0!</v>
      </c>
      <c r="BY160" s="96" t="e">
        <f t="shared" si="226"/>
        <v>#DIV/0!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#DIV/0!</v>
      </c>
      <c r="FN160" s="96" t="e">
        <f t="shared" si="256"/>
        <v>#DIV/0!</v>
      </c>
      <c r="FO160" s="96" t="e">
        <f t="shared" si="257"/>
        <v>#DIV/0!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 t="e">
        <f t="shared" si="224"/>
        <v>#DIV/0!</v>
      </c>
      <c r="BX161" s="96" t="e">
        <f t="shared" si="225"/>
        <v>#DIV/0!</v>
      </c>
      <c r="BY161" s="96" t="e">
        <f t="shared" si="226"/>
        <v>#DIV/0!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#DIV/0!</v>
      </c>
      <c r="FN161" s="96" t="e">
        <f t="shared" si="256"/>
        <v>#DIV/0!</v>
      </c>
      <c r="FO161" s="96" t="e">
        <f t="shared" si="257"/>
        <v>#DIV/0!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 t="e">
        <f t="shared" si="224"/>
        <v>#DIV/0!</v>
      </c>
      <c r="BX162" s="96" t="e">
        <f t="shared" si="225"/>
        <v>#DIV/0!</v>
      </c>
      <c r="BY162" s="96" t="e">
        <f t="shared" si="226"/>
        <v>#DIV/0!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#DIV/0!</v>
      </c>
      <c r="FN162" s="96" t="e">
        <f t="shared" si="256"/>
        <v>#DIV/0!</v>
      </c>
      <c r="FO162" s="96" t="e">
        <f t="shared" si="257"/>
        <v>#DIV/0!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 t="e">
        <f t="shared" si="224"/>
        <v>#DIV/0!</v>
      </c>
      <c r="BX163" s="96" t="e">
        <f t="shared" si="225"/>
        <v>#DIV/0!</v>
      </c>
      <c r="BY163" s="96" t="e">
        <f t="shared" si="226"/>
        <v>#DIV/0!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#DIV/0!</v>
      </c>
      <c r="FN163" s="96" t="e">
        <f t="shared" si="256"/>
        <v>#DIV/0!</v>
      </c>
      <c r="FO163" s="96" t="e">
        <f t="shared" si="257"/>
        <v>#DIV/0!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 t="e">
        <f t="shared" si="224"/>
        <v>#DIV/0!</v>
      </c>
      <c r="BX164" s="96" t="e">
        <f t="shared" si="225"/>
        <v>#DIV/0!</v>
      </c>
      <c r="BY164" s="96" t="e">
        <f t="shared" si="226"/>
        <v>#DIV/0!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#DIV/0!</v>
      </c>
      <c r="FN164" s="96" t="e">
        <f t="shared" si="256"/>
        <v>#DIV/0!</v>
      </c>
      <c r="FO164" s="96" t="e">
        <f t="shared" si="257"/>
        <v>#DIV/0!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5" t="s">
        <v>55</v>
      </c>
      <c r="B166" s="236"/>
      <c r="C166" s="237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 t="e">
        <f t="shared" si="276"/>
        <v>#DIV/0!</v>
      </c>
      <c r="BX166" s="38" t="e">
        <f t="shared" si="276"/>
        <v>#DIV/0!</v>
      </c>
      <c r="BY166" s="38" t="e">
        <f t="shared" si="276"/>
        <v>#DIV/0!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5" t="s">
        <v>55</v>
      </c>
      <c r="CR166" s="236"/>
      <c r="CS166" s="237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#DIV/0!</v>
      </c>
      <c r="FN166" s="38" t="e">
        <f t="shared" si="280"/>
        <v>#DIV/0!</v>
      </c>
      <c r="FO166" s="38" t="e">
        <f t="shared" si="280"/>
        <v>#DIV/0!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288</v>
      </c>
    </row>
    <row r="190" spans="1:94" ht="18.75" customHeight="1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  <c r="BE190" s="14"/>
      <c r="BF190" s="243" t="s">
        <v>187</v>
      </c>
      <c r="BG190" s="244"/>
      <c r="BH190" s="245"/>
      <c r="BI190" s="243" t="s">
        <v>180</v>
      </c>
      <c r="BJ190" s="244"/>
      <c r="BK190" s="244"/>
      <c r="BL190" s="244"/>
      <c r="BM190" s="245"/>
      <c r="BN190" s="243" t="s">
        <v>181</v>
      </c>
      <c r="BO190" s="244"/>
      <c r="BP190" s="245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32" t="s">
        <v>121</v>
      </c>
      <c r="CD190" s="233"/>
      <c r="CE190" s="234"/>
      <c r="CF190" s="222" t="s">
        <v>14</v>
      </c>
      <c r="CG190" s="222" t="s">
        <v>49</v>
      </c>
      <c r="CH190" s="224" t="s">
        <v>10</v>
      </c>
      <c r="CI190" s="226" t="s">
        <v>58</v>
      </c>
      <c r="CJ190" s="228" t="s">
        <v>297</v>
      </c>
      <c r="CK190" s="230" t="s">
        <v>298</v>
      </c>
      <c r="CL190" s="230" t="s">
        <v>300</v>
      </c>
      <c r="CM190" s="230" t="s">
        <v>299</v>
      </c>
      <c r="CN190" s="230" t="s">
        <v>303</v>
      </c>
      <c r="CO190" s="230" t="s">
        <v>307</v>
      </c>
    </row>
    <row r="191" spans="1:94" ht="18" thickBot="1" x14ac:dyDescent="0.35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23"/>
      <c r="CG191" s="223"/>
      <c r="CH191" s="225"/>
      <c r="CI191" s="227"/>
      <c r="CJ191" s="229"/>
      <c r="CK191" s="231"/>
      <c r="CL191" s="231"/>
      <c r="CM191" s="231"/>
      <c r="CN191" s="231"/>
      <c r="CO191" s="231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 t="e">
        <f t="shared" ref="BW192:BW212" si="284">$G$2*(1-ABS(A192))^(1/$G$1)</f>
        <v>#DIV/0!</v>
      </c>
      <c r="BX192" s="33" t="e">
        <f t="shared" ref="BX192" si="285">SUM(W192:X192)*AO192+SUM(Y192:Z192)*AP192+(1-AC192)*BW192</f>
        <v>#DIV/0!</v>
      </c>
      <c r="BY192" s="33" t="e">
        <f t="shared" ref="BY192" si="286">AC192*BX192</f>
        <v>#DIV/0!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 t="e">
        <f t="shared" si="284"/>
        <v>#DIV/0!</v>
      </c>
      <c r="BX193" s="96" t="e">
        <f t="shared" ref="BX193:BX211" si="304">SUM(W193:X193)*AO193+SUM(Y193:Z193)*AP193+(1-AC193)*BW193</f>
        <v>#DIV/0!</v>
      </c>
      <c r="BY193" s="96" t="e">
        <f t="shared" ref="BY193:BY211" si="305">AC193*BX193</f>
        <v>#DIV/0!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 t="e">
        <f t="shared" si="284"/>
        <v>#DIV/0!</v>
      </c>
      <c r="BX194" s="96" t="e">
        <f t="shared" si="304"/>
        <v>#DIV/0!</v>
      </c>
      <c r="BY194" s="96" t="e">
        <f t="shared" si="305"/>
        <v>#DIV/0!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 t="e">
        <f t="shared" si="284"/>
        <v>#DIV/0!</v>
      </c>
      <c r="BX195" s="96" t="e">
        <f t="shared" si="304"/>
        <v>#DIV/0!</v>
      </c>
      <c r="BY195" s="96" t="e">
        <f t="shared" si="305"/>
        <v>#DIV/0!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 t="e">
        <f t="shared" si="284"/>
        <v>#DIV/0!</v>
      </c>
      <c r="BX196" s="96" t="e">
        <f t="shared" si="304"/>
        <v>#DIV/0!</v>
      </c>
      <c r="BY196" s="96" t="e">
        <f t="shared" si="305"/>
        <v>#DIV/0!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 t="e">
        <f t="shared" si="284"/>
        <v>#DIV/0!</v>
      </c>
      <c r="BX197" s="96" t="e">
        <f t="shared" si="304"/>
        <v>#DIV/0!</v>
      </c>
      <c r="BY197" s="96" t="e">
        <f t="shared" si="305"/>
        <v>#DIV/0!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 t="e">
        <f t="shared" si="284"/>
        <v>#DIV/0!</v>
      </c>
      <c r="BX198" s="96" t="e">
        <f t="shared" si="304"/>
        <v>#DIV/0!</v>
      </c>
      <c r="BY198" s="96" t="e">
        <f t="shared" si="305"/>
        <v>#DIV/0!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 t="e">
        <f t="shared" si="284"/>
        <v>#DIV/0!</v>
      </c>
      <c r="BX199" s="96" t="e">
        <f t="shared" si="304"/>
        <v>#DIV/0!</v>
      </c>
      <c r="BY199" s="96" t="e">
        <f t="shared" si="305"/>
        <v>#DIV/0!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 t="e">
        <f t="shared" si="284"/>
        <v>#DIV/0!</v>
      </c>
      <c r="BX200" s="96" t="e">
        <f t="shared" si="304"/>
        <v>#DIV/0!</v>
      </c>
      <c r="BY200" s="96" t="e">
        <f t="shared" si="305"/>
        <v>#DIV/0!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 t="e">
        <f t="shared" si="284"/>
        <v>#DIV/0!</v>
      </c>
      <c r="BX201" s="96" t="e">
        <f t="shared" si="304"/>
        <v>#DIV/0!</v>
      </c>
      <c r="BY201" s="96" t="e">
        <f t="shared" si="305"/>
        <v>#DIV/0!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 t="e">
        <f t="shared" si="284"/>
        <v>#DIV/0!</v>
      </c>
      <c r="BX202" s="37" t="e">
        <f t="shared" si="304"/>
        <v>#DIV/0!</v>
      </c>
      <c r="BY202" s="37" t="e">
        <f t="shared" si="305"/>
        <v>#DIV/0!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 t="e">
        <f t="shared" si="284"/>
        <v>#DIV/0!</v>
      </c>
      <c r="BX203" s="96" t="e">
        <f t="shared" si="304"/>
        <v>#DIV/0!</v>
      </c>
      <c r="BY203" s="96" t="e">
        <f t="shared" si="305"/>
        <v>#DIV/0!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 t="e">
        <f t="shared" si="284"/>
        <v>#DIV/0!</v>
      </c>
      <c r="BX204" s="96" t="e">
        <f t="shared" si="304"/>
        <v>#DIV/0!</v>
      </c>
      <c r="BY204" s="96" t="e">
        <f t="shared" si="305"/>
        <v>#DIV/0!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 t="e">
        <f t="shared" si="284"/>
        <v>#DIV/0!</v>
      </c>
      <c r="BX205" s="96" t="e">
        <f t="shared" si="304"/>
        <v>#DIV/0!</v>
      </c>
      <c r="BY205" s="96" t="e">
        <f t="shared" si="305"/>
        <v>#DIV/0!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 t="e">
        <f t="shared" si="284"/>
        <v>#DIV/0!</v>
      </c>
      <c r="BX206" s="96" t="e">
        <f t="shared" si="304"/>
        <v>#DIV/0!</v>
      </c>
      <c r="BY206" s="96" t="e">
        <f t="shared" si="305"/>
        <v>#DIV/0!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 t="e">
        <f t="shared" si="284"/>
        <v>#DIV/0!</v>
      </c>
      <c r="BX207" s="96" t="e">
        <f t="shared" si="304"/>
        <v>#DIV/0!</v>
      </c>
      <c r="BY207" s="96" t="e">
        <f t="shared" si="305"/>
        <v>#DIV/0!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 t="e">
        <f t="shared" si="284"/>
        <v>#DIV/0!</v>
      </c>
      <c r="BX208" s="96" t="e">
        <f t="shared" si="304"/>
        <v>#DIV/0!</v>
      </c>
      <c r="BY208" s="96" t="e">
        <f t="shared" si="305"/>
        <v>#DIV/0!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 t="e">
        <f t="shared" si="284"/>
        <v>#DIV/0!</v>
      </c>
      <c r="BX209" s="96" t="e">
        <f t="shared" si="304"/>
        <v>#DIV/0!</v>
      </c>
      <c r="BY209" s="96" t="e">
        <f t="shared" si="305"/>
        <v>#DIV/0!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 t="e">
        <f t="shared" si="284"/>
        <v>#DIV/0!</v>
      </c>
      <c r="BX210" s="96" t="e">
        <f t="shared" si="304"/>
        <v>#DIV/0!</v>
      </c>
      <c r="BY210" s="96" t="e">
        <f t="shared" si="305"/>
        <v>#DIV/0!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 t="e">
        <f t="shared" si="284"/>
        <v>#DIV/0!</v>
      </c>
      <c r="BX211" s="96" t="e">
        <f t="shared" si="304"/>
        <v>#DIV/0!</v>
      </c>
      <c r="BY211" s="96" t="e">
        <f t="shared" si="305"/>
        <v>#DIV/0!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 t="e">
        <f t="shared" si="284"/>
        <v>#DIV/0!</v>
      </c>
      <c r="BX212" s="96" t="e">
        <f t="shared" ref="BX212" si="321">SUM(W212:X212)*AO212+SUM(Y212:Z212)*AP212+(1-AC212)*BW212</f>
        <v>#DIV/0!</v>
      </c>
      <c r="BY212" s="96" t="e">
        <f t="shared" ref="BY212" si="322">AC212*BX212</f>
        <v>#DIV/0!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5" t="s">
        <v>55</v>
      </c>
      <c r="B213" s="236"/>
      <c r="C213" s="237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 t="e">
        <f t="shared" si="325"/>
        <v>#DIV/0!</v>
      </c>
      <c r="BX213" s="38" t="e">
        <f t="shared" si="325"/>
        <v>#DIV/0!</v>
      </c>
      <c r="BY213" s="38" t="e">
        <f t="shared" si="325"/>
        <v>#DIV/0!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304</v>
      </c>
      <c r="AS235" s="183" t="s">
        <v>308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 t="e">
        <f>BX213</f>
        <v>#DIV/0!</v>
      </c>
      <c r="AN236" s="61" t="e">
        <f>BY213</f>
        <v>#DIV/0!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 t="e">
        <f>BX166</f>
        <v>#DIV/0!</v>
      </c>
      <c r="AN237" s="61" t="e">
        <f>BY166</f>
        <v>#DIV/0!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 t="e">
        <f>BX121</f>
        <v>#DIV/0!</v>
      </c>
      <c r="AN238" s="61" t="e">
        <f>BY121</f>
        <v>#DIV/0!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 t="e">
        <f>BX74</f>
        <v>#DIV/0!</v>
      </c>
      <c r="AN239" s="61" t="e">
        <f>BY74</f>
        <v>#DIV/0!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23.284888888888887</v>
      </c>
      <c r="C240" s="61">
        <f>BG29</f>
        <v>0</v>
      </c>
      <c r="D240" s="61">
        <f>BH29</f>
        <v>23.284888888888887</v>
      </c>
      <c r="E240" s="61">
        <f>AA29</f>
        <v>4.4838666666666666E-2</v>
      </c>
      <c r="F240" s="61">
        <f>AB29</f>
        <v>0</v>
      </c>
      <c r="G240" s="61">
        <f>AC29</f>
        <v>4.4838666666666666E-2</v>
      </c>
      <c r="H240" s="61">
        <f>AH29</f>
        <v>69.927866666666674</v>
      </c>
      <c r="I240" s="61">
        <f>AI29</f>
        <v>0</v>
      </c>
      <c r="J240" s="61">
        <f>AJ29</f>
        <v>69.927866666666674</v>
      </c>
      <c r="K240" s="61">
        <f t="shared" ref="K240:R240" si="339">BI29</f>
        <v>1.2397437594220666</v>
      </c>
      <c r="L240" s="61">
        <f t="shared" si="339"/>
        <v>1.2397437594220666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1.2397437594220666</v>
      </c>
      <c r="P240" s="61">
        <f t="shared" si="339"/>
        <v>1.1896016099651765</v>
      </c>
      <c r="Q240" s="61" t="e">
        <f t="shared" si="339"/>
        <v>#DIV/0!</v>
      </c>
      <c r="R240" s="61">
        <f t="shared" si="339"/>
        <v>1.1896016099651765</v>
      </c>
      <c r="S240" s="61">
        <f>AK29</f>
        <v>1.7826666666666666</v>
      </c>
      <c r="T240" s="61">
        <f>AW29</f>
        <v>0.17302666666666666</v>
      </c>
      <c r="U240" s="61">
        <f>AX29</f>
        <v>0</v>
      </c>
      <c r="V240" s="91">
        <f t="shared" si="333"/>
        <v>0.17302666666666666</v>
      </c>
      <c r="W240" s="61">
        <f>AM29</f>
        <v>0</v>
      </c>
      <c r="X240" s="61">
        <f>AL29</f>
        <v>1.1312</v>
      </c>
      <c r="Y240" s="61">
        <f>AN29</f>
        <v>0</v>
      </c>
      <c r="Z240" s="61">
        <f>AO29</f>
        <v>0.60339999999999994</v>
      </c>
      <c r="AA240" s="61">
        <f t="shared" ref="AA240:AF240" si="340">AQ29</f>
        <v>0.11435999999999999</v>
      </c>
      <c r="AB240" s="61">
        <f t="shared" si="340"/>
        <v>0</v>
      </c>
      <c r="AC240" s="61">
        <f t="shared" si="340"/>
        <v>0.11131999999999999</v>
      </c>
      <c r="AD240" s="61">
        <f t="shared" si="340"/>
        <v>5.6840000000000009E-2</v>
      </c>
      <c r="AE240" s="61">
        <f t="shared" si="340"/>
        <v>0</v>
      </c>
      <c r="AF240" s="61">
        <f t="shared" si="340"/>
        <v>5.6840000000000009E-2</v>
      </c>
      <c r="AG240" s="61">
        <f>P29</f>
        <v>23.28533333333333</v>
      </c>
      <c r="AH240" s="61" t="e">
        <f>BQ29</f>
        <v>#DIV/0!</v>
      </c>
      <c r="AI240" s="61">
        <f>BR29</f>
        <v>89.518093333333326</v>
      </c>
      <c r="AJ240" s="61" t="e">
        <f>BT29</f>
        <v>#DIV/0!</v>
      </c>
      <c r="AK240" s="61">
        <f>BU29</f>
        <v>0</v>
      </c>
      <c r="AL240" s="61">
        <f>BV29</f>
        <v>0</v>
      </c>
      <c r="AM240" s="61" t="e">
        <f>BX29</f>
        <v>#DIV/0!</v>
      </c>
      <c r="AN240" s="61" t="e">
        <f>BY29</f>
        <v>#DIV/0!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4.846078459594394E-2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#DIV/0!</v>
      </c>
      <c r="AN241" s="61" t="e">
        <f t="shared" si="344"/>
        <v>#DIV/0!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#DIV/0!</v>
      </c>
      <c r="AN242" s="61" t="e">
        <f t="shared" si="347"/>
        <v>#DIV/0!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#DIV/0!</v>
      </c>
      <c r="AN243" s="61" t="e">
        <f t="shared" ref="AN243:AQ243" si="356">FO166</f>
        <v>#DIV/0!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305</v>
      </c>
      <c r="AS245" s="137" t="s">
        <v>309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23.284888888888887</v>
      </c>
      <c r="C246" s="61">
        <f>IF('1'!$B$6=90, C240, (C236+2*C237+2*C238+2*C239+C240)/8)</f>
        <v>0</v>
      </c>
      <c r="D246" s="61">
        <f>IF('1'!$B$6=90, D240, (D236+2*D237+2*D238+2*D239+D240)/8)</f>
        <v>23.284888888888887</v>
      </c>
      <c r="E246" s="61">
        <f>IF('1'!$B$6=90, E240, (E236+2*E237+2*E238+2*E239+E240)/8)</f>
        <v>4.4838666666666666E-2</v>
      </c>
      <c r="F246" s="61">
        <f>IF('1'!$B$6=90, F240, (F236+2*F237+2*F238+2*F239+F240)/8)</f>
        <v>0</v>
      </c>
      <c r="G246" s="61">
        <f>IF('1'!$B$6=90, G240, (G236+2*G237+2*G238+2*G239+G240)/8)</f>
        <v>4.4838666666666666E-2</v>
      </c>
      <c r="H246" s="61">
        <f>IF('1'!$B$6=90, H240, (H236+2*H237+2*H238+2*H239+H240)/8)</f>
        <v>69.927866666666674</v>
      </c>
      <c r="I246" s="61">
        <f>IF('1'!$B$6=90, I240, (I236+2*I237+2*I238+2*I239+I240)/8)</f>
        <v>0</v>
      </c>
      <c r="J246" s="61">
        <f>IF('1'!$B$6=90, J240, (J236+2*J237+2*J238+2*J239+J240)/8)</f>
        <v>69.927866666666674</v>
      </c>
      <c r="K246" s="61">
        <f>IF('1'!$B$6=90, K240, (K236+2*K237+2*K238+2*K239+K240)/8)</f>
        <v>1.2397437594220666</v>
      </c>
      <c r="L246" s="61">
        <f>IF('1'!$B$6=90, L240, (L236+2*L237+2*L238+2*L239+L240)/8)</f>
        <v>1.2397437594220666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1.2397437594220666</v>
      </c>
      <c r="P246" s="61">
        <f>IF('1'!$B$6=90, P240, (P236+2*P237+2*P238+2*P239+P240)/8)</f>
        <v>1.1896016099651765</v>
      </c>
      <c r="Q246" s="61" t="e">
        <f>IF('1'!$B$6=90, Q240, (Q236+2*Q237+2*Q238+2*Q239+Q240)/8)</f>
        <v>#DIV/0!</v>
      </c>
      <c r="R246" s="61">
        <f>IF('1'!$B$6=90, R240, (R236+2*R237+2*R238+2*R239+R240)/8)</f>
        <v>1.1896016099651765</v>
      </c>
      <c r="S246" s="61">
        <f>IF('1'!$B$6=90, S240, (S236+2*S237+2*S238+2*S239+S240)/8)</f>
        <v>1.7826666666666666</v>
      </c>
      <c r="T246" s="61">
        <f>IF('1'!$B$6=90, T240, (T236+2*T237+2*T238+2*T239+T240)/8)</f>
        <v>0.17302666666666666</v>
      </c>
      <c r="U246" s="61">
        <f>IF('1'!$B$6=90, U240, (U236+2*U237+2*U238+2*U239+U240)/8)</f>
        <v>0</v>
      </c>
      <c r="V246" s="61">
        <f>IF('1'!$B$6=90, V240, (V236+2*V237+2*V238+2*V239+V240)/8)</f>
        <v>0.17302666666666666</v>
      </c>
      <c r="W246" s="61">
        <f>IF('1'!$B$6=90, W240, (W236+2*W237+2*W238+2*W239+W240)/8)</f>
        <v>0</v>
      </c>
      <c r="X246" s="61">
        <f>IF('1'!$B$6=90, X240, (X236+2*X237+2*X238+2*X239+X240)/8)</f>
        <v>1.1312</v>
      </c>
      <c r="Y246" s="61">
        <f>IF('1'!$B$6=90, Y240, (Y236+2*Y237+2*Y238+2*Y239+Y240)/8)</f>
        <v>0</v>
      </c>
      <c r="Z246" s="61">
        <f>IF('1'!$B$6=90, Z240, (Z236+2*Z237+2*Z238+2*Z239+Z240)/8)</f>
        <v>0.60339999999999994</v>
      </c>
      <c r="AA246" s="61">
        <f>IF('1'!$B$6=90, AA240, (AA236+2*AA237+2*AA238+2*AA239+AA240)/8)</f>
        <v>0.11435999999999999</v>
      </c>
      <c r="AB246" s="61">
        <f>IF('1'!$B$6=90, AB240, (AB236+2*AB237+2*AB238+2*AB239+AB240)/8)</f>
        <v>0</v>
      </c>
      <c r="AC246" s="61">
        <f>IF('1'!$B$6=90, AC240, (AC236+2*AC237+2*AC238+2*AC239+AC240)/8)</f>
        <v>0.11131999999999999</v>
      </c>
      <c r="AD246" s="61">
        <f>IF('1'!$B$6=90, AD240, (AD236+2*AD237+2*AD238+2*AD239+AD240)/8)</f>
        <v>5.6840000000000009E-2</v>
      </c>
      <c r="AE246" s="61">
        <f>IF('1'!$B$6=90, AE240, (AE236+2*AE237+2*AE238+2*AE239+AE240)/8)</f>
        <v>0</v>
      </c>
      <c r="AF246" s="61">
        <f>IF('1'!$B$6=90, AF240, (AF236+2*AF237+2*AF238+2*AF239+AF240)/8)</f>
        <v>5.6840000000000009E-2</v>
      </c>
      <c r="AG246" s="61">
        <f>AF246/G246</f>
        <v>1.2676558922358681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3.8444715695443876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 t="e">
        <f>IF('1'!$B$6=90, AM240, (AM236+2*AM237+2*AM238+2*AM239+AM240)/8)</f>
        <v>#DIV/0!</v>
      </c>
      <c r="AN246" s="61" t="e">
        <f>IF('1'!$B$6=90, AN240, (AN236+2*AN237+2*AN238+2*AN239+AN240)/8)</f>
        <v>#DIV/0!</v>
      </c>
      <c r="AO246" s="61" t="e">
        <f>AN246/(AM246*G246)</f>
        <v>#DIV/0!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4.846078459594394E-2</v>
      </c>
      <c r="AU246" s="187">
        <f>IF('1'!$B$6=90, AS240, (AS236+AS237+AS238+AS239+AS240+AS241+AS242+AS243)/8)</f>
        <v>4.846078459594394E-2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3.858871807071278</v>
      </c>
      <c r="U249" s="96" t="e">
        <f>U246/F246</f>
        <v>#DIV/0!</v>
      </c>
      <c r="AB249" s="96">
        <f>AD246/E246</f>
        <v>1.2676558922358681</v>
      </c>
      <c r="AC249" s="96" t="e">
        <f>AE246/F246</f>
        <v>#DIV/0!</v>
      </c>
      <c r="AK249" s="13" t="e">
        <f>AK246/F246</f>
        <v>#DIV/0!</v>
      </c>
      <c r="AM249" s="61">
        <f>AF246+C1</f>
        <v>5.6840000000000009E-2</v>
      </c>
      <c r="AO249" s="13" t="e">
        <f>AN246/(AM249*G246)</f>
        <v>#DIV/0!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 t="e">
        <f>'1'!W23/('1'!F5+'1'!W23)</f>
        <v>#DIV/0!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3.858871807071278</v>
      </c>
    </row>
  </sheetData>
  <mergeCells count="233"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zoomScale="90" zoomScaleNormal="90" workbookViewId="0">
      <selection activeCell="AB20" sqref="AB20"/>
    </sheetView>
  </sheetViews>
  <sheetFormatPr defaultRowHeight="15" x14ac:dyDescent="0.25"/>
  <sheetData>
    <row r="1" spans="28:29" x14ac:dyDescent="0.25">
      <c r="AC1" t="s">
        <v>296</v>
      </c>
    </row>
    <row r="2" spans="28:29" x14ac:dyDescent="0.25">
      <c r="AB2" t="str">
        <f>'2'!CR142</f>
        <v>157.5 deg</v>
      </c>
      <c r="AC2" t="s">
        <v>295</v>
      </c>
    </row>
    <row r="3" spans="28:29" x14ac:dyDescent="0.25">
      <c r="AB3" t="str">
        <f>'2'!CR97</f>
        <v>135 deg</v>
      </c>
      <c r="AC3" t="s">
        <v>295</v>
      </c>
    </row>
    <row r="4" spans="28:29" x14ac:dyDescent="0.25">
      <c r="AB4" t="str">
        <f>'2'!CR50</f>
        <v>112.5 deg</v>
      </c>
      <c r="AC4" t="s">
        <v>295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comp 1</v>
      </c>
      <c r="AC10" t="s">
        <v>295</v>
      </c>
    </row>
    <row r="11" spans="28:29" x14ac:dyDescent="0.25">
      <c r="AB11" t="str">
        <f>'6'!B50</f>
        <v>comp 2</v>
      </c>
      <c r="AC11" t="s">
        <v>295</v>
      </c>
    </row>
    <row r="12" spans="28:29" x14ac:dyDescent="0.25">
      <c r="AB12" t="str">
        <f>'6'!B97</f>
        <v>comp 3</v>
      </c>
      <c r="AC12" t="s">
        <v>295</v>
      </c>
    </row>
    <row r="13" spans="28:29" x14ac:dyDescent="0.25">
      <c r="AB13" t="str">
        <f>'6'!B142</f>
        <v>comp 4</v>
      </c>
      <c r="AC13" t="s">
        <v>295</v>
      </c>
    </row>
    <row r="14" spans="28:29" x14ac:dyDescent="0.25">
      <c r="AB14" t="str">
        <f>'6'!B189</f>
        <v>comp 5</v>
      </c>
      <c r="AC14" t="s">
        <v>295</v>
      </c>
    </row>
    <row r="16" spans="28:29" x14ac:dyDescent="0.25">
      <c r="AB16" t="s">
        <v>310</v>
      </c>
      <c r="AC16">
        <v>0</v>
      </c>
    </row>
    <row r="17" spans="7:24" x14ac:dyDescent="0.25">
      <c r="X17" s="192"/>
    </row>
    <row r="23" spans="7:24" x14ac:dyDescent="0.25">
      <c r="G23" t="s">
        <v>277</v>
      </c>
      <c r="H23" t="s">
        <v>282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7.7600000000000002E-2</v>
      </c>
      <c r="V50" s="41">
        <f>'2'!AJ18</f>
        <v>124.2</v>
      </c>
      <c r="W50" s="41">
        <f>'2'!AO18</f>
        <v>1.4139999999999999</v>
      </c>
      <c r="X50" s="54">
        <f>'2'!AK18</f>
        <v>3.75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1.5520000000000001E-2</v>
      </c>
      <c r="V55" s="45">
        <f t="shared" ref="V55:X55" si="0">AVERAGE(V50:V54)</f>
        <v>24.84</v>
      </c>
      <c r="W55" s="45">
        <f t="shared" si="0"/>
        <v>0.2828</v>
      </c>
      <c r="X55" s="46">
        <f t="shared" si="0"/>
        <v>0.75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278</v>
      </c>
      <c r="B72" t="s">
        <v>283</v>
      </c>
    </row>
    <row r="74" spans="1:17" x14ac:dyDescent="0.25">
      <c r="P74" t="s">
        <v>279</v>
      </c>
      <c r="Q74" t="s">
        <v>284</v>
      </c>
    </row>
    <row r="106" spans="6:13" x14ac:dyDescent="0.25">
      <c r="F106" t="s">
        <v>280</v>
      </c>
      <c r="G106" t="s">
        <v>286</v>
      </c>
      <c r="L106" t="s">
        <v>281</v>
      </c>
      <c r="M106" t="s">
        <v>285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5" t="s">
        <v>156</v>
      </c>
      <c r="F2" s="255"/>
      <c r="O2" s="255" t="s">
        <v>157</v>
      </c>
      <c r="P2" s="255"/>
      <c r="Y2" s="255" t="s">
        <v>158</v>
      </c>
      <c r="Z2" s="255"/>
      <c r="AI2" s="256" t="s">
        <v>165</v>
      </c>
      <c r="AJ2" s="262"/>
      <c r="AK2" s="262"/>
      <c r="AL2" s="263"/>
      <c r="AT2" s="256" t="s">
        <v>166</v>
      </c>
      <c r="AU2" s="262"/>
      <c r="AV2" s="262"/>
      <c r="AW2" s="263"/>
      <c r="BE2" s="256" t="s">
        <v>167</v>
      </c>
      <c r="BF2" s="262"/>
      <c r="BG2" s="262"/>
      <c r="BH2" s="263"/>
      <c r="BP2" s="256" t="s">
        <v>168</v>
      </c>
      <c r="BQ2" s="262"/>
      <c r="BR2" s="262"/>
      <c r="BS2" s="263"/>
      <c r="CA2" s="256" t="s">
        <v>159</v>
      </c>
      <c r="CB2" s="262"/>
      <c r="CC2" s="262"/>
      <c r="CD2" s="263"/>
    </row>
    <row r="4" spans="1:84" x14ac:dyDescent="0.25">
      <c r="B4" s="255" t="s">
        <v>126</v>
      </c>
      <c r="C4" s="255"/>
      <c r="D4" s="255"/>
      <c r="E4" s="255"/>
      <c r="F4" s="255"/>
      <c r="G4" s="255"/>
      <c r="H4" s="255"/>
      <c r="I4" s="255"/>
      <c r="L4" s="255" t="s">
        <v>126</v>
      </c>
      <c r="M4" s="255"/>
      <c r="N4" s="255"/>
      <c r="O4" s="255"/>
      <c r="P4" s="255"/>
      <c r="Q4" s="255"/>
      <c r="R4" s="255"/>
      <c r="S4" s="255"/>
      <c r="V4" s="255" t="s">
        <v>126</v>
      </c>
      <c r="W4" s="255"/>
      <c r="X4" s="255"/>
      <c r="Y4" s="255"/>
      <c r="Z4" s="255"/>
      <c r="AA4" s="255"/>
      <c r="AB4" s="255"/>
      <c r="AC4" s="255"/>
      <c r="AG4" s="255" t="s">
        <v>126</v>
      </c>
      <c r="AH4" s="255"/>
      <c r="AI4" s="255"/>
      <c r="AJ4" s="255"/>
      <c r="AK4" s="255"/>
      <c r="AL4" s="255"/>
      <c r="AM4" s="255"/>
      <c r="AN4" s="255"/>
      <c r="AR4" s="255" t="s">
        <v>126</v>
      </c>
      <c r="AS4" s="255"/>
      <c r="AT4" s="255"/>
      <c r="AU4" s="255"/>
      <c r="AV4" s="255"/>
      <c r="AW4" s="255"/>
      <c r="AX4" s="255"/>
      <c r="AY4" s="255"/>
      <c r="BC4" s="255" t="s">
        <v>126</v>
      </c>
      <c r="BD4" s="255"/>
      <c r="BE4" s="255"/>
      <c r="BF4" s="255"/>
      <c r="BG4" s="255"/>
      <c r="BH4" s="255"/>
      <c r="BI4" s="255"/>
      <c r="BJ4" s="255"/>
      <c r="BN4" s="255" t="s">
        <v>126</v>
      </c>
      <c r="BO4" s="255"/>
      <c r="BP4" s="255"/>
      <c r="BQ4" s="255"/>
      <c r="BR4" s="255"/>
      <c r="BS4" s="255"/>
      <c r="BT4" s="255"/>
      <c r="BU4" s="255"/>
      <c r="BY4" s="255" t="s">
        <v>126</v>
      </c>
      <c r="BZ4" s="255"/>
      <c r="CA4" s="255"/>
      <c r="CB4" s="255"/>
      <c r="CC4" s="255"/>
      <c r="CD4" s="255"/>
      <c r="CE4" s="255"/>
      <c r="CF4" s="255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0.1065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0.1065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3.71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53.233333333333334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53.233333333333334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0.15909999999999999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0.15909999999999999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4.3499999999999996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69.900000000000006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69.900000000000006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0.10680000000000001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0.10680000000000001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3.74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55.1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55.1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7.2700000000000001E-2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7.2700000000000001E-2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3.84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40.5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40.5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6.4000000000000001E-2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6.4000000000000001E-2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3.75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38.166666666666664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38.166666666666664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6.4600000000000005E-2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6.4600000000000005E-2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3.73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38.666666666666664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38.666666666666664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6.9800000000000001E-2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6.9800000000000001E-2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3.81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41.866666666666667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41.866666666666667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7.0000000000000007E-2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7.0000000000000007E-2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3.69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42.6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42.6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7.3700000000000002E-2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7.3700000000000002E-2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3.88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44.1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44.1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7.7600000000000002E-2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7.7600000000000002E-2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3.75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46.333333333333336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46.333333333333336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4.4838666666666666E-2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4.4838666666666666E-2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3.858871807071278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6" t="s">
        <v>169</v>
      </c>
      <c r="E30" s="257"/>
      <c r="F30" s="257"/>
      <c r="G30" s="258"/>
      <c r="N30" s="256" t="s">
        <v>170</v>
      </c>
      <c r="O30" s="257"/>
      <c r="P30" s="257"/>
      <c r="Q30" s="258"/>
      <c r="X30" s="256" t="s">
        <v>171</v>
      </c>
      <c r="Y30" s="257"/>
      <c r="Z30" s="257"/>
      <c r="AA30" s="258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5" t="s">
        <v>126</v>
      </c>
      <c r="C32" s="255"/>
      <c r="D32" s="255"/>
      <c r="E32" s="255"/>
      <c r="F32" s="255"/>
      <c r="G32" s="255"/>
      <c r="H32" s="255"/>
      <c r="I32" s="255"/>
      <c r="L32" s="255" t="s">
        <v>126</v>
      </c>
      <c r="M32" s="255"/>
      <c r="N32" s="255"/>
      <c r="O32" s="255"/>
      <c r="P32" s="255"/>
      <c r="Q32" s="255"/>
      <c r="R32" s="255"/>
      <c r="S32" s="255"/>
      <c r="V32" s="255" t="s">
        <v>126</v>
      </c>
      <c r="W32" s="255"/>
      <c r="X32" s="255"/>
      <c r="Y32" s="255"/>
      <c r="Z32" s="255"/>
      <c r="AA32" s="255"/>
      <c r="AB32" s="255"/>
      <c r="AC32" s="255"/>
      <c r="AG32" s="255" t="s">
        <v>126</v>
      </c>
      <c r="AH32" s="255"/>
      <c r="AI32" s="255"/>
      <c r="AJ32" s="255"/>
      <c r="AK32" s="255"/>
      <c r="AL32" s="255"/>
      <c r="AM32" s="255"/>
      <c r="AN32" s="255"/>
      <c r="AR32" s="255" t="s">
        <v>126</v>
      </c>
      <c r="AS32" s="255"/>
      <c r="AT32" s="255"/>
      <c r="AU32" s="255"/>
      <c r="AV32" s="255"/>
      <c r="AW32" s="255"/>
      <c r="AX32" s="255"/>
      <c r="AY32" s="255"/>
      <c r="BC32" s="255" t="s">
        <v>126</v>
      </c>
      <c r="BD32" s="255"/>
      <c r="BE32" s="255"/>
      <c r="BF32" s="255"/>
      <c r="BG32" s="255"/>
      <c r="BH32" s="255"/>
      <c r="BI32" s="255"/>
      <c r="BJ32" s="255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172.2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172.2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1.2190000000000001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0.22600000000000001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219.36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219.36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1.177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0.309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171.3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171.3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1.2230000000000001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0.28499999999999998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113.5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113.5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1.341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0.23300000000000001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102.46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102.46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1.403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0.219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103.96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103.96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1.405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0.183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109.94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109.94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1.4379999999999999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113.79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113.79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1.415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0.183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113.92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113.92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1.4379999999999999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0.16800000000000001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124.2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124.2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1.4139999999999999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0.16900000000000001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69.927866666666674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69.927866666666674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1.2676558922358681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BP2:BS2"/>
    <mergeCell ref="BN4:BU4"/>
    <mergeCell ref="CA2:CD2"/>
    <mergeCell ref="BY4:CF4"/>
    <mergeCell ref="AT2:AW2"/>
    <mergeCell ref="AR4:AY4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V32:AC32"/>
    <mergeCell ref="D30:G30"/>
    <mergeCell ref="B32:I32"/>
    <mergeCell ref="N30:Q30"/>
    <mergeCell ref="L32:S3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 t="e">
        <f>(0.316/E4^0.25*(1/(1-'2'!G246))^0.25)*('1'!W23+'1'!F5)^3/(2*0.0254)</f>
        <v>#DIV/0!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#DIV/0!</v>
      </c>
      <c r="J2" t="e">
        <f>('2'!H246^2*'5'!G5)/('5'!C4^(1/3)-'2'!G246^(1/3))*(1-EXP(-'5'!C2*('5'!C4^(1/3)*'2'!G246^(1/3))/('5'!C4^(1/3)-'2'!G246^(1/3))))</f>
        <v>#DIV/0!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0</v>
      </c>
      <c r="F4" t="e">
        <f t="shared" ref="F4:H4" si="0">(F33+2*(F82+F133+F182)+F233)/8</f>
        <v>#DIV/0!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 t="e">
        <f>1.4*C1^(1/3)*('2'!T252/1000)^(1/3)</f>
        <v>#DIV/0!</v>
      </c>
      <c r="H5" t="e">
        <f>998*(1.4*C1^(1/3)*(6*'2'!G246/'2'!J246)^(1/3))^2*(6*'2'!G246/'2'!J246)/0.07078</f>
        <v>#DIV/0!</v>
      </c>
    </row>
    <row r="6" spans="1:1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256</v>
      </c>
      <c r="F6" s="247"/>
      <c r="G6" s="247"/>
      <c r="H6" s="247"/>
      <c r="I6" s="247"/>
      <c r="J6" s="247"/>
      <c r="K6" s="248"/>
      <c r="L6" s="246"/>
      <c r="M6" s="247"/>
      <c r="N6" s="247"/>
      <c r="O6" s="247"/>
      <c r="P6" s="248"/>
    </row>
    <row r="7" spans="1:16" ht="15.75" thickBot="1" x14ac:dyDescent="0.3">
      <c r="A7" s="223"/>
      <c r="B7" s="223"/>
      <c r="C7" s="225"/>
      <c r="D7" s="227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0</v>
      </c>
      <c r="F8" s="96" t="e">
        <f>1.3753*(998*'1'!$F$5+1.2*'1'!$W$23)/(998*0.0254^(1/3)*'5'!E8^(1/12))</f>
        <v>#DIV/0!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0</v>
      </c>
      <c r="F9" s="96" t="e">
        <f>1.3753*(998*'1'!$F$5+1.2*'1'!$W$23)/(998*0.0254^(1/3)*'5'!E9^(1/12))</f>
        <v>#DIV/0!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0</v>
      </c>
      <c r="F10" s="96" t="e">
        <f>1.3753*(998*'1'!$F$5+1.2*'1'!$W$23)/(998*0.0254^(1/3)*'5'!E10^(1/12))</f>
        <v>#DIV/0!</v>
      </c>
      <c r="G10" s="96" t="e">
        <f>F10*(1/(1-'2'!AC9))*('2'!AC9/'2'!AJ9)^(1/3)</f>
        <v>#DIV/0!</v>
      </c>
      <c r="H10" s="96" t="e">
        <f>6*998*F10^2/(0.072*(1-'2'!AC9)^2)*('2'!AC9/'2'!AJ9)^(5/3)</f>
        <v>#DIV/0!</v>
      </c>
      <c r="I10" s="96" t="e">
        <f>IF(AND((H10&gt;$C$3), ('2'!AC9&lt;0.11)),(('2'!AJ9^2/'2'!AC9)*'5'!G10)*SQRT(1-('5'!$C$3/H10))*EXP(-'5'!$C$3/H10), 0)</f>
        <v>#DIV/0!</v>
      </c>
      <c r="J10" s="96" t="e">
        <f>IF(('2'!AC9&lt;0.11),'2'!AJ9^2*'5'!G10/(('5'!$C$4^(1/3)-'2'!AC9^(1/3)))*(1-EXP(-$C$2*($C$4^(1/3)*'2'!AC9^(1/3))/('5'!$C$4^(1/3)-'2'!AC9^(1/3)))), 0)</f>
        <v>#DIV/0!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0</v>
      </c>
      <c r="F11" s="96" t="e">
        <f>1.3753*(998*'1'!$F$5+1.2*'1'!$W$23)/(998*0.0254^(1/3)*'5'!E11^(1/12))</f>
        <v>#DIV/0!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0</v>
      </c>
      <c r="F12" s="96" t="e">
        <f>1.3753*(998*'1'!$F$5+1.2*'1'!$W$23)/(998*0.0254^(1/3)*'5'!E12^(1/12))</f>
        <v>#DIV/0!</v>
      </c>
      <c r="G12" s="96" t="e">
        <f>F12*(1/(1-'2'!AC10))*('2'!AC10/'2'!AJ10)^(1/3)</f>
        <v>#DIV/0!</v>
      </c>
      <c r="H12" s="96" t="e">
        <f>6*998*F12^2/(0.072*(1-'2'!AC10)^2)*('2'!AC10/'2'!AJ10)^(5/3)</f>
        <v>#DIV/0!</v>
      </c>
      <c r="I12" s="96" t="e">
        <f>IF(AND((H12&gt;$C$3), ('2'!AC10&lt;0.11)),(('2'!AJ10^2/'2'!AC10)*'5'!G12)*SQRT(1-('5'!$C$3/H12))*EXP(-'5'!$C$3/H12), 0)</f>
        <v>#DIV/0!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0</v>
      </c>
      <c r="F13" s="96" t="e">
        <f>1.3753*(998*'1'!$F$5+1.2*'1'!$W$23)/(998*0.0254^(1/3)*'5'!E13^(1/12))</f>
        <v>#DIV/0!</v>
      </c>
      <c r="G13" s="96" t="e">
        <f>F13*(1/(1-'2'!AC11))*('2'!AC11/'2'!AJ11)^(1/3)</f>
        <v>#DIV/0!</v>
      </c>
      <c r="H13" s="96" t="e">
        <f>6*998*F13^2/(0.072*(1-'2'!AC11)^2)*('2'!AC11/'2'!AJ11)^(5/3)</f>
        <v>#DIV/0!</v>
      </c>
      <c r="I13" s="96" t="e">
        <f>IF(AND((H13&gt;$C$3), ('2'!AC11&lt;0.11)),(('2'!AJ11^2/'2'!AC11)*'5'!G13)*SQRT(1-('5'!$C$3/H13))*EXP(-'5'!$C$3/H13), 0)</f>
        <v>#DIV/0!</v>
      </c>
      <c r="J13" s="96" t="e">
        <f>IF(('2'!AC11&lt;0.11),'2'!AJ11^2*'5'!G13/(('5'!$C$4^(1/3)-'2'!AC11^(1/3)))*(1-EXP(-$C$2*($C$4^(1/3)*'2'!AC11^(1/3))/('5'!$C$4^(1/3)-'2'!AC11^(1/3)))), 0)</f>
        <v>#DIV/0!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0</v>
      </c>
      <c r="F14" s="96" t="e">
        <f>1.3753*(998*'1'!$F$5+1.2*'1'!$W$23)/(998*0.0254^(1/3)*'5'!E14^(1/12))</f>
        <v>#DIV/0!</v>
      </c>
      <c r="G14" s="96" t="e">
        <f>F14*(1/(1-'2'!AC12))*('2'!AC12/'2'!AJ12)^(1/3)</f>
        <v>#DIV/0!</v>
      </c>
      <c r="H14" s="96" t="e">
        <f>6*998*F14^2/(0.072*(1-'2'!AC12)^2)*('2'!AC12/'2'!AJ12)^(5/3)</f>
        <v>#DIV/0!</v>
      </c>
      <c r="I14" s="96" t="e">
        <f>IF(AND((H14&gt;$C$3), ('2'!AC12&lt;0.11)),(('2'!AJ12^2/'2'!AC12)*'5'!G14)*SQRT(1-('5'!$C$3/H14))*EXP(-'5'!$C$3/H14), 0)</f>
        <v>#DIV/0!</v>
      </c>
      <c r="J14" s="96" t="e">
        <f>IF(('2'!AC12&lt;0.11),'2'!AJ12^2*'5'!G14/(('5'!$C$4^(1/3)-'2'!AC12^(1/3)))*(1-EXP(-$C$2*($C$4^(1/3)*'2'!AC12^(1/3))/('5'!$C$4^(1/3)-'2'!AC12^(1/3)))), 0)</f>
        <v>#DIV/0!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0</v>
      </c>
      <c r="F15" s="96" t="e">
        <f>1.3753*(998*'1'!$F$5+1.2*'1'!$W$23)/(998*0.0254^(1/3)*'5'!E15^(1/12))</f>
        <v>#DIV/0!</v>
      </c>
      <c r="G15" s="96" t="e">
        <f>F15*(1/(1-'2'!AC13))*('2'!AC13/'2'!AJ13)^(1/3)</f>
        <v>#DIV/0!</v>
      </c>
      <c r="H15" s="96" t="e">
        <f>6*998*F15^2/(0.072*(1-'2'!AC13)^2)*('2'!AC13/'2'!AJ13)^(5/3)</f>
        <v>#DIV/0!</v>
      </c>
      <c r="I15" s="96" t="e">
        <f>IF(AND((H15&gt;$C$3), ('2'!AC13&lt;0.11)),(('2'!AJ13^2/'2'!AC13)*'5'!G15)*SQRT(1-('5'!$C$3/H15))*EXP(-'5'!$C$3/H15), 0)</f>
        <v>#DIV/0!</v>
      </c>
      <c r="J15" s="96" t="e">
        <f>IF(('2'!AC13&lt;0.11),'2'!AJ13^2*'5'!G15/(('5'!$C$4^(1/3)-'2'!AC13^(1/3)))*(1-EXP(-$C$2*($C$4^(1/3)*'2'!AC13^(1/3))/('5'!$C$4^(1/3)-'2'!AC13^(1/3)))), 0)</f>
        <v>#DIV/0!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0</v>
      </c>
      <c r="F16" s="96" t="e">
        <f>1.3753*(998*'1'!$F$5+1.2*'1'!$W$23)/(998*0.0254^(1/3)*'5'!E16^(1/12))</f>
        <v>#DIV/0!</v>
      </c>
      <c r="G16" s="96" t="e">
        <f>F16*(1/(1-'2'!AC14))*('2'!AC14/'2'!AJ14)^(1/3)</f>
        <v>#DIV/0!</v>
      </c>
      <c r="H16" s="96" t="e">
        <f>6*998*F16^2/(0.072*(1-'2'!AC14)^2)*('2'!AC14/'2'!AJ14)^(5/3)</f>
        <v>#DIV/0!</v>
      </c>
      <c r="I16" s="96" t="e">
        <f>IF(AND((H16&gt;$C$3), ('2'!AC14&lt;0.11)),(('2'!AJ14^2/'2'!AC14)*'5'!G16)*SQRT(1-('5'!$C$3/H16))*EXP(-'5'!$C$3/H16), 0)</f>
        <v>#DIV/0!</v>
      </c>
      <c r="J16" s="96" t="e">
        <f>IF(('2'!AC14&lt;0.11),'2'!AJ14^2*'5'!G16/(('5'!$C$4^(1/3)-'2'!AC14^(1/3)))*(1-EXP(-$C$2*($C$4^(1/3)*'2'!AC14^(1/3))/('5'!$C$4^(1/3)-'2'!AC14^(1/3)))), 0)</f>
        <v>#DIV/0!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0</v>
      </c>
      <c r="F17" s="96" t="e">
        <f>1.3753*(998*'1'!$F$5+1.2*'1'!$W$23)/(998*0.0254^(1/3)*'5'!E17^(1/12))</f>
        <v>#DIV/0!</v>
      </c>
      <c r="G17" s="96" t="e">
        <f>F17*(1/(1-'2'!AC15))*('2'!AC15/'2'!AJ15)^(1/3)</f>
        <v>#DIV/0!</v>
      </c>
      <c r="H17" s="96" t="e">
        <f>6*998*F17^2/(0.072*(1-'2'!AC15)^2)*('2'!AC15/'2'!AJ15)^(5/3)</f>
        <v>#DIV/0!</v>
      </c>
      <c r="I17" s="96" t="e">
        <f>IF(AND((H17&gt;$C$3), ('2'!AC15&lt;0.11)),(('2'!AJ15^2/'2'!AC15)*'5'!G17)*SQRT(1-('5'!$C$3/H17))*EXP(-'5'!$C$3/H17), 0)</f>
        <v>#DIV/0!</v>
      </c>
      <c r="J17" s="96" t="e">
        <f>IF(('2'!AC15&lt;0.11),'2'!AJ15^2*'5'!G17/(('5'!$C$4^(1/3)-'2'!AC15^(1/3)))*(1-EXP(-$C$2*($C$4^(1/3)*'2'!AC15^(1/3))/('5'!$C$4^(1/3)-'2'!AC15^(1/3)))), 0)</f>
        <v>#DIV/0!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0</v>
      </c>
      <c r="F18" s="96" t="e">
        <f>1.3753*(998*'1'!$F$5+1.2*'1'!$W$23)/(998*0.0254^(1/3)*'5'!E18^(1/12))</f>
        <v>#DIV/0!</v>
      </c>
      <c r="G18" s="96" t="e">
        <f>F18*(1/(1-'2'!AC16))*('2'!AC16/'2'!AJ16)^(1/3)</f>
        <v>#DIV/0!</v>
      </c>
      <c r="H18" s="96" t="e">
        <f>6*998*F18^2/(0.072*(1-'2'!AC16)^2)*('2'!AC16/'2'!AJ16)^(5/3)</f>
        <v>#DIV/0!</v>
      </c>
      <c r="I18" s="96" t="e">
        <f>IF(AND((H18&gt;$C$3), ('2'!AC16&lt;0.11)),(('2'!AJ16^2/'2'!AC16)*'5'!G18)*SQRT(1-('5'!$C$3/H18))*EXP(-'5'!$C$3/H18), 0)</f>
        <v>#DIV/0!</v>
      </c>
      <c r="J18" s="96" t="e">
        <f>IF(('2'!AC16&lt;0.11),'2'!AJ16^2*'5'!G18/(('5'!$C$4^(1/3)-'2'!AC16^(1/3)))*(1-EXP(-$C$2*($C$4^(1/3)*'2'!AC16^(1/3))/('5'!$C$4^(1/3)-'2'!AC16^(1/3)))), 0)</f>
        <v>#DIV/0!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0</v>
      </c>
      <c r="F19" s="96" t="e">
        <f>1.3753*(998*'1'!$F$5+1.2*'1'!$W$23)/(998*0.0254^(1/3)*'5'!E19^(1/12))</f>
        <v>#DIV/0!</v>
      </c>
      <c r="G19" s="96" t="e">
        <f>F19*(1/(1-'2'!AC17))*('2'!AC17/'2'!AJ17)^(1/3)</f>
        <v>#DIV/0!</v>
      </c>
      <c r="H19" s="96" t="e">
        <f>6*998*F19^2/(0.072*(1-'2'!AC17)^2)*('2'!AC17/'2'!AJ17)^(5/3)</f>
        <v>#DIV/0!</v>
      </c>
      <c r="I19" s="96" t="e">
        <f>IF(AND((H19&gt;$C$3), ('2'!AC17&lt;0.11)),(('2'!AJ17^2/'2'!AC17)*'5'!G19)*SQRT(1-('5'!$C$3/H19))*EXP(-'5'!$C$3/H19), 0)</f>
        <v>#DIV/0!</v>
      </c>
      <c r="J19" s="96" t="e">
        <f>IF(('2'!AC17&lt;0.11),'2'!AJ17^2*'5'!G19/(('5'!$C$4^(1/3)-'2'!AC17^(1/3)))*(1-EXP(-$C$2*($C$4^(1/3)*'2'!AC17^(1/3))/('5'!$C$4^(1/3)-'2'!AC17^(1/3)))), 0)</f>
        <v>#DIV/0!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0</v>
      </c>
      <c r="F20" s="96" t="e">
        <f>1.3753*(998*'1'!$F$5+1.2*'1'!$W$23)/(998*0.0254^(1/3)*'5'!E20^(1/12))</f>
        <v>#DIV/0!</v>
      </c>
      <c r="G20" s="96" t="e">
        <f>F20*(1/(1-'2'!AC18))*('2'!AC18/'2'!AJ18)^(1/3)</f>
        <v>#DIV/0!</v>
      </c>
      <c r="H20" s="96" t="e">
        <f>6*998*F20^2/(0.072*(1-'2'!AC18)^2)*('2'!AC18/'2'!AJ18)^(5/3)</f>
        <v>#DIV/0!</v>
      </c>
      <c r="I20" s="96" t="e">
        <f>IF(AND((H20&gt;$C$3), ('2'!AC18&lt;0.11)),(('2'!AJ18^2/'2'!AC18)*'5'!G20)*SQRT(1-('5'!$C$3/H20))*EXP(-'5'!$C$3/H20), 0)</f>
        <v>#DIV/0!</v>
      </c>
      <c r="J20" s="96" t="e">
        <f>IF(('2'!AC18&lt;0.11),'2'!AJ18^2*'5'!G20/(('5'!$C$4^(1/3)-'2'!AC18^(1/3)))*(1-EXP(-$C$2*($C$4^(1/3)*'2'!AC18^(1/3))/('5'!$C$4^(1/3)-'2'!AC18^(1/3)))), 0)</f>
        <v>#DIV/0!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0</v>
      </c>
      <c r="F21" s="96" t="e">
        <f>1.3753*(998*'1'!$F$5+1.2*'1'!$W$23)/(998*0.0254^(1/3)*'5'!E21^(1/12))</f>
        <v>#DIV/0!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0</v>
      </c>
      <c r="F22" s="96" t="e">
        <f>1.3753*(998*'1'!$F$5+1.2*'1'!$W$23)/(998*0.0254^(1/3)*'5'!E22^(1/12))</f>
        <v>#DIV/0!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0</v>
      </c>
      <c r="F23" s="96" t="e">
        <f>1.3753*(998*'1'!$F$5+1.2*'1'!$W$23)/(998*0.0254^(1/3)*'5'!E23^(1/12))</f>
        <v>#DIV/0!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0</v>
      </c>
      <c r="F24" s="96" t="e">
        <f>1.3753*(998*'1'!$F$5+1.2*'1'!$W$23)/(998*0.0254^(1/3)*'5'!E24^(1/12))</f>
        <v>#DIV/0!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0</v>
      </c>
      <c r="F25" s="96" t="e">
        <f>1.3753*(998*'1'!$F$5+1.2*'1'!$W$23)/(998*0.0254^(1/3)*'5'!E25^(1/12))</f>
        <v>#DIV/0!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0</v>
      </c>
      <c r="F26" s="96" t="e">
        <f>1.3753*(998*'1'!$F$5+1.2*'1'!$W$23)/(998*0.0254^(1/3)*'5'!E26^(1/12))</f>
        <v>#DIV/0!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0</v>
      </c>
      <c r="F27" s="96" t="e">
        <f>1.3753*(998*'1'!$F$5+1.2*'1'!$W$23)/(998*0.0254^(1/3)*'5'!E27^(1/12))</f>
        <v>#DIV/0!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0</v>
      </c>
      <c r="F28" s="96" t="e">
        <f>1.3753*(998*'1'!$F$5+1.2*'1'!$W$23)/(998*0.0254^(1/3)*'5'!E28^(1/12))</f>
        <v>#DIV/0!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0</v>
      </c>
      <c r="F29" s="96" t="e">
        <f>1.3753*(998*'1'!$F$5+1.2*'1'!$W$23)/(998*0.0254^(1/3)*'5'!E29^(1/12))</f>
        <v>#DIV/0!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0</v>
      </c>
      <c r="F30" s="96" t="e">
        <f>1.3753*(998*'1'!$F$5+1.2*'1'!$W$23)/(998*0.0254^(1/3)*'5'!E30^(1/12))</f>
        <v>#DIV/0!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0</v>
      </c>
      <c r="F31" s="96" t="e">
        <f>1.3753*(998*'1'!$F$5+1.2*'1'!$W$23)/(998*0.0254^(1/3)*'5'!E31^(1/12))</f>
        <v>#DIV/0!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0</v>
      </c>
      <c r="F32" s="96" t="e">
        <f>1.3753*(998*'1'!$F$5+1.2*'1'!$W$23)/(998*0.0254^(1/3)*'5'!E32^(1/12))</f>
        <v>#DIV/0!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5" t="s">
        <v>55</v>
      </c>
      <c r="B33" s="236"/>
      <c r="C33" s="237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0</v>
      </c>
      <c r="F33" s="38" t="e">
        <f t="shared" ref="F33:K33" si="4">0.1/3*($B8*F8+4*$B10*F10+2*$B12*F12+4*$B13*F13+2*$B14*F14+4*$B15*F15+2*$B16*F16+4*$B17*F17+2*$B18*F18+4*$B19*F19+2*$B20*F20+4*$B21*F21+1*$B22*F22)+0.2/3*($B22*F22+4*$B24*F24+2*$B26*F26+4*$B28*F28+$B32*F32)</f>
        <v>#DIV/0!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22" t="s">
        <v>14</v>
      </c>
      <c r="B55" s="222" t="s">
        <v>49</v>
      </c>
      <c r="C55" s="224" t="s">
        <v>10</v>
      </c>
      <c r="D55" s="226" t="s">
        <v>58</v>
      </c>
      <c r="E55" s="246" t="s">
        <v>256</v>
      </c>
      <c r="F55" s="247"/>
      <c r="G55" s="247"/>
      <c r="H55" s="247"/>
      <c r="I55" s="247"/>
      <c r="J55" s="247"/>
      <c r="K55" s="248"/>
      <c r="L55" s="246"/>
      <c r="M55" s="247"/>
      <c r="N55" s="247"/>
      <c r="O55" s="247"/>
      <c r="P55" s="248"/>
    </row>
    <row r="56" spans="1:16" ht="15.75" thickBot="1" x14ac:dyDescent="0.3">
      <c r="A56" s="223"/>
      <c r="B56" s="223"/>
      <c r="C56" s="225"/>
      <c r="D56" s="227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0</v>
      </c>
      <c r="F57" s="96" t="e">
        <f>1.3753*(998*'1'!$F$5+1.2*'1'!$W$23)/(998*0.0254^(1/3)*'5'!E57^(1/12))</f>
        <v>#DIV/0!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0</v>
      </c>
      <c r="F58" s="96" t="e">
        <f>1.3753*(998*'1'!$F$5+1.2*'1'!$W$23)/(998*0.0254^(1/3)*'5'!E58^(1/12))</f>
        <v>#DIV/0!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0</v>
      </c>
      <c r="F59" s="96" t="e">
        <f>1.3753*(998*'1'!$F$5+1.2*'1'!$W$23)/(998*0.0254^(1/3)*'5'!E59^(1/12))</f>
        <v>#DIV/0!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0</v>
      </c>
      <c r="F60" s="96" t="e">
        <f>1.3753*(998*'1'!$F$5+1.2*'1'!$W$23)/(998*0.0254^(1/3)*'5'!E60^(1/12))</f>
        <v>#DIV/0!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0</v>
      </c>
      <c r="F61" s="96" t="e">
        <f>1.3753*(998*'1'!$F$5+1.2*'1'!$W$23)/(998*0.0254^(1/3)*'5'!E61^(1/12))</f>
        <v>#DIV/0!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0</v>
      </c>
      <c r="F62" s="96" t="e">
        <f>1.3753*(998*'1'!$F$5+1.2*'1'!$W$23)/(998*0.0254^(1/3)*'5'!E62^(1/12))</f>
        <v>#DIV/0!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0</v>
      </c>
      <c r="F63" s="96" t="e">
        <f>1.3753*(998*'1'!$F$5+1.2*'1'!$W$23)/(998*0.0254^(1/3)*'5'!E63^(1/12))</f>
        <v>#DIV/0!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0</v>
      </c>
      <c r="F64" s="96" t="e">
        <f>1.3753*(998*'1'!$F$5+1.2*'1'!$W$23)/(998*0.0254^(1/3)*'5'!E64^(1/12))</f>
        <v>#DIV/0!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0</v>
      </c>
      <c r="F65" s="96" t="e">
        <f>1.3753*(998*'1'!$F$5+1.2*'1'!$W$23)/(998*0.0254^(1/3)*'5'!E65^(1/12))</f>
        <v>#DIV/0!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0</v>
      </c>
      <c r="F66" s="96" t="e">
        <f>1.3753*(998*'1'!$F$5+1.2*'1'!$W$23)/(998*0.0254^(1/3)*'5'!E66^(1/12))</f>
        <v>#DIV/0!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0</v>
      </c>
      <c r="F67" s="96" t="e">
        <f>1.3753*(998*'1'!$F$5+1.2*'1'!$W$23)/(998*0.0254^(1/3)*'5'!E67^(1/12))</f>
        <v>#DIV/0!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0</v>
      </c>
      <c r="F68" s="96" t="e">
        <f>1.3753*(998*'1'!$F$5+1.2*'1'!$W$23)/(998*0.0254^(1/3)*'5'!E68^(1/12))</f>
        <v>#DIV/0!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0</v>
      </c>
      <c r="F69" s="96" t="e">
        <f>1.3753*(998*'1'!$F$5+1.2*'1'!$W$23)/(998*0.0254^(1/3)*'5'!E69^(1/12))</f>
        <v>#DIV/0!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0</v>
      </c>
      <c r="F70" s="96" t="e">
        <f>1.3753*(998*'1'!$F$5+1.2*'1'!$W$23)/(998*0.0254^(1/3)*'5'!E70^(1/12))</f>
        <v>#DIV/0!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0</v>
      </c>
      <c r="F71" s="96" t="e">
        <f>1.3753*(998*'1'!$F$5+1.2*'1'!$W$23)/(998*0.0254^(1/3)*'5'!E71^(1/12))</f>
        <v>#DIV/0!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0</v>
      </c>
      <c r="F72" s="96" t="e">
        <f>1.3753*(998*'1'!$F$5+1.2*'1'!$W$23)/(998*0.0254^(1/3)*'5'!E72^(1/12))</f>
        <v>#DIV/0!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0</v>
      </c>
      <c r="F73" s="96" t="e">
        <f>1.3753*(998*'1'!$F$5+1.2*'1'!$W$23)/(998*0.0254^(1/3)*'5'!E73^(1/12))</f>
        <v>#DIV/0!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0</v>
      </c>
      <c r="F74" s="96" t="e">
        <f>1.3753*(998*'1'!$F$5+1.2*'1'!$W$23)/(998*0.0254^(1/3)*'5'!E74^(1/12))</f>
        <v>#DIV/0!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0</v>
      </c>
      <c r="F75" s="96" t="e">
        <f>1.3753*(998*'1'!$F$5+1.2*'1'!$W$23)/(998*0.0254^(1/3)*'5'!E75^(1/12))</f>
        <v>#DIV/0!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0</v>
      </c>
      <c r="F76" s="96" t="e">
        <f>1.3753*(998*'1'!$F$5+1.2*'1'!$W$23)/(998*0.0254^(1/3)*'5'!E76^(1/12))</f>
        <v>#DIV/0!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0</v>
      </c>
      <c r="F77" s="96" t="e">
        <f>1.3753*(998*'1'!$F$5+1.2*'1'!$W$23)/(998*0.0254^(1/3)*'5'!E77^(1/12))</f>
        <v>#DIV/0!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0</v>
      </c>
      <c r="F78" s="96" t="e">
        <f>1.3753*(998*'1'!$F$5+1.2*'1'!$W$23)/(998*0.0254^(1/3)*'5'!E78^(1/12))</f>
        <v>#DIV/0!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0</v>
      </c>
      <c r="F79" s="96" t="e">
        <f>1.3753*(998*'1'!$F$5+1.2*'1'!$W$23)/(998*0.0254^(1/3)*'5'!E79^(1/12))</f>
        <v>#DIV/0!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0</v>
      </c>
      <c r="F80" s="96" t="e">
        <f>1.3753*(998*'1'!$F$5+1.2*'1'!$W$23)/(998*0.0254^(1/3)*'5'!E80^(1/12))</f>
        <v>#DIV/0!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0</v>
      </c>
      <c r="F81" s="96" t="e">
        <f>1.3753*(998*'1'!$F$5+1.2*'1'!$W$23)/(998*0.0254^(1/3)*'5'!E81^(1/12))</f>
        <v>#DIV/0!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5" t="s">
        <v>55</v>
      </c>
      <c r="B82" s="236"/>
      <c r="C82" s="237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0</v>
      </c>
      <c r="F82" s="38" t="e">
        <f t="shared" ref="F82:K82" si="8">0.1/3*($B57*F57+4*$B59*F59+2*$B61*F61+4*$B62*F62+2*$B63*F63+4*$B64*F64+2*$B65*F65+4*$B66*F66+2*$B67*F67+4*$B68*F68+2*$B69*F69+4*$B70*F70+1*$B71*F71)+0.2/3*($B71*F71+4*$B73*F73+2*$B75*F75+4*$B77*F77+$B81*F81)</f>
        <v>#DIV/0!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22" t="s">
        <v>14</v>
      </c>
      <c r="B106" s="222" t="s">
        <v>49</v>
      </c>
      <c r="C106" s="224" t="s">
        <v>10</v>
      </c>
      <c r="D106" s="226" t="s">
        <v>58</v>
      </c>
      <c r="E106" s="246" t="s">
        <v>256</v>
      </c>
      <c r="F106" s="247"/>
      <c r="G106" s="247"/>
      <c r="H106" s="247"/>
      <c r="I106" s="247"/>
      <c r="J106" s="247"/>
      <c r="K106" s="248"/>
      <c r="L106" s="246"/>
      <c r="M106" s="247"/>
      <c r="N106" s="247"/>
      <c r="O106" s="247"/>
      <c r="P106" s="248"/>
    </row>
    <row r="107" spans="1:16" ht="15.75" thickBot="1" x14ac:dyDescent="0.3">
      <c r="A107" s="223"/>
      <c r="B107" s="223"/>
      <c r="C107" s="225"/>
      <c r="D107" s="227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0</v>
      </c>
      <c r="F108" s="96" t="e">
        <f>1.3753*(998*'1'!$F$5+1.2*'1'!$W$23)/(998*0.0254^(1/3)*'5'!E108^(1/12))</f>
        <v>#DIV/0!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0</v>
      </c>
      <c r="F109" s="96" t="e">
        <f>1.3753*(998*'1'!$F$5+1.2*'1'!$W$23)/(998*0.0254^(1/3)*'5'!E109^(1/12))</f>
        <v>#DIV/0!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0</v>
      </c>
      <c r="F110" s="96" t="e">
        <f>1.3753*(998*'1'!$F$5+1.2*'1'!$W$23)/(998*0.0254^(1/3)*'5'!E110^(1/12))</f>
        <v>#DIV/0!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0</v>
      </c>
      <c r="F111" s="96" t="e">
        <f>1.3753*(998*'1'!$F$5+1.2*'1'!$W$23)/(998*0.0254^(1/3)*'5'!E111^(1/12))</f>
        <v>#DIV/0!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0</v>
      </c>
      <c r="F112" s="96" t="e">
        <f>1.3753*(998*'1'!$F$5+1.2*'1'!$W$23)/(998*0.0254^(1/3)*'5'!E112^(1/12))</f>
        <v>#DIV/0!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0</v>
      </c>
      <c r="F113" s="96" t="e">
        <f>1.3753*(998*'1'!$F$5+1.2*'1'!$W$23)/(998*0.0254^(1/3)*'5'!E113^(1/12))</f>
        <v>#DIV/0!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0</v>
      </c>
      <c r="F114" s="96" t="e">
        <f>1.3753*(998*'1'!$F$5+1.2*'1'!$W$23)/(998*0.0254^(1/3)*'5'!E114^(1/12))</f>
        <v>#DIV/0!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0</v>
      </c>
      <c r="F115" s="96" t="e">
        <f>1.3753*(998*'1'!$F$5+1.2*'1'!$W$23)/(998*0.0254^(1/3)*'5'!E115^(1/12))</f>
        <v>#DIV/0!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0</v>
      </c>
      <c r="F116" s="96" t="e">
        <f>1.3753*(998*'1'!$F$5+1.2*'1'!$W$23)/(998*0.0254^(1/3)*'5'!E116^(1/12))</f>
        <v>#DIV/0!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0</v>
      </c>
      <c r="F117" s="96" t="e">
        <f>1.3753*(998*'1'!$F$5+1.2*'1'!$W$23)/(998*0.0254^(1/3)*'5'!E117^(1/12))</f>
        <v>#DIV/0!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0</v>
      </c>
      <c r="F118" s="96" t="e">
        <f>1.3753*(998*'1'!$F$5+1.2*'1'!$W$23)/(998*0.0254^(1/3)*'5'!E118^(1/12))</f>
        <v>#DIV/0!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0</v>
      </c>
      <c r="F119" s="96" t="e">
        <f>1.3753*(998*'1'!$F$5+1.2*'1'!$W$23)/(998*0.0254^(1/3)*'5'!E119^(1/12))</f>
        <v>#DIV/0!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0</v>
      </c>
      <c r="F120" s="96" t="e">
        <f>1.3753*(998*'1'!$F$5+1.2*'1'!$W$23)/(998*0.0254^(1/3)*'5'!E120^(1/12))</f>
        <v>#DIV/0!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0</v>
      </c>
      <c r="F121" s="96" t="e">
        <f>1.3753*(998*'1'!$F$5+1.2*'1'!$W$23)/(998*0.0254^(1/3)*'5'!E121^(1/12))</f>
        <v>#DIV/0!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0</v>
      </c>
      <c r="F122" s="96" t="e">
        <f>1.3753*(998*'1'!$F$5+1.2*'1'!$W$23)/(998*0.0254^(1/3)*'5'!E122^(1/12))</f>
        <v>#DIV/0!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0</v>
      </c>
      <c r="F123" s="96" t="e">
        <f>1.3753*(998*'1'!$F$5+1.2*'1'!$W$23)/(998*0.0254^(1/3)*'5'!E123^(1/12))</f>
        <v>#DIV/0!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0</v>
      </c>
      <c r="F124" s="96" t="e">
        <f>1.3753*(998*'1'!$F$5+1.2*'1'!$W$23)/(998*0.0254^(1/3)*'5'!E124^(1/12))</f>
        <v>#DIV/0!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0</v>
      </c>
      <c r="F125" s="96" t="e">
        <f>1.3753*(998*'1'!$F$5+1.2*'1'!$W$23)/(998*0.0254^(1/3)*'5'!E125^(1/12))</f>
        <v>#DIV/0!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0</v>
      </c>
      <c r="F126" s="96" t="e">
        <f>1.3753*(998*'1'!$F$5+1.2*'1'!$W$23)/(998*0.0254^(1/3)*'5'!E126^(1/12))</f>
        <v>#DIV/0!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0</v>
      </c>
      <c r="F127" s="96" t="e">
        <f>1.3753*(998*'1'!$F$5+1.2*'1'!$W$23)/(998*0.0254^(1/3)*'5'!E127^(1/12))</f>
        <v>#DIV/0!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0</v>
      </c>
      <c r="F128" s="96" t="e">
        <f>1.3753*(998*'1'!$F$5+1.2*'1'!$W$23)/(998*0.0254^(1/3)*'5'!E128^(1/12))</f>
        <v>#DIV/0!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0</v>
      </c>
      <c r="F129" s="96" t="e">
        <f>1.3753*(998*'1'!$F$5+1.2*'1'!$W$23)/(998*0.0254^(1/3)*'5'!E129^(1/12))</f>
        <v>#DIV/0!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0</v>
      </c>
      <c r="F130" s="96" t="e">
        <f>1.3753*(998*'1'!$F$5+1.2*'1'!$W$23)/(998*0.0254^(1/3)*'5'!E130^(1/12))</f>
        <v>#DIV/0!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0</v>
      </c>
      <c r="F131" s="96" t="e">
        <f>1.3753*(998*'1'!$F$5+1.2*'1'!$W$23)/(998*0.0254^(1/3)*'5'!E131^(1/12))</f>
        <v>#DIV/0!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0</v>
      </c>
      <c r="F132" s="96" t="e">
        <f>1.3753*(998*'1'!$F$5+1.2*'1'!$W$23)/(998*0.0254^(1/3)*'5'!E132^(1/12))</f>
        <v>#DIV/0!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5" t="s">
        <v>55</v>
      </c>
      <c r="B133" s="236"/>
      <c r="C133" s="237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0</v>
      </c>
      <c r="F133" s="38" t="e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#DIV/0!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22" t="s">
        <v>14</v>
      </c>
      <c r="B155" s="222" t="s">
        <v>49</v>
      </c>
      <c r="C155" s="224" t="s">
        <v>10</v>
      </c>
      <c r="D155" s="226" t="s">
        <v>58</v>
      </c>
      <c r="E155" s="246" t="s">
        <v>256</v>
      </c>
      <c r="F155" s="247"/>
      <c r="G155" s="247"/>
      <c r="H155" s="247"/>
      <c r="I155" s="247"/>
      <c r="J155" s="247"/>
      <c r="K155" s="248"/>
      <c r="L155" s="246"/>
      <c r="M155" s="247"/>
      <c r="N155" s="247"/>
      <c r="O155" s="247"/>
      <c r="P155" s="248"/>
    </row>
    <row r="156" spans="1:16" ht="15.75" thickBot="1" x14ac:dyDescent="0.3">
      <c r="A156" s="223"/>
      <c r="B156" s="223"/>
      <c r="C156" s="225"/>
      <c r="D156" s="227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0</v>
      </c>
      <c r="F157" s="96" t="e">
        <f>1.3753*(998*'1'!$F$5+1.2*'1'!$W$23)/(998*0.0254^(1/3)*'5'!E157^(1/12))</f>
        <v>#DIV/0!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0</v>
      </c>
      <c r="F158" s="96" t="e">
        <f>1.3753*(998*'1'!$F$5+1.2*'1'!$W$23)/(998*0.0254^(1/3)*'5'!E158^(1/12))</f>
        <v>#DIV/0!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0</v>
      </c>
      <c r="F159" s="96" t="e">
        <f>1.3753*(998*'1'!$F$5+1.2*'1'!$W$23)/(998*0.0254^(1/3)*'5'!E159^(1/12))</f>
        <v>#DIV/0!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0</v>
      </c>
      <c r="F160" s="96" t="e">
        <f>1.3753*(998*'1'!$F$5+1.2*'1'!$W$23)/(998*0.0254^(1/3)*'5'!E160^(1/12))</f>
        <v>#DIV/0!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0</v>
      </c>
      <c r="F161" s="96" t="e">
        <f>1.3753*(998*'1'!$F$5+1.2*'1'!$W$23)/(998*0.0254^(1/3)*'5'!E161^(1/12))</f>
        <v>#DIV/0!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0</v>
      </c>
      <c r="F162" s="96" t="e">
        <f>1.3753*(998*'1'!$F$5+1.2*'1'!$W$23)/(998*0.0254^(1/3)*'5'!E162^(1/12))</f>
        <v>#DIV/0!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0</v>
      </c>
      <c r="F163" s="96" t="e">
        <f>1.3753*(998*'1'!$F$5+1.2*'1'!$W$23)/(998*0.0254^(1/3)*'5'!E163^(1/12))</f>
        <v>#DIV/0!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0</v>
      </c>
      <c r="F164" s="96" t="e">
        <f>1.3753*(998*'1'!$F$5+1.2*'1'!$W$23)/(998*0.0254^(1/3)*'5'!E164^(1/12))</f>
        <v>#DIV/0!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0</v>
      </c>
      <c r="F165" s="96" t="e">
        <f>1.3753*(998*'1'!$F$5+1.2*'1'!$W$23)/(998*0.0254^(1/3)*'5'!E165^(1/12))</f>
        <v>#DIV/0!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0</v>
      </c>
      <c r="F166" s="96" t="e">
        <f>1.3753*(998*'1'!$F$5+1.2*'1'!$W$23)/(998*0.0254^(1/3)*'5'!E166^(1/12))</f>
        <v>#DIV/0!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0</v>
      </c>
      <c r="F167" s="96" t="e">
        <f>1.3753*(998*'1'!$F$5+1.2*'1'!$W$23)/(998*0.0254^(1/3)*'5'!E167^(1/12))</f>
        <v>#DIV/0!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0</v>
      </c>
      <c r="F168" s="96" t="e">
        <f>1.3753*(998*'1'!$F$5+1.2*'1'!$W$23)/(998*0.0254^(1/3)*'5'!E168^(1/12))</f>
        <v>#DIV/0!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0</v>
      </c>
      <c r="F169" s="96" t="e">
        <f>1.3753*(998*'1'!$F$5+1.2*'1'!$W$23)/(998*0.0254^(1/3)*'5'!E169^(1/12))</f>
        <v>#DIV/0!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0</v>
      </c>
      <c r="F170" s="96" t="e">
        <f>1.3753*(998*'1'!$F$5+1.2*'1'!$W$23)/(998*0.0254^(1/3)*'5'!E170^(1/12))</f>
        <v>#DIV/0!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0</v>
      </c>
      <c r="F171" s="96" t="e">
        <f>1.3753*(998*'1'!$F$5+1.2*'1'!$W$23)/(998*0.0254^(1/3)*'5'!E171^(1/12))</f>
        <v>#DIV/0!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0</v>
      </c>
      <c r="F172" s="96" t="e">
        <f>1.3753*(998*'1'!$F$5+1.2*'1'!$W$23)/(998*0.0254^(1/3)*'5'!E172^(1/12))</f>
        <v>#DIV/0!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0</v>
      </c>
      <c r="F173" s="96" t="e">
        <f>1.3753*(998*'1'!$F$5+1.2*'1'!$W$23)/(998*0.0254^(1/3)*'5'!E173^(1/12))</f>
        <v>#DIV/0!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0</v>
      </c>
      <c r="F174" s="96" t="e">
        <f>1.3753*(998*'1'!$F$5+1.2*'1'!$W$23)/(998*0.0254^(1/3)*'5'!E174^(1/12))</f>
        <v>#DIV/0!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0</v>
      </c>
      <c r="F175" s="96" t="e">
        <f>1.3753*(998*'1'!$F$5+1.2*'1'!$W$23)/(998*0.0254^(1/3)*'5'!E175^(1/12))</f>
        <v>#DIV/0!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0</v>
      </c>
      <c r="F176" s="96" t="e">
        <f>1.3753*(998*'1'!$F$5+1.2*'1'!$W$23)/(998*0.0254^(1/3)*'5'!E176^(1/12))</f>
        <v>#DIV/0!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0</v>
      </c>
      <c r="F177" s="96" t="e">
        <f>1.3753*(998*'1'!$F$5+1.2*'1'!$W$23)/(998*0.0254^(1/3)*'5'!E177^(1/12))</f>
        <v>#DIV/0!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0</v>
      </c>
      <c r="F178" s="96" t="e">
        <f>1.3753*(998*'1'!$F$5+1.2*'1'!$W$23)/(998*0.0254^(1/3)*'5'!E178^(1/12))</f>
        <v>#DIV/0!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0</v>
      </c>
      <c r="F179" s="96" t="e">
        <f>1.3753*(998*'1'!$F$5+1.2*'1'!$W$23)/(998*0.0254^(1/3)*'5'!E179^(1/12))</f>
        <v>#DIV/0!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0</v>
      </c>
      <c r="F180" s="96" t="e">
        <f>1.3753*(998*'1'!$F$5+1.2*'1'!$W$23)/(998*0.0254^(1/3)*'5'!E180^(1/12))</f>
        <v>#DIV/0!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0</v>
      </c>
      <c r="F181" s="96" t="e">
        <f>1.3753*(998*'1'!$F$5+1.2*'1'!$W$23)/(998*0.0254^(1/3)*'5'!E181^(1/12))</f>
        <v>#DIV/0!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5" t="s">
        <v>55</v>
      </c>
      <c r="B182" s="236"/>
      <c r="C182" s="237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0</v>
      </c>
      <c r="F182" s="38" t="e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#DIV/0!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22" t="s">
        <v>14</v>
      </c>
      <c r="B206" s="222" t="s">
        <v>49</v>
      </c>
      <c r="C206" s="224" t="s">
        <v>10</v>
      </c>
      <c r="D206" s="226" t="s">
        <v>58</v>
      </c>
      <c r="E206" s="246" t="s">
        <v>256</v>
      </c>
      <c r="F206" s="247"/>
      <c r="G206" s="247"/>
      <c r="H206" s="247"/>
      <c r="I206" s="247"/>
      <c r="J206" s="247"/>
      <c r="K206" s="248"/>
      <c r="L206" s="246"/>
      <c r="M206" s="247"/>
      <c r="N206" s="247"/>
      <c r="O206" s="247"/>
      <c r="P206" s="248"/>
    </row>
    <row r="207" spans="1:16" ht="15.75" thickBot="1" x14ac:dyDescent="0.3">
      <c r="A207" s="223"/>
      <c r="B207" s="223"/>
      <c r="C207" s="225"/>
      <c r="D207" s="227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0</v>
      </c>
      <c r="F208" s="96" t="e">
        <f>1.3753*(998*'1'!$F$5+1.2*'1'!$W$23)/(998*0.0254^(1/3)*'5'!E208^(1/12))</f>
        <v>#DIV/0!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0</v>
      </c>
      <c r="F209" s="96" t="e">
        <f>1.3753*(998*'1'!$F$5+1.2*'1'!$W$23)/(998*0.0254^(1/3)*'5'!E209^(1/12))</f>
        <v>#DIV/0!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0</v>
      </c>
      <c r="F210" s="96" t="e">
        <f>1.3753*(998*'1'!$F$5+1.2*'1'!$W$23)/(998*0.0254^(1/3)*'5'!E210^(1/12))</f>
        <v>#DIV/0!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0</v>
      </c>
      <c r="F211" s="96" t="e">
        <f>1.3753*(998*'1'!$F$5+1.2*'1'!$W$23)/(998*0.0254^(1/3)*'5'!E211^(1/12))</f>
        <v>#DIV/0!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0</v>
      </c>
      <c r="F212" s="96" t="e">
        <f>1.3753*(998*'1'!$F$5+1.2*'1'!$W$23)/(998*0.0254^(1/3)*'5'!E212^(1/12))</f>
        <v>#DIV/0!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0</v>
      </c>
      <c r="F213" s="96" t="e">
        <f>1.3753*(998*'1'!$F$5+1.2*'1'!$W$23)/(998*0.0254^(1/3)*'5'!E213^(1/12))</f>
        <v>#DIV/0!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0</v>
      </c>
      <c r="F214" s="96" t="e">
        <f>1.3753*(998*'1'!$F$5+1.2*'1'!$W$23)/(998*0.0254^(1/3)*'5'!E214^(1/12))</f>
        <v>#DIV/0!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0</v>
      </c>
      <c r="F215" s="96" t="e">
        <f>1.3753*(998*'1'!$F$5+1.2*'1'!$W$23)/(998*0.0254^(1/3)*'5'!E215^(1/12))</f>
        <v>#DIV/0!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0</v>
      </c>
      <c r="F216" s="96" t="e">
        <f>1.3753*(998*'1'!$F$5+1.2*'1'!$W$23)/(998*0.0254^(1/3)*'5'!E216^(1/12))</f>
        <v>#DIV/0!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0</v>
      </c>
      <c r="F217" s="96" t="e">
        <f>1.3753*(998*'1'!$F$5+1.2*'1'!$W$23)/(998*0.0254^(1/3)*'5'!E217^(1/12))</f>
        <v>#DIV/0!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0</v>
      </c>
      <c r="F218" s="96" t="e">
        <f>1.3753*(998*'1'!$F$5+1.2*'1'!$W$23)/(998*0.0254^(1/3)*'5'!E218^(1/12))</f>
        <v>#DIV/0!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0</v>
      </c>
      <c r="F219" s="96" t="e">
        <f>1.3753*(998*'1'!$F$5+1.2*'1'!$W$23)/(998*0.0254^(1/3)*'5'!E219^(1/12))</f>
        <v>#DIV/0!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0</v>
      </c>
      <c r="F220" s="96" t="e">
        <f>1.3753*(998*'1'!$F$5+1.2*'1'!$W$23)/(998*0.0254^(1/3)*'5'!E220^(1/12))</f>
        <v>#DIV/0!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0</v>
      </c>
      <c r="F221" s="96" t="e">
        <f>1.3753*(998*'1'!$F$5+1.2*'1'!$W$23)/(998*0.0254^(1/3)*'5'!E221^(1/12))</f>
        <v>#DIV/0!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0</v>
      </c>
      <c r="F222" s="96" t="e">
        <f>1.3753*(998*'1'!$F$5+1.2*'1'!$W$23)/(998*0.0254^(1/3)*'5'!E222^(1/12))</f>
        <v>#DIV/0!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0</v>
      </c>
      <c r="F223" s="96" t="e">
        <f>1.3753*(998*'1'!$F$5+1.2*'1'!$W$23)/(998*0.0254^(1/3)*'5'!E223^(1/12))</f>
        <v>#DIV/0!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0</v>
      </c>
      <c r="F224" s="96" t="e">
        <f>1.3753*(998*'1'!$F$5+1.2*'1'!$W$23)/(998*0.0254^(1/3)*'5'!E224^(1/12))</f>
        <v>#DIV/0!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0</v>
      </c>
      <c r="F225" s="96" t="e">
        <f>1.3753*(998*'1'!$F$5+1.2*'1'!$W$23)/(998*0.0254^(1/3)*'5'!E225^(1/12))</f>
        <v>#DIV/0!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0</v>
      </c>
      <c r="F226" s="96" t="e">
        <f>1.3753*(998*'1'!$F$5+1.2*'1'!$W$23)/(998*0.0254^(1/3)*'5'!E226^(1/12))</f>
        <v>#DIV/0!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0</v>
      </c>
      <c r="F227" s="96" t="e">
        <f>1.3753*(998*'1'!$F$5+1.2*'1'!$W$23)/(998*0.0254^(1/3)*'5'!E227^(1/12))</f>
        <v>#DIV/0!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0</v>
      </c>
      <c r="F228" s="96" t="e">
        <f>1.3753*(998*'1'!$F$5+1.2*'1'!$W$23)/(998*0.0254^(1/3)*'5'!E228^(1/12))</f>
        <v>#DIV/0!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0</v>
      </c>
      <c r="F229" s="96" t="e">
        <f>1.3753*(998*'1'!$F$5+1.2*'1'!$W$23)/(998*0.0254^(1/3)*'5'!E229^(1/12))</f>
        <v>#DIV/0!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0</v>
      </c>
      <c r="F230" s="96" t="e">
        <f>1.3753*(998*'1'!$F$5+1.2*'1'!$W$23)/(998*0.0254^(1/3)*'5'!E230^(1/12))</f>
        <v>#DIV/0!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0</v>
      </c>
      <c r="F231" s="96" t="e">
        <f>1.3753*(998*'1'!$F$5+1.2*'1'!$W$23)/(998*0.0254^(1/3)*'5'!E231^(1/12))</f>
        <v>#DIV/0!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0</v>
      </c>
      <c r="F232" s="96" t="e">
        <f>1.3753*(998*'1'!$F$5+1.2*'1'!$W$23)/(998*0.0254^(1/3)*'5'!E232^(1/12))</f>
        <v>#DIV/0!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5" t="s">
        <v>55</v>
      </c>
      <c r="B233" s="236"/>
      <c r="C233" s="237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0</v>
      </c>
      <c r="F233" s="38" t="e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#DIV/0!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  <mergeCell ref="A133:C133"/>
    <mergeCell ref="A155:A156"/>
    <mergeCell ref="B155:B156"/>
    <mergeCell ref="C155:C156"/>
    <mergeCell ref="D155:D1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33:C33"/>
    <mergeCell ref="A55:A56"/>
    <mergeCell ref="B55:B56"/>
    <mergeCell ref="C55:C56"/>
    <mergeCell ref="D55:D56"/>
    <mergeCell ref="L6:P6"/>
    <mergeCell ref="A6:A7"/>
    <mergeCell ref="B6:B7"/>
    <mergeCell ref="C6:C7"/>
    <mergeCell ref="D6:D7"/>
    <mergeCell ref="E6:K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A205" sqref="A205:A216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272</v>
      </c>
    </row>
    <row r="6" spans="1:5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</row>
    <row r="7" spans="1:56" ht="18" thickBot="1" x14ac:dyDescent="0.3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>
        <v>0.9</v>
      </c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>
        <v>0.8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/>
      <c r="C11" s="96"/>
      <c r="D11" s="11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</row>
    <row r="12" spans="1:56" x14ac:dyDescent="0.25">
      <c r="A12" s="111" t="e">
        <f>IF('3'!$AC$10="", B12, NA())</f>
        <v>#N/A</v>
      </c>
      <c r="B12" s="111"/>
      <c r="C12" s="96"/>
      <c r="D12" s="11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</row>
    <row r="13" spans="1:56" x14ac:dyDescent="0.25">
      <c r="A13" s="111" t="e">
        <f>IF('3'!$AC$10="", B13, NA())</f>
        <v>#N/A</v>
      </c>
      <c r="B13" s="111"/>
      <c r="C13" s="96"/>
      <c r="D13" s="11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</row>
    <row r="14" spans="1:56" x14ac:dyDescent="0.25">
      <c r="A14" s="111" t="e">
        <f>IF('3'!$AC$10="", B14, NA())</f>
        <v>#N/A</v>
      </c>
      <c r="B14" s="111"/>
      <c r="C14" s="96"/>
      <c r="D14" s="11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</row>
    <row r="15" spans="1:56" x14ac:dyDescent="0.25">
      <c r="A15" s="111" t="e">
        <f>IF('3'!$AC$10="", B15, NA())</f>
        <v>#N/A</v>
      </c>
      <c r="B15" s="111"/>
      <c r="C15" s="96"/>
      <c r="D15" s="112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</row>
    <row r="16" spans="1:56" x14ac:dyDescent="0.25">
      <c r="A16" s="111" t="e">
        <f>IF('3'!$AC$10="", B16, NA())</f>
        <v>#N/A</v>
      </c>
      <c r="B16" s="111"/>
      <c r="C16" s="96"/>
      <c r="D16" s="11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1:56" x14ac:dyDescent="0.25">
      <c r="A17" s="111" t="e">
        <f>IF('3'!$AC$10="", B17, NA())</f>
        <v>#N/A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1:56" x14ac:dyDescent="0.25">
      <c r="A18" s="111" t="e">
        <f>IF('3'!$AC$10="", B18, NA())</f>
        <v>#N/A</v>
      </c>
      <c r="B18" s="111"/>
      <c r="C18" s="96"/>
      <c r="D18" s="1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</row>
    <row r="19" spans="1:56" ht="15.75" thickBot="1" x14ac:dyDescent="0.3">
      <c r="A19" s="111" t="e">
        <f>IF('3'!$AC$10="", B19, NA())</f>
        <v>#N/A</v>
      </c>
      <c r="B19" s="111"/>
      <c r="C19" s="96"/>
      <c r="D19" s="11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</row>
    <row r="20" spans="1:56" ht="15.75" thickBot="1" x14ac:dyDescent="0.3">
      <c r="A20" s="36" t="e">
        <f>IF('3'!$AC$10="", -B20, NA())</f>
        <v>#N/A</v>
      </c>
      <c r="B20" s="117"/>
      <c r="C20" s="118"/>
      <c r="D20" s="14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5" t="s">
        <v>55</v>
      </c>
      <c r="B33" s="236"/>
      <c r="C33" s="237"/>
      <c r="D33" s="39" t="s">
        <v>54</v>
      </c>
      <c r="E33" s="38">
        <f>2*(0.1/3*(E8*$B8+4*E10*$B10+2*E12*$B12+4*E13*$B13+2*E14*$B14+4*E15*$B15+2*E16*$B16+4*E17*$B17+4*E18*$B18+4*E19*$B19+E20*$B20))</f>
        <v>0</v>
      </c>
      <c r="F33" s="38">
        <f t="shared" ref="F33:BD33" si="0">2*(0.1/3*(F8*$B8+4*F10*$B10+2*F12*$B12+4*F13*$B13+2*F14*$B14+4*F15*$B15+2*F16*$B16+4*F17*$B17+4*F18*$B18+4*F19*$B19+F20*$B20))</f>
        <v>0</v>
      </c>
      <c r="G33" s="38">
        <f t="shared" si="0"/>
        <v>0</v>
      </c>
      <c r="H33" s="38">
        <f t="shared" si="0"/>
        <v>0</v>
      </c>
      <c r="I33" s="38">
        <f t="shared" si="0"/>
        <v>0</v>
      </c>
      <c r="J33" s="38">
        <f t="shared" si="0"/>
        <v>0</v>
      </c>
      <c r="K33" s="38">
        <f t="shared" si="0"/>
        <v>0</v>
      </c>
      <c r="L33" s="38">
        <f t="shared" si="0"/>
        <v>0</v>
      </c>
      <c r="M33" s="38">
        <f t="shared" si="0"/>
        <v>0</v>
      </c>
      <c r="N33" s="38">
        <f t="shared" si="0"/>
        <v>0</v>
      </c>
      <c r="O33" s="38">
        <f t="shared" si="0"/>
        <v>0</v>
      </c>
      <c r="P33" s="38">
        <f t="shared" si="0"/>
        <v>0</v>
      </c>
      <c r="Q33" s="38">
        <f t="shared" si="0"/>
        <v>0</v>
      </c>
      <c r="R33" s="38">
        <f t="shared" si="0"/>
        <v>0</v>
      </c>
      <c r="S33" s="38">
        <f t="shared" si="0"/>
        <v>0</v>
      </c>
      <c r="T33" s="38">
        <f t="shared" si="0"/>
        <v>0</v>
      </c>
      <c r="U33" s="38">
        <f t="shared" si="0"/>
        <v>0</v>
      </c>
      <c r="V33" s="38">
        <f t="shared" si="0"/>
        <v>0</v>
      </c>
      <c r="W33" s="38">
        <f t="shared" si="0"/>
        <v>0</v>
      </c>
      <c r="X33" s="38">
        <f t="shared" si="0"/>
        <v>0</v>
      </c>
      <c r="Y33" s="38">
        <f t="shared" si="0"/>
        <v>0</v>
      </c>
      <c r="Z33" s="38">
        <f t="shared" si="0"/>
        <v>0</v>
      </c>
      <c r="AA33" s="38">
        <f t="shared" si="0"/>
        <v>0</v>
      </c>
      <c r="AB33" s="38">
        <f t="shared" si="0"/>
        <v>0</v>
      </c>
      <c r="AC33" s="38">
        <f t="shared" si="0"/>
        <v>2.346666666666667E-2</v>
      </c>
      <c r="AD33" s="38">
        <f t="shared" si="0"/>
        <v>0</v>
      </c>
      <c r="AE33" s="38">
        <f t="shared" si="0"/>
        <v>0</v>
      </c>
      <c r="AF33" s="38">
        <f t="shared" si="0"/>
        <v>0</v>
      </c>
      <c r="AG33" s="38">
        <f t="shared" si="0"/>
        <v>0</v>
      </c>
      <c r="AH33" s="38">
        <f t="shared" si="0"/>
        <v>0</v>
      </c>
      <c r="AI33" s="38">
        <f t="shared" si="0"/>
        <v>0</v>
      </c>
      <c r="AJ33" s="38">
        <f t="shared" si="0"/>
        <v>0</v>
      </c>
      <c r="AK33" s="38">
        <f t="shared" si="0"/>
        <v>0</v>
      </c>
      <c r="AL33" s="38">
        <f t="shared" si="0"/>
        <v>0</v>
      </c>
      <c r="AM33" s="38">
        <f t="shared" si="0"/>
        <v>0</v>
      </c>
      <c r="AN33" s="38">
        <f t="shared" si="0"/>
        <v>0</v>
      </c>
      <c r="AO33" s="38">
        <f t="shared" si="0"/>
        <v>0</v>
      </c>
      <c r="AP33" s="38">
        <f t="shared" si="0"/>
        <v>0</v>
      </c>
      <c r="AQ33" s="38">
        <f t="shared" si="0"/>
        <v>0</v>
      </c>
      <c r="AR33" s="38">
        <f t="shared" si="0"/>
        <v>0</v>
      </c>
      <c r="AS33" s="38">
        <f t="shared" si="0"/>
        <v>0</v>
      </c>
      <c r="AT33" s="38">
        <f t="shared" si="0"/>
        <v>0</v>
      </c>
      <c r="AU33" s="38">
        <f t="shared" si="0"/>
        <v>0</v>
      </c>
      <c r="AV33" s="38">
        <f t="shared" si="0"/>
        <v>0</v>
      </c>
      <c r="AW33" s="38">
        <f t="shared" si="0"/>
        <v>0</v>
      </c>
      <c r="AX33" s="38">
        <f t="shared" si="0"/>
        <v>0</v>
      </c>
      <c r="AY33" s="38">
        <f t="shared" si="0"/>
        <v>0</v>
      </c>
      <c r="AZ33" s="38">
        <f t="shared" si="0"/>
        <v>0</v>
      </c>
      <c r="BA33" s="38">
        <f t="shared" si="0"/>
        <v>0</v>
      </c>
      <c r="BB33" s="38">
        <f t="shared" si="0"/>
        <v>0</v>
      </c>
      <c r="BC33" s="38">
        <f t="shared" si="0"/>
        <v>0</v>
      </c>
      <c r="BD33" s="38">
        <f t="shared" si="0"/>
        <v>0</v>
      </c>
    </row>
    <row r="50" spans="1:56" ht="15.75" thickBot="1" x14ac:dyDescent="0.3">
      <c r="A50" s="17" t="s">
        <v>271</v>
      </c>
      <c r="B50" t="s">
        <v>273</v>
      </c>
    </row>
    <row r="51" spans="1:56" ht="15.75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</row>
    <row r="52" spans="1:56" ht="18" thickBot="1" x14ac:dyDescent="0.3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5" t="s">
        <v>55</v>
      </c>
      <c r="B78" s="236"/>
      <c r="C78" s="237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274</v>
      </c>
    </row>
    <row r="98" spans="1:56" ht="15.75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</row>
    <row r="99" spans="1:56" ht="18" thickBot="1" x14ac:dyDescent="0.3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5" t="s">
        <v>55</v>
      </c>
      <c r="B125" s="236"/>
      <c r="C125" s="237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275</v>
      </c>
    </row>
    <row r="143" spans="1:56" ht="15.75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</row>
    <row r="144" spans="1:56" ht="18" thickBot="1" x14ac:dyDescent="0.3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5" t="s">
        <v>55</v>
      </c>
      <c r="B170" s="236"/>
      <c r="C170" s="237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276</v>
      </c>
    </row>
    <row r="190" spans="1:56" ht="15.75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</row>
    <row r="191" spans="1:56" ht="18" thickBot="1" x14ac:dyDescent="0.3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5" t="s">
        <v>55</v>
      </c>
      <c r="B217" s="236"/>
      <c r="C217" s="237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Y190:BD190"/>
    <mergeCell ref="A217:C217"/>
    <mergeCell ref="Q190:V190"/>
    <mergeCell ref="W190:AC190"/>
    <mergeCell ref="AD190:AJ190"/>
    <mergeCell ref="AK190:AN190"/>
    <mergeCell ref="AO190:AS190"/>
    <mergeCell ref="AT190:AV190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125:C125"/>
    <mergeCell ref="A143:A144"/>
    <mergeCell ref="B143:B144"/>
    <mergeCell ref="C143:C144"/>
    <mergeCell ref="D143:D144"/>
    <mergeCell ref="E143:K143"/>
    <mergeCell ref="AD98:AJ98"/>
    <mergeCell ref="AK98:AN98"/>
    <mergeCell ref="AO98:AS98"/>
    <mergeCell ref="AT98:AV98"/>
    <mergeCell ref="AT143:AV143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O6:AS6"/>
    <mergeCell ref="AT6:AV6"/>
    <mergeCell ref="A6:A7"/>
    <mergeCell ref="B6:B7"/>
    <mergeCell ref="C6:C7"/>
    <mergeCell ref="D6:D7"/>
    <mergeCell ref="E6:K6"/>
    <mergeCell ref="L6:P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Adam John Dix</cp:lastModifiedBy>
  <cp:lastPrinted>2016-12-16T21:36:22Z</cp:lastPrinted>
  <dcterms:created xsi:type="dcterms:W3CDTF">2012-11-16T20:36:03Z</dcterms:created>
  <dcterms:modified xsi:type="dcterms:W3CDTF">2024-08-19T18:22:29Z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