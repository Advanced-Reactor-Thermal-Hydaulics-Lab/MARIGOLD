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Kim\Documents\PITA\vertical_vr\low_jf\"/>
    </mc:Choice>
  </mc:AlternateContent>
  <xr:revisionPtr revIDLastSave="0" documentId="13_ncr:1_{897783BC-27BA-4E1E-86D9-EE715ABAA89A}" xr6:coauthVersionLast="45" xr6:coauthVersionMax="45" xr10:uidLastSave="{00000000-0000-0000-0000-000000000000}"/>
  <bookViews>
    <workbookView xWindow="-30" yWindow="75" windowWidth="25245" windowHeight="9030" tabRatio="768" activeTab="1" xr2:uid="{00000000-000D-0000-FFFF-FFFF00000000}"/>
  </bookViews>
  <sheets>
    <sheet name="1" sheetId="72" r:id="rId1"/>
    <sheet name="2" sheetId="76" r:id="rId2"/>
    <sheet name="3" sheetId="73" r:id="rId3"/>
    <sheet name="4" sheetId="74" r:id="rId4"/>
    <sheet name="5" sheetId="77" r:id="rId5"/>
    <sheet name="6" sheetId="7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" i="72" l="1"/>
  <c r="CL110" i="76" l="1"/>
  <c r="GE73" i="76" l="1"/>
  <c r="GB73" i="76"/>
  <c r="GE72" i="76"/>
  <c r="GB72" i="76"/>
  <c r="GE71" i="76"/>
  <c r="GB71" i="76"/>
  <c r="GE70" i="76"/>
  <c r="GB70" i="76"/>
  <c r="GE69" i="76"/>
  <c r="GB69" i="76"/>
  <c r="GE68" i="76"/>
  <c r="GB68" i="76"/>
  <c r="GE67" i="76"/>
  <c r="GB67" i="76"/>
  <c r="GE66" i="76"/>
  <c r="GB66" i="76"/>
  <c r="GE65" i="76"/>
  <c r="GB65" i="76"/>
  <c r="GE64" i="76"/>
  <c r="GB64" i="76"/>
  <c r="GE63" i="76"/>
  <c r="GB63" i="76"/>
  <c r="GE62" i="76"/>
  <c r="GB62" i="76"/>
  <c r="GE61" i="76"/>
  <c r="GB61" i="76"/>
  <c r="GE60" i="76"/>
  <c r="GB60" i="76"/>
  <c r="GE59" i="76"/>
  <c r="GB59" i="76"/>
  <c r="GE58" i="76"/>
  <c r="GB58" i="76"/>
  <c r="GE57" i="76"/>
  <c r="GB57" i="76"/>
  <c r="GE56" i="76"/>
  <c r="GB56" i="76"/>
  <c r="GE55" i="76"/>
  <c r="GB55" i="76"/>
  <c r="GE54" i="76"/>
  <c r="GB54" i="76"/>
  <c r="GE53" i="76"/>
  <c r="GE74" i="76" s="1"/>
  <c r="AS241" i="76" s="1"/>
  <c r="GB53" i="76"/>
  <c r="GB74" i="76" s="1"/>
  <c r="GE120" i="76"/>
  <c r="GB120" i="76"/>
  <c r="GE119" i="76"/>
  <c r="GB119" i="76"/>
  <c r="GE118" i="76"/>
  <c r="GB118" i="76"/>
  <c r="GE117" i="76"/>
  <c r="GB117" i="76"/>
  <c r="GE116" i="76"/>
  <c r="GB116" i="76"/>
  <c r="GE115" i="76"/>
  <c r="GB115" i="76"/>
  <c r="GE114" i="76"/>
  <c r="GB114" i="76"/>
  <c r="GE113" i="76"/>
  <c r="GB113" i="76"/>
  <c r="GE112" i="76"/>
  <c r="GB112" i="76"/>
  <c r="GE111" i="76"/>
  <c r="GB111" i="76"/>
  <c r="GE110" i="76"/>
  <c r="GB110" i="76"/>
  <c r="GE109" i="76"/>
  <c r="GB109" i="76"/>
  <c r="GE108" i="76"/>
  <c r="GB108" i="76"/>
  <c r="GE107" i="76"/>
  <c r="GB107" i="76"/>
  <c r="GE106" i="76"/>
  <c r="GB106" i="76"/>
  <c r="GE105" i="76"/>
  <c r="GB105" i="76"/>
  <c r="GE104" i="76"/>
  <c r="GB104" i="76"/>
  <c r="GE103" i="76"/>
  <c r="GB103" i="76"/>
  <c r="GE102" i="76"/>
  <c r="GB102" i="76"/>
  <c r="GE101" i="76"/>
  <c r="GB101" i="76"/>
  <c r="GE100" i="76"/>
  <c r="GE121" i="76" s="1"/>
  <c r="AS242" i="76" s="1"/>
  <c r="GB100" i="76"/>
  <c r="GB121" i="76" s="1"/>
  <c r="GE165" i="76"/>
  <c r="GB165" i="76"/>
  <c r="GE164" i="76"/>
  <c r="GB164" i="76"/>
  <c r="GE163" i="76"/>
  <c r="GB163" i="76"/>
  <c r="GE162" i="76"/>
  <c r="GB162" i="76"/>
  <c r="GE161" i="76"/>
  <c r="GB161" i="76"/>
  <c r="GE160" i="76"/>
  <c r="GB160" i="76"/>
  <c r="GE159" i="76"/>
  <c r="GB159" i="76"/>
  <c r="GE158" i="76"/>
  <c r="GB158" i="76"/>
  <c r="GE157" i="76"/>
  <c r="GB157" i="76"/>
  <c r="GE156" i="76"/>
  <c r="GB156" i="76"/>
  <c r="GE155" i="76"/>
  <c r="GB155" i="76"/>
  <c r="GE154" i="76"/>
  <c r="GB154" i="76"/>
  <c r="GE153" i="76"/>
  <c r="GB153" i="76"/>
  <c r="GE152" i="76"/>
  <c r="GB152" i="76"/>
  <c r="GE151" i="76"/>
  <c r="GB151" i="76"/>
  <c r="GE150" i="76"/>
  <c r="GB150" i="76"/>
  <c r="GE149" i="76"/>
  <c r="GB149" i="76"/>
  <c r="GE148" i="76"/>
  <c r="GB148" i="76"/>
  <c r="GE147" i="76"/>
  <c r="GB147" i="76"/>
  <c r="GE146" i="76"/>
  <c r="GB146" i="76"/>
  <c r="GE145" i="76"/>
  <c r="GE166" i="76" s="1"/>
  <c r="AS243" i="76" s="1"/>
  <c r="GB145" i="76"/>
  <c r="GB166" i="76" s="1"/>
  <c r="CO212" i="76"/>
  <c r="CL212" i="76"/>
  <c r="CO211" i="76"/>
  <c r="CL211" i="76"/>
  <c r="CO210" i="76"/>
  <c r="CL210" i="76"/>
  <c r="CO209" i="76"/>
  <c r="CL209" i="76"/>
  <c r="CO208" i="76"/>
  <c r="CL208" i="76"/>
  <c r="CO207" i="76"/>
  <c r="CL207" i="76"/>
  <c r="CO206" i="76"/>
  <c r="CL206" i="76"/>
  <c r="CO205" i="76"/>
  <c r="CL205" i="76"/>
  <c r="CO204" i="76"/>
  <c r="CL204" i="76"/>
  <c r="CO203" i="76"/>
  <c r="CL203" i="76"/>
  <c r="CO202" i="76"/>
  <c r="CL202" i="76"/>
  <c r="CO201" i="76"/>
  <c r="CL201" i="76"/>
  <c r="CO200" i="76"/>
  <c r="CL200" i="76"/>
  <c r="CO199" i="76"/>
  <c r="CL199" i="76"/>
  <c r="CO198" i="76"/>
  <c r="CL198" i="76"/>
  <c r="CO197" i="76"/>
  <c r="CL197" i="76"/>
  <c r="CO196" i="76"/>
  <c r="CL196" i="76"/>
  <c r="CO195" i="76"/>
  <c r="CL195" i="76"/>
  <c r="CO194" i="76"/>
  <c r="CL194" i="76"/>
  <c r="CO193" i="76"/>
  <c r="CL193" i="76"/>
  <c r="CO192" i="76"/>
  <c r="CO213" i="76" s="1"/>
  <c r="AS236" i="76" s="1"/>
  <c r="CL192" i="76"/>
  <c r="CL213" i="76" s="1"/>
  <c r="CO165" i="76"/>
  <c r="CL165" i="76"/>
  <c r="CO164" i="76"/>
  <c r="CL164" i="76"/>
  <c r="CO163" i="76"/>
  <c r="CL163" i="76"/>
  <c r="CO162" i="76"/>
  <c r="CL162" i="76"/>
  <c r="CO161" i="76"/>
  <c r="CL161" i="76"/>
  <c r="CO160" i="76"/>
  <c r="CL160" i="76"/>
  <c r="CO159" i="76"/>
  <c r="CL159" i="76"/>
  <c r="CO158" i="76"/>
  <c r="CL158" i="76"/>
  <c r="CO157" i="76"/>
  <c r="CL157" i="76"/>
  <c r="CO156" i="76"/>
  <c r="CL156" i="76"/>
  <c r="CO155" i="76"/>
  <c r="CL155" i="76"/>
  <c r="CO154" i="76"/>
  <c r="CL154" i="76"/>
  <c r="CO153" i="76"/>
  <c r="CL153" i="76"/>
  <c r="CO152" i="76"/>
  <c r="CL152" i="76"/>
  <c r="CO151" i="76"/>
  <c r="CL151" i="76"/>
  <c r="CO150" i="76"/>
  <c r="CL150" i="76"/>
  <c r="CO149" i="76"/>
  <c r="CL149" i="76"/>
  <c r="CO148" i="76"/>
  <c r="CL148" i="76"/>
  <c r="CO147" i="76"/>
  <c r="CL147" i="76"/>
  <c r="CO146" i="76"/>
  <c r="CL146" i="76"/>
  <c r="CO145" i="76"/>
  <c r="CO166" i="76" s="1"/>
  <c r="AS237" i="76" s="1"/>
  <c r="CL145" i="76"/>
  <c r="CL166" i="76" s="1"/>
  <c r="CO120" i="76"/>
  <c r="CL120" i="76"/>
  <c r="CO119" i="76"/>
  <c r="CL119" i="76"/>
  <c r="CO118" i="76"/>
  <c r="CL118" i="76"/>
  <c r="CO117" i="76"/>
  <c r="CL117" i="76"/>
  <c r="CO116" i="76"/>
  <c r="CL116" i="76"/>
  <c r="CO115" i="76"/>
  <c r="CL115" i="76"/>
  <c r="CO114" i="76"/>
  <c r="CL114" i="76"/>
  <c r="CO113" i="76"/>
  <c r="CL113" i="76"/>
  <c r="CO112" i="76"/>
  <c r="CL112" i="76"/>
  <c r="CO111" i="76"/>
  <c r="CL111" i="76"/>
  <c r="CO110" i="76"/>
  <c r="CO109" i="76"/>
  <c r="CL109" i="76"/>
  <c r="CO108" i="76"/>
  <c r="CL108" i="76"/>
  <c r="CO107" i="76"/>
  <c r="CL107" i="76"/>
  <c r="CO106" i="76"/>
  <c r="CL106" i="76"/>
  <c r="CO105" i="76"/>
  <c r="CL105" i="76"/>
  <c r="CO104" i="76"/>
  <c r="CL104" i="76"/>
  <c r="CO103" i="76"/>
  <c r="CL103" i="76"/>
  <c r="CO102" i="76"/>
  <c r="CL102" i="76"/>
  <c r="CO101" i="76"/>
  <c r="CL101" i="76"/>
  <c r="CO100" i="76"/>
  <c r="CL100" i="76"/>
  <c r="CL121" i="76" s="1"/>
  <c r="CO73" i="76"/>
  <c r="CL73" i="76"/>
  <c r="CO72" i="76"/>
  <c r="CL72" i="76"/>
  <c r="CO71" i="76"/>
  <c r="CL71" i="76"/>
  <c r="CO70" i="76"/>
  <c r="CL70" i="76"/>
  <c r="CO69" i="76"/>
  <c r="CL69" i="76"/>
  <c r="CO68" i="76"/>
  <c r="CL68" i="76"/>
  <c r="CO67" i="76"/>
  <c r="CL67" i="76"/>
  <c r="CO66" i="76"/>
  <c r="CL66" i="76"/>
  <c r="CO65" i="76"/>
  <c r="CL65" i="76"/>
  <c r="CO64" i="76"/>
  <c r="CL64" i="76"/>
  <c r="CO63" i="76"/>
  <c r="CL63" i="76"/>
  <c r="CO62" i="76"/>
  <c r="CL62" i="76"/>
  <c r="CO61" i="76"/>
  <c r="CL61" i="76"/>
  <c r="CO60" i="76"/>
  <c r="CL60" i="76"/>
  <c r="CO59" i="76"/>
  <c r="CL59" i="76"/>
  <c r="CO58" i="76"/>
  <c r="CL58" i="76"/>
  <c r="CO57" i="76"/>
  <c r="CL57" i="76"/>
  <c r="CO56" i="76"/>
  <c r="CL56" i="76"/>
  <c r="CO55" i="76"/>
  <c r="CL55" i="76"/>
  <c r="CO54" i="76"/>
  <c r="CL54" i="76"/>
  <c r="CO53" i="76"/>
  <c r="CO74" i="76" s="1"/>
  <c r="CL53" i="76"/>
  <c r="CL74" i="76" s="1"/>
  <c r="CO19" i="76"/>
  <c r="CO20" i="76"/>
  <c r="CO21" i="76"/>
  <c r="CO22" i="76"/>
  <c r="CO23" i="76"/>
  <c r="CO24" i="76"/>
  <c r="CO25" i="76"/>
  <c r="CO26" i="76"/>
  <c r="CO27" i="76"/>
  <c r="CO28" i="76"/>
  <c r="CO8" i="76"/>
  <c r="CO121" i="76" l="1"/>
  <c r="AS238" i="76" s="1"/>
  <c r="AS239" i="76"/>
  <c r="CL20" i="76"/>
  <c r="CL21" i="76"/>
  <c r="CL22" i="76"/>
  <c r="CL23" i="76"/>
  <c r="CL24" i="76"/>
  <c r="CL25" i="76"/>
  <c r="CL26" i="76"/>
  <c r="CL27" i="76"/>
  <c r="CL28" i="76"/>
  <c r="CL18" i="76"/>
  <c r="CL19" i="76"/>
  <c r="FV73" i="76" l="1"/>
  <c r="FV72" i="76"/>
  <c r="FV71" i="76"/>
  <c r="FV70" i="76"/>
  <c r="FV69" i="76"/>
  <c r="FV68" i="76"/>
  <c r="FV67" i="76"/>
  <c r="FV66" i="76"/>
  <c r="FV65" i="76"/>
  <c r="FV64" i="76"/>
  <c r="FV63" i="76"/>
  <c r="FV62" i="76"/>
  <c r="FV61" i="76"/>
  <c r="FV60" i="76"/>
  <c r="FV59" i="76"/>
  <c r="FV58" i="76"/>
  <c r="FV57" i="76"/>
  <c r="FV56" i="76"/>
  <c r="FV55" i="76"/>
  <c r="FV54" i="76"/>
  <c r="FV53" i="76"/>
  <c r="FV120" i="76"/>
  <c r="FV119" i="76"/>
  <c r="FV118" i="76"/>
  <c r="FV117" i="76"/>
  <c r="FV116" i="76"/>
  <c r="FV115" i="76"/>
  <c r="FV114" i="76"/>
  <c r="FV113" i="76"/>
  <c r="FV112" i="76"/>
  <c r="FV111" i="76"/>
  <c r="FV110" i="76"/>
  <c r="FV109" i="76"/>
  <c r="FV108" i="76"/>
  <c r="FV107" i="76"/>
  <c r="FV106" i="76"/>
  <c r="FV105" i="76"/>
  <c r="FV104" i="76"/>
  <c r="FV103" i="76"/>
  <c r="FV102" i="76"/>
  <c r="FV101" i="76"/>
  <c r="FV100" i="76"/>
  <c r="FV165" i="76"/>
  <c r="FV164" i="76"/>
  <c r="FV163" i="76"/>
  <c r="FV162" i="76"/>
  <c r="FV161" i="76"/>
  <c r="FV160" i="76"/>
  <c r="FV159" i="76"/>
  <c r="FV158" i="76"/>
  <c r="FV157" i="76"/>
  <c r="FV156" i="76"/>
  <c r="FV155" i="76"/>
  <c r="FV154" i="76"/>
  <c r="FV153" i="76"/>
  <c r="FV152" i="76"/>
  <c r="FV151" i="76"/>
  <c r="FV150" i="76"/>
  <c r="FV149" i="76"/>
  <c r="FV148" i="76"/>
  <c r="FV147" i="76"/>
  <c r="FV146" i="76"/>
  <c r="FV145" i="76"/>
  <c r="CF212" i="76"/>
  <c r="CF211" i="76"/>
  <c r="CF210" i="76"/>
  <c r="CF209" i="76"/>
  <c r="CF208" i="76"/>
  <c r="CF207" i="76"/>
  <c r="CF206" i="76"/>
  <c r="CF205" i="76"/>
  <c r="CF204" i="76"/>
  <c r="CF203" i="76"/>
  <c r="CF202" i="76"/>
  <c r="CF201" i="76"/>
  <c r="CF200" i="76"/>
  <c r="CF199" i="76"/>
  <c r="CF198" i="76"/>
  <c r="CF197" i="76"/>
  <c r="CF196" i="76"/>
  <c r="CF195" i="76"/>
  <c r="CF194" i="76"/>
  <c r="CF193" i="76"/>
  <c r="CF192" i="76"/>
  <c r="CF165" i="76"/>
  <c r="CF164" i="76"/>
  <c r="CF163" i="76"/>
  <c r="CF162" i="76"/>
  <c r="CF161" i="76"/>
  <c r="CF160" i="76"/>
  <c r="CF159" i="76"/>
  <c r="CF158" i="76"/>
  <c r="CF157" i="76"/>
  <c r="CF156" i="76"/>
  <c r="CF155" i="76"/>
  <c r="CF154" i="76"/>
  <c r="CF153" i="76"/>
  <c r="CF152" i="76"/>
  <c r="CF151" i="76"/>
  <c r="CF150" i="76"/>
  <c r="CF149" i="76"/>
  <c r="CF148" i="76"/>
  <c r="CF147" i="76"/>
  <c r="CF146" i="76"/>
  <c r="CF145" i="76"/>
  <c r="CF120" i="76"/>
  <c r="CF119" i="76"/>
  <c r="CF118" i="76"/>
  <c r="CF117" i="76"/>
  <c r="CF116" i="76"/>
  <c r="CF115" i="76"/>
  <c r="CF114" i="76"/>
  <c r="CF113" i="76"/>
  <c r="CF112" i="76"/>
  <c r="CF111" i="76"/>
  <c r="CF110" i="76"/>
  <c r="CF109" i="76"/>
  <c r="CF108" i="76"/>
  <c r="CF107" i="76"/>
  <c r="CF106" i="76"/>
  <c r="CF105" i="76"/>
  <c r="CF104" i="76"/>
  <c r="CF103" i="76"/>
  <c r="CF102" i="76"/>
  <c r="CF101" i="76"/>
  <c r="CF100" i="76"/>
  <c r="CF73" i="76"/>
  <c r="CF72" i="76"/>
  <c r="CF71" i="76"/>
  <c r="CF70" i="76"/>
  <c r="CF69" i="76"/>
  <c r="CF68" i="76"/>
  <c r="CF67" i="76"/>
  <c r="CF66" i="76"/>
  <c r="CF65" i="76"/>
  <c r="CF64" i="76"/>
  <c r="CF63" i="76"/>
  <c r="CF62" i="76"/>
  <c r="CF61" i="76"/>
  <c r="CF60" i="76"/>
  <c r="CF59" i="76"/>
  <c r="CF58" i="76"/>
  <c r="CF57" i="76"/>
  <c r="CF56" i="76"/>
  <c r="CF55" i="76"/>
  <c r="CF54" i="76"/>
  <c r="CF53" i="76"/>
  <c r="CF20" i="76"/>
  <c r="CF21" i="76"/>
  <c r="CF22" i="76"/>
  <c r="CF23" i="76"/>
  <c r="CF24" i="76"/>
  <c r="CF25" i="76"/>
  <c r="CF26" i="76"/>
  <c r="CF27" i="76"/>
  <c r="CF28" i="76"/>
  <c r="CF19" i="76"/>
  <c r="CF18" i="76"/>
  <c r="CF9" i="76"/>
  <c r="CF10" i="76"/>
  <c r="CF11" i="76"/>
  <c r="CF12" i="76"/>
  <c r="CF13" i="76"/>
  <c r="CF14" i="76"/>
  <c r="CF15" i="76"/>
  <c r="CF16" i="76"/>
  <c r="CF17" i="76"/>
  <c r="CF8" i="76"/>
  <c r="CL9" i="76" l="1"/>
  <c r="CL10" i="76"/>
  <c r="CL11" i="76"/>
  <c r="CL12" i="76"/>
  <c r="CL13" i="76"/>
  <c r="CL14" i="76"/>
  <c r="CL15" i="76"/>
  <c r="CL16" i="76"/>
  <c r="CL17" i="76"/>
  <c r="CL8" i="76"/>
  <c r="CL29" i="76" l="1"/>
  <c r="CQ65" i="76"/>
  <c r="GC65" i="76" s="1"/>
  <c r="GD65" i="76" s="1"/>
  <c r="CQ66" i="76"/>
  <c r="GC66" i="76" s="1"/>
  <c r="GD66" i="76" s="1"/>
  <c r="CQ67" i="76"/>
  <c r="GC67" i="76" s="1"/>
  <c r="GD67" i="76" s="1"/>
  <c r="CQ68" i="76"/>
  <c r="GC68" i="76" s="1"/>
  <c r="GD68" i="76" s="1"/>
  <c r="CQ69" i="76"/>
  <c r="GC69" i="76" s="1"/>
  <c r="GD69" i="76" s="1"/>
  <c r="CQ70" i="76"/>
  <c r="GC70" i="76" s="1"/>
  <c r="GD70" i="76" s="1"/>
  <c r="CQ71" i="76"/>
  <c r="GC71" i="76" s="1"/>
  <c r="GD71" i="76" s="1"/>
  <c r="CQ72" i="76"/>
  <c r="GC72" i="76" s="1"/>
  <c r="GD72" i="76" s="1"/>
  <c r="CQ73" i="76"/>
  <c r="GC73" i="76" s="1"/>
  <c r="GD73" i="76" s="1"/>
  <c r="CQ64" i="76"/>
  <c r="GC64" i="76" s="1"/>
  <c r="GD64" i="76" s="1"/>
  <c r="CQ54" i="76"/>
  <c r="GC54" i="76" s="1"/>
  <c r="GD54" i="76" s="1"/>
  <c r="CQ55" i="76"/>
  <c r="GC55" i="76" s="1"/>
  <c r="GD55" i="76" s="1"/>
  <c r="CQ56" i="76"/>
  <c r="GC56" i="76" s="1"/>
  <c r="GD56" i="76" s="1"/>
  <c r="CQ57" i="76"/>
  <c r="GC57" i="76" s="1"/>
  <c r="GD57" i="76" s="1"/>
  <c r="CQ58" i="76"/>
  <c r="GC58" i="76" s="1"/>
  <c r="GD58" i="76" s="1"/>
  <c r="CQ59" i="76"/>
  <c r="GC59" i="76" s="1"/>
  <c r="GD59" i="76" s="1"/>
  <c r="CQ60" i="76"/>
  <c r="GC60" i="76" s="1"/>
  <c r="GD60" i="76" s="1"/>
  <c r="CQ61" i="76"/>
  <c r="GC61" i="76" s="1"/>
  <c r="GD61" i="76" s="1"/>
  <c r="CQ62" i="76"/>
  <c r="GC62" i="76" s="1"/>
  <c r="GD62" i="76" s="1"/>
  <c r="CQ63" i="76"/>
  <c r="GC63" i="76" s="1"/>
  <c r="GD63" i="76" s="1"/>
  <c r="CQ53" i="76"/>
  <c r="GC53" i="76" s="1"/>
  <c r="CQ112" i="76"/>
  <c r="GC112" i="76" s="1"/>
  <c r="GD112" i="76" s="1"/>
  <c r="CQ113" i="76"/>
  <c r="GC113" i="76" s="1"/>
  <c r="GD113" i="76" s="1"/>
  <c r="CQ114" i="76"/>
  <c r="GC114" i="76" s="1"/>
  <c r="GD114" i="76" s="1"/>
  <c r="CQ115" i="76"/>
  <c r="GC115" i="76" s="1"/>
  <c r="GD115" i="76" s="1"/>
  <c r="CQ116" i="76"/>
  <c r="GC116" i="76" s="1"/>
  <c r="GD116" i="76" s="1"/>
  <c r="CQ117" i="76"/>
  <c r="GC117" i="76" s="1"/>
  <c r="GD117" i="76" s="1"/>
  <c r="CQ118" i="76"/>
  <c r="GC118" i="76" s="1"/>
  <c r="GD118" i="76" s="1"/>
  <c r="CQ119" i="76"/>
  <c r="GC119" i="76" s="1"/>
  <c r="GD119" i="76" s="1"/>
  <c r="CQ120" i="76"/>
  <c r="GC120" i="76" s="1"/>
  <c r="GD120" i="76" s="1"/>
  <c r="CQ111" i="76"/>
  <c r="GC111" i="76" s="1"/>
  <c r="GD111" i="76" s="1"/>
  <c r="CQ101" i="76"/>
  <c r="GC101" i="76" s="1"/>
  <c r="GD101" i="76" s="1"/>
  <c r="CQ102" i="76"/>
  <c r="GC102" i="76" s="1"/>
  <c r="GD102" i="76" s="1"/>
  <c r="CQ103" i="76"/>
  <c r="GC103" i="76" s="1"/>
  <c r="GD103" i="76" s="1"/>
  <c r="CQ104" i="76"/>
  <c r="GC104" i="76" s="1"/>
  <c r="GD104" i="76" s="1"/>
  <c r="CQ105" i="76"/>
  <c r="GC105" i="76" s="1"/>
  <c r="GD105" i="76" s="1"/>
  <c r="CQ106" i="76"/>
  <c r="GC106" i="76" s="1"/>
  <c r="GD106" i="76" s="1"/>
  <c r="CQ107" i="76"/>
  <c r="GC107" i="76" s="1"/>
  <c r="GD107" i="76" s="1"/>
  <c r="CQ108" i="76"/>
  <c r="GC108" i="76" s="1"/>
  <c r="GD108" i="76" s="1"/>
  <c r="CQ109" i="76"/>
  <c r="GC109" i="76" s="1"/>
  <c r="GD109" i="76" s="1"/>
  <c r="CQ110" i="76"/>
  <c r="GC110" i="76" s="1"/>
  <c r="GD110" i="76" s="1"/>
  <c r="CQ100" i="76"/>
  <c r="GC100" i="76" s="1"/>
  <c r="CQ157" i="76"/>
  <c r="GC157" i="76" s="1"/>
  <c r="GD157" i="76" s="1"/>
  <c r="CQ158" i="76"/>
  <c r="GC158" i="76" s="1"/>
  <c r="GD158" i="76" s="1"/>
  <c r="CQ159" i="76"/>
  <c r="GC159" i="76" s="1"/>
  <c r="GD159" i="76" s="1"/>
  <c r="CQ160" i="76"/>
  <c r="GC160" i="76" s="1"/>
  <c r="GD160" i="76" s="1"/>
  <c r="CQ161" i="76"/>
  <c r="GC161" i="76" s="1"/>
  <c r="GD161" i="76" s="1"/>
  <c r="CQ162" i="76"/>
  <c r="GC162" i="76" s="1"/>
  <c r="GD162" i="76" s="1"/>
  <c r="CQ163" i="76"/>
  <c r="GC163" i="76" s="1"/>
  <c r="GD163" i="76" s="1"/>
  <c r="CQ164" i="76"/>
  <c r="GC164" i="76" s="1"/>
  <c r="GD164" i="76" s="1"/>
  <c r="CQ165" i="76"/>
  <c r="GC165" i="76" s="1"/>
  <c r="GD165" i="76" s="1"/>
  <c r="CQ156" i="76"/>
  <c r="GC156" i="76" s="1"/>
  <c r="GD156" i="76" s="1"/>
  <c r="CQ146" i="76"/>
  <c r="GC146" i="76" s="1"/>
  <c r="GD146" i="76" s="1"/>
  <c r="CQ147" i="76"/>
  <c r="GC147" i="76" s="1"/>
  <c r="GD147" i="76" s="1"/>
  <c r="CQ148" i="76"/>
  <c r="GC148" i="76" s="1"/>
  <c r="GD148" i="76" s="1"/>
  <c r="CQ149" i="76"/>
  <c r="GC149" i="76" s="1"/>
  <c r="GD149" i="76" s="1"/>
  <c r="CQ150" i="76"/>
  <c r="GC150" i="76" s="1"/>
  <c r="GD150" i="76" s="1"/>
  <c r="CQ151" i="76"/>
  <c r="GC151" i="76" s="1"/>
  <c r="GD151" i="76" s="1"/>
  <c r="CQ152" i="76"/>
  <c r="GC152" i="76" s="1"/>
  <c r="GD152" i="76" s="1"/>
  <c r="CQ153" i="76"/>
  <c r="GC153" i="76" s="1"/>
  <c r="GD153" i="76" s="1"/>
  <c r="CQ154" i="76"/>
  <c r="GC154" i="76" s="1"/>
  <c r="GD154" i="76" s="1"/>
  <c r="CQ155" i="76"/>
  <c r="GC155" i="76" s="1"/>
  <c r="GD155" i="76" s="1"/>
  <c r="CQ145" i="76"/>
  <c r="GC145" i="76" s="1"/>
  <c r="A204" i="76"/>
  <c r="CM204" i="76" s="1"/>
  <c r="CN204" i="76" s="1"/>
  <c r="A205" i="76"/>
  <c r="CM205" i="76" s="1"/>
  <c r="CN205" i="76" s="1"/>
  <c r="A206" i="76"/>
  <c r="CM206" i="76" s="1"/>
  <c r="CN206" i="76" s="1"/>
  <c r="A207" i="76"/>
  <c r="CM207" i="76" s="1"/>
  <c r="CN207" i="76" s="1"/>
  <c r="A208" i="76"/>
  <c r="CM208" i="76" s="1"/>
  <c r="CN208" i="76" s="1"/>
  <c r="A209" i="76"/>
  <c r="CM209" i="76" s="1"/>
  <c r="CN209" i="76" s="1"/>
  <c r="A210" i="76"/>
  <c r="CM210" i="76" s="1"/>
  <c r="CN210" i="76" s="1"/>
  <c r="A211" i="76"/>
  <c r="CM211" i="76" s="1"/>
  <c r="CN211" i="76" s="1"/>
  <c r="A212" i="76"/>
  <c r="CM212" i="76" s="1"/>
  <c r="CN212" i="76" s="1"/>
  <c r="A203" i="76"/>
  <c r="CM203" i="76" s="1"/>
  <c r="CN203" i="76" s="1"/>
  <c r="A193" i="76"/>
  <c r="CM193" i="76" s="1"/>
  <c r="CN193" i="76" s="1"/>
  <c r="A194" i="76"/>
  <c r="CM194" i="76" s="1"/>
  <c r="CN194" i="76" s="1"/>
  <c r="A195" i="76"/>
  <c r="CM195" i="76" s="1"/>
  <c r="CN195" i="76" s="1"/>
  <c r="A196" i="76"/>
  <c r="CM196" i="76" s="1"/>
  <c r="CN196" i="76" s="1"/>
  <c r="A197" i="76"/>
  <c r="CM197" i="76" s="1"/>
  <c r="CN197" i="76" s="1"/>
  <c r="A198" i="76"/>
  <c r="CM198" i="76" s="1"/>
  <c r="CN198" i="76" s="1"/>
  <c r="A199" i="76"/>
  <c r="CM199" i="76" s="1"/>
  <c r="CN199" i="76" s="1"/>
  <c r="A200" i="76"/>
  <c r="CM200" i="76" s="1"/>
  <c r="CN200" i="76" s="1"/>
  <c r="A201" i="76"/>
  <c r="CM201" i="76" s="1"/>
  <c r="CN201" i="76" s="1"/>
  <c r="A202" i="76"/>
  <c r="CM202" i="76" s="1"/>
  <c r="CN202" i="76" s="1"/>
  <c r="A192" i="76"/>
  <c r="CM192" i="76" s="1"/>
  <c r="A157" i="76"/>
  <c r="CM157" i="76" s="1"/>
  <c r="CN157" i="76" s="1"/>
  <c r="A158" i="76"/>
  <c r="CM158" i="76" s="1"/>
  <c r="CN158" i="76" s="1"/>
  <c r="A159" i="76"/>
  <c r="CM159" i="76" s="1"/>
  <c r="CN159" i="76" s="1"/>
  <c r="A160" i="76"/>
  <c r="CM160" i="76" s="1"/>
  <c r="CN160" i="76" s="1"/>
  <c r="A161" i="76"/>
  <c r="CM161" i="76" s="1"/>
  <c r="CN161" i="76" s="1"/>
  <c r="A162" i="76"/>
  <c r="CM162" i="76" s="1"/>
  <c r="CN162" i="76" s="1"/>
  <c r="A163" i="76"/>
  <c r="CM163" i="76" s="1"/>
  <c r="CN163" i="76" s="1"/>
  <c r="A164" i="76"/>
  <c r="CM164" i="76" s="1"/>
  <c r="CN164" i="76" s="1"/>
  <c r="A165" i="76"/>
  <c r="CM165" i="76" s="1"/>
  <c r="CN165" i="76" s="1"/>
  <c r="A156" i="76"/>
  <c r="CM156" i="76" s="1"/>
  <c r="CN156" i="76" s="1"/>
  <c r="A146" i="76"/>
  <c r="CM146" i="76" s="1"/>
  <c r="CN146" i="76" s="1"/>
  <c r="A147" i="76"/>
  <c r="CM147" i="76" s="1"/>
  <c r="CN147" i="76" s="1"/>
  <c r="A148" i="76"/>
  <c r="CM148" i="76" s="1"/>
  <c r="CN148" i="76" s="1"/>
  <c r="A149" i="76"/>
  <c r="CM149" i="76" s="1"/>
  <c r="CN149" i="76" s="1"/>
  <c r="A150" i="76"/>
  <c r="CM150" i="76" s="1"/>
  <c r="CN150" i="76" s="1"/>
  <c r="A151" i="76"/>
  <c r="CM151" i="76" s="1"/>
  <c r="CN151" i="76" s="1"/>
  <c r="A152" i="76"/>
  <c r="CM152" i="76" s="1"/>
  <c r="CN152" i="76" s="1"/>
  <c r="A153" i="76"/>
  <c r="CM153" i="76" s="1"/>
  <c r="CN153" i="76" s="1"/>
  <c r="A154" i="76"/>
  <c r="CM154" i="76" s="1"/>
  <c r="CN154" i="76" s="1"/>
  <c r="A155" i="76"/>
  <c r="CM155" i="76" s="1"/>
  <c r="CN155" i="76" s="1"/>
  <c r="A145" i="76"/>
  <c r="CM145" i="76" s="1"/>
  <c r="A112" i="76"/>
  <c r="CM112" i="76" s="1"/>
  <c r="CN112" i="76" s="1"/>
  <c r="A113" i="76"/>
  <c r="CM113" i="76" s="1"/>
  <c r="CN113" i="76" s="1"/>
  <c r="A114" i="76"/>
  <c r="CM114" i="76" s="1"/>
  <c r="CN114" i="76" s="1"/>
  <c r="A115" i="76"/>
  <c r="CM115" i="76" s="1"/>
  <c r="CN115" i="76" s="1"/>
  <c r="A116" i="76"/>
  <c r="CM116" i="76" s="1"/>
  <c r="CN116" i="76" s="1"/>
  <c r="A117" i="76"/>
  <c r="CM117" i="76" s="1"/>
  <c r="CN117" i="76" s="1"/>
  <c r="A118" i="76"/>
  <c r="CM118" i="76" s="1"/>
  <c r="CN118" i="76" s="1"/>
  <c r="A119" i="76"/>
  <c r="CM119" i="76" s="1"/>
  <c r="CN119" i="76" s="1"/>
  <c r="A120" i="76"/>
  <c r="CM120" i="76" s="1"/>
  <c r="CN120" i="76" s="1"/>
  <c r="A111" i="76"/>
  <c r="CM111" i="76" s="1"/>
  <c r="CN111" i="76" s="1"/>
  <c r="A101" i="76"/>
  <c r="CM101" i="76" s="1"/>
  <c r="CN101" i="76" s="1"/>
  <c r="A102" i="76"/>
  <c r="CM102" i="76" s="1"/>
  <c r="CN102" i="76" s="1"/>
  <c r="A103" i="76"/>
  <c r="CM103" i="76" s="1"/>
  <c r="CN103" i="76" s="1"/>
  <c r="A104" i="76"/>
  <c r="CM104" i="76" s="1"/>
  <c r="CN104" i="76" s="1"/>
  <c r="A105" i="76"/>
  <c r="CM105" i="76" s="1"/>
  <c r="CN105" i="76" s="1"/>
  <c r="A106" i="76"/>
  <c r="CM106" i="76" s="1"/>
  <c r="CN106" i="76" s="1"/>
  <c r="A107" i="76"/>
  <c r="CM107" i="76" s="1"/>
  <c r="CN107" i="76" s="1"/>
  <c r="A108" i="76"/>
  <c r="CM108" i="76" s="1"/>
  <c r="CN108" i="76" s="1"/>
  <c r="A109" i="76"/>
  <c r="CM109" i="76" s="1"/>
  <c r="CN109" i="76" s="1"/>
  <c r="A110" i="76"/>
  <c r="CM110" i="76" s="1"/>
  <c r="CN110" i="76" s="1"/>
  <c r="A100" i="76"/>
  <c r="CM100" i="76" s="1"/>
  <c r="A65" i="76"/>
  <c r="CM65" i="76" s="1"/>
  <c r="CN65" i="76" s="1"/>
  <c r="A66" i="76"/>
  <c r="CM66" i="76" s="1"/>
  <c r="CN66" i="76" s="1"/>
  <c r="A67" i="76"/>
  <c r="CM67" i="76" s="1"/>
  <c r="CN67" i="76" s="1"/>
  <c r="A68" i="76"/>
  <c r="CM68" i="76" s="1"/>
  <c r="CN68" i="76" s="1"/>
  <c r="A69" i="76"/>
  <c r="CM69" i="76" s="1"/>
  <c r="CN69" i="76" s="1"/>
  <c r="A70" i="76"/>
  <c r="CM70" i="76" s="1"/>
  <c r="CN70" i="76" s="1"/>
  <c r="A71" i="76"/>
  <c r="CM71" i="76" s="1"/>
  <c r="CN71" i="76" s="1"/>
  <c r="A72" i="76"/>
  <c r="CM72" i="76" s="1"/>
  <c r="CN72" i="76" s="1"/>
  <c r="A73" i="76"/>
  <c r="CM73" i="76" s="1"/>
  <c r="CN73" i="76" s="1"/>
  <c r="A64" i="76"/>
  <c r="CM64" i="76" s="1"/>
  <c r="CN64" i="76" s="1"/>
  <c r="A54" i="76"/>
  <c r="CM54" i="76" s="1"/>
  <c r="CN54" i="76" s="1"/>
  <c r="A55" i="76"/>
  <c r="CM55" i="76" s="1"/>
  <c r="CN55" i="76" s="1"/>
  <c r="A56" i="76"/>
  <c r="CM56" i="76" s="1"/>
  <c r="CN56" i="76" s="1"/>
  <c r="A57" i="76"/>
  <c r="CM57" i="76" s="1"/>
  <c r="CN57" i="76" s="1"/>
  <c r="A58" i="76"/>
  <c r="CM58" i="76" s="1"/>
  <c r="CN58" i="76" s="1"/>
  <c r="A59" i="76"/>
  <c r="CM59" i="76" s="1"/>
  <c r="CN59" i="76" s="1"/>
  <c r="A60" i="76"/>
  <c r="CM60" i="76" s="1"/>
  <c r="CN60" i="76" s="1"/>
  <c r="A61" i="76"/>
  <c r="CM61" i="76" s="1"/>
  <c r="CN61" i="76" s="1"/>
  <c r="A62" i="76"/>
  <c r="CM62" i="76" s="1"/>
  <c r="CN62" i="76" s="1"/>
  <c r="A63" i="76"/>
  <c r="CM63" i="76" s="1"/>
  <c r="CN63" i="76" s="1"/>
  <c r="A53" i="76"/>
  <c r="CM53" i="76" s="1"/>
  <c r="A28" i="76"/>
  <c r="CM28" i="76" s="1"/>
  <c r="A27" i="76"/>
  <c r="CM27" i="76" s="1"/>
  <c r="CN27" i="76" s="1"/>
  <c r="A26" i="76"/>
  <c r="CM26" i="76" s="1"/>
  <c r="CN26" i="76" s="1"/>
  <c r="A25" i="76"/>
  <c r="CM25" i="76" s="1"/>
  <c r="CN25" i="76" s="1"/>
  <c r="A24" i="76"/>
  <c r="CM24" i="76" s="1"/>
  <c r="CN24" i="76" s="1"/>
  <c r="A23" i="76"/>
  <c r="CM23" i="76" s="1"/>
  <c r="CN23" i="76" s="1"/>
  <c r="A22" i="76"/>
  <c r="CM22" i="76" s="1"/>
  <c r="CN22" i="76" s="1"/>
  <c r="A21" i="76"/>
  <c r="CM21" i="76" s="1"/>
  <c r="CN21" i="76" s="1"/>
  <c r="A20" i="76"/>
  <c r="CM20" i="76" s="1"/>
  <c r="CN20" i="76" s="1"/>
  <c r="A19" i="76"/>
  <c r="CM19" i="76" s="1"/>
  <c r="CN19" i="76" s="1"/>
  <c r="A18" i="76"/>
  <c r="CM18" i="76" s="1"/>
  <c r="A17" i="76"/>
  <c r="CM17" i="76" s="1"/>
  <c r="A16" i="76"/>
  <c r="CM16" i="76" s="1"/>
  <c r="A15" i="76"/>
  <c r="CM15" i="76" s="1"/>
  <c r="A14" i="76"/>
  <c r="CM14" i="76" s="1"/>
  <c r="A13" i="76"/>
  <c r="CM13" i="76" s="1"/>
  <c r="A12" i="76"/>
  <c r="CM12" i="76" s="1"/>
  <c r="A11" i="76"/>
  <c r="CM11" i="76" s="1"/>
  <c r="A10" i="76"/>
  <c r="CM10" i="76" s="1"/>
  <c r="A9" i="76"/>
  <c r="CM9" i="76" s="1"/>
  <c r="A8" i="76"/>
  <c r="CM8" i="76" s="1"/>
  <c r="CN8" i="76" s="1"/>
  <c r="A206" i="78"/>
  <c r="A207" i="78"/>
  <c r="A208" i="78"/>
  <c r="A209" i="78"/>
  <c r="A210" i="78"/>
  <c r="A211" i="78"/>
  <c r="A212" i="78"/>
  <c r="A213" i="78"/>
  <c r="A214" i="78"/>
  <c r="A215" i="78"/>
  <c r="A216" i="78"/>
  <c r="A205" i="78"/>
  <c r="A204" i="78"/>
  <c r="A193" i="78"/>
  <c r="A194" i="78"/>
  <c r="A195" i="78"/>
  <c r="A196" i="78"/>
  <c r="A197" i="78"/>
  <c r="A198" i="78"/>
  <c r="A199" i="78"/>
  <c r="A200" i="78"/>
  <c r="A201" i="78"/>
  <c r="A202" i="78"/>
  <c r="A203" i="78"/>
  <c r="A192" i="78"/>
  <c r="A159" i="78"/>
  <c r="A160" i="78"/>
  <c r="A161" i="78"/>
  <c r="A162" i="78"/>
  <c r="A163" i="78"/>
  <c r="A164" i="78"/>
  <c r="A165" i="78"/>
  <c r="A166" i="78"/>
  <c r="A167" i="78"/>
  <c r="A168" i="78"/>
  <c r="A169" i="78"/>
  <c r="A158" i="78"/>
  <c r="A157" i="78"/>
  <c r="A146" i="78"/>
  <c r="A147" i="78"/>
  <c r="A148" i="78"/>
  <c r="A149" i="78"/>
  <c r="A150" i="78"/>
  <c r="A151" i="78"/>
  <c r="A152" i="78"/>
  <c r="A153" i="78"/>
  <c r="A154" i="78"/>
  <c r="A155" i="78"/>
  <c r="A156" i="78"/>
  <c r="A145" i="78"/>
  <c r="A114" i="78"/>
  <c r="A115" i="78"/>
  <c r="A116" i="78"/>
  <c r="A117" i="78"/>
  <c r="A118" i="78"/>
  <c r="A119" i="78"/>
  <c r="A120" i="78"/>
  <c r="A121" i="78"/>
  <c r="A122" i="78"/>
  <c r="A123" i="78"/>
  <c r="A124" i="78"/>
  <c r="A113" i="78"/>
  <c r="A112" i="78"/>
  <c r="A101" i="78"/>
  <c r="A102" i="78"/>
  <c r="A103" i="78"/>
  <c r="A104" i="78"/>
  <c r="A105" i="78"/>
  <c r="A106" i="78"/>
  <c r="A107" i="78"/>
  <c r="A108" i="78"/>
  <c r="A109" i="78"/>
  <c r="A110" i="78"/>
  <c r="A111" i="78"/>
  <c r="A100" i="78"/>
  <c r="A67" i="78"/>
  <c r="A68" i="78"/>
  <c r="A69" i="78"/>
  <c r="A70" i="78"/>
  <c r="A71" i="78"/>
  <c r="A72" i="78"/>
  <c r="A73" i="78"/>
  <c r="A74" i="78"/>
  <c r="A75" i="78"/>
  <c r="A76" i="78"/>
  <c r="A77" i="78"/>
  <c r="A66" i="78"/>
  <c r="A65" i="78"/>
  <c r="A54" i="78"/>
  <c r="A55" i="78"/>
  <c r="A56" i="78"/>
  <c r="A57" i="78"/>
  <c r="A58" i="78"/>
  <c r="A59" i="78"/>
  <c r="A60" i="78"/>
  <c r="A61" i="78"/>
  <c r="A62" i="78"/>
  <c r="A63" i="78"/>
  <c r="A64" i="78"/>
  <c r="A53" i="78"/>
  <c r="A22" i="78"/>
  <c r="A23" i="78"/>
  <c r="A24" i="78"/>
  <c r="A25" i="78"/>
  <c r="A26" i="78"/>
  <c r="A27" i="78"/>
  <c r="A28" i="78"/>
  <c r="A29" i="78"/>
  <c r="A30" i="78"/>
  <c r="A31" i="78"/>
  <c r="A32" i="78"/>
  <c r="A21" i="78"/>
  <c r="A20" i="78"/>
  <c r="A9" i="78"/>
  <c r="A10" i="78"/>
  <c r="A11" i="78"/>
  <c r="A12" i="78"/>
  <c r="A13" i="78"/>
  <c r="A14" i="78"/>
  <c r="A15" i="78"/>
  <c r="A16" i="78"/>
  <c r="A17" i="78"/>
  <c r="A18" i="78"/>
  <c r="A19" i="78"/>
  <c r="A8" i="78"/>
  <c r="AB14" i="73"/>
  <c r="AB13" i="73"/>
  <c r="AB12" i="73"/>
  <c r="AB11" i="73"/>
  <c r="AB10" i="73"/>
  <c r="AB4" i="73"/>
  <c r="AB3" i="73"/>
  <c r="AB2" i="73"/>
  <c r="AB9" i="73"/>
  <c r="AB8" i="73"/>
  <c r="AB7" i="73"/>
  <c r="AB6" i="73"/>
  <c r="AB5" i="73"/>
  <c r="CN9" i="76" l="1"/>
  <c r="CO9" i="76"/>
  <c r="CN10" i="76"/>
  <c r="CO10" i="76"/>
  <c r="CN11" i="76"/>
  <c r="CO11" i="76"/>
  <c r="CN12" i="76"/>
  <c r="CO12" i="76"/>
  <c r="CN13" i="76"/>
  <c r="CO13" i="76"/>
  <c r="CN14" i="76"/>
  <c r="CO14" i="76"/>
  <c r="CN15" i="76"/>
  <c r="CO15" i="76"/>
  <c r="CN16" i="76"/>
  <c r="CO16" i="76"/>
  <c r="CN17" i="76"/>
  <c r="CO17" i="76"/>
  <c r="CN18" i="76"/>
  <c r="CO18" i="76"/>
  <c r="CO29" i="76" s="1"/>
  <c r="AS240" i="76" s="1"/>
  <c r="AS246" i="76" s="1"/>
  <c r="CM121" i="76"/>
  <c r="CN100" i="76"/>
  <c r="CN121" i="76" s="1"/>
  <c r="CM213" i="76"/>
  <c r="CN192" i="76"/>
  <c r="CN213" i="76" s="1"/>
  <c r="CM74" i="76"/>
  <c r="CN53" i="76"/>
  <c r="CN74" i="76" s="1"/>
  <c r="CN145" i="76"/>
  <c r="CN166" i="76" s="1"/>
  <c r="CM166" i="76"/>
  <c r="GD100" i="76"/>
  <c r="GD121" i="76" s="1"/>
  <c r="GC121" i="76"/>
  <c r="GD145" i="76"/>
  <c r="GD166" i="76" s="1"/>
  <c r="GC166" i="76"/>
  <c r="GD53" i="76"/>
  <c r="GD74" i="76" s="1"/>
  <c r="GC74" i="76"/>
  <c r="AR236" i="76"/>
  <c r="AR242" i="76"/>
  <c r="AR237" i="76"/>
  <c r="AR243" i="76"/>
  <c r="AR241" i="76"/>
  <c r="CM29" i="76"/>
  <c r="CN28" i="76"/>
  <c r="CN29" i="76" s="1"/>
  <c r="AR240" i="76" s="1"/>
  <c r="P17" i="72"/>
  <c r="P19" i="72"/>
  <c r="P20" i="72"/>
  <c r="P16" i="72"/>
  <c r="BD217" i="78"/>
  <c r="BC217" i="78"/>
  <c r="BB217" i="78"/>
  <c r="BA217" i="78"/>
  <c r="AZ217" i="78"/>
  <c r="AY217" i="78"/>
  <c r="AX217" i="78"/>
  <c r="AW217" i="78"/>
  <c r="AV217" i="78"/>
  <c r="AU217" i="78"/>
  <c r="AT217" i="78"/>
  <c r="AS217" i="78"/>
  <c r="AR217" i="78"/>
  <c r="AQ217" i="78"/>
  <c r="AP217" i="78"/>
  <c r="AO217" i="78"/>
  <c r="AN217" i="78"/>
  <c r="AM217" i="78"/>
  <c r="AL217" i="78"/>
  <c r="AK217" i="78"/>
  <c r="AJ217" i="78"/>
  <c r="AI217" i="78"/>
  <c r="AH217" i="78"/>
  <c r="AG217" i="78"/>
  <c r="AF217" i="78"/>
  <c r="AE217" i="78"/>
  <c r="AD217" i="78"/>
  <c r="AC217" i="78"/>
  <c r="AB217" i="78"/>
  <c r="AA217" i="78"/>
  <c r="Z217" i="78"/>
  <c r="Y217" i="78"/>
  <c r="X217" i="78"/>
  <c r="W217" i="78"/>
  <c r="V217" i="78"/>
  <c r="U217" i="78"/>
  <c r="T217" i="78"/>
  <c r="S217" i="78"/>
  <c r="R217" i="78"/>
  <c r="Q217" i="78"/>
  <c r="P217" i="78"/>
  <c r="O217" i="78"/>
  <c r="N217" i="78"/>
  <c r="M217" i="78"/>
  <c r="L217" i="78"/>
  <c r="K217" i="78"/>
  <c r="J217" i="78"/>
  <c r="I217" i="78"/>
  <c r="H217" i="78"/>
  <c r="G217" i="78"/>
  <c r="F217" i="78"/>
  <c r="E217" i="78"/>
  <c r="BD170" i="78"/>
  <c r="BC170" i="78"/>
  <c r="BB170" i="78"/>
  <c r="BA170" i="78"/>
  <c r="AZ170" i="78"/>
  <c r="AY170" i="78"/>
  <c r="AX170" i="78"/>
  <c r="AW170" i="78"/>
  <c r="AV170" i="78"/>
  <c r="AU170" i="78"/>
  <c r="AT170" i="78"/>
  <c r="AS170" i="78"/>
  <c r="AR170" i="78"/>
  <c r="AQ170" i="78"/>
  <c r="AP170" i="78"/>
  <c r="AO170" i="78"/>
  <c r="AN170" i="78"/>
  <c r="AM170" i="78"/>
  <c r="AL170" i="78"/>
  <c r="AK170" i="78"/>
  <c r="AJ170" i="78"/>
  <c r="AI170" i="78"/>
  <c r="AH170" i="78"/>
  <c r="AG170" i="78"/>
  <c r="AF170" i="78"/>
  <c r="AE170" i="78"/>
  <c r="AD170" i="78"/>
  <c r="AC170" i="78"/>
  <c r="AB170" i="78"/>
  <c r="AA170" i="78"/>
  <c r="Z170" i="78"/>
  <c r="Y170" i="78"/>
  <c r="X170" i="78"/>
  <c r="W170" i="78"/>
  <c r="V170" i="78"/>
  <c r="U170" i="78"/>
  <c r="T170" i="78"/>
  <c r="S170" i="78"/>
  <c r="R170" i="78"/>
  <c r="Q170" i="78"/>
  <c r="P170" i="78"/>
  <c r="O170" i="78"/>
  <c r="N170" i="78"/>
  <c r="M170" i="78"/>
  <c r="L170" i="78"/>
  <c r="K170" i="78"/>
  <c r="J170" i="78"/>
  <c r="I170" i="78"/>
  <c r="H170" i="78"/>
  <c r="G170" i="78"/>
  <c r="F170" i="78"/>
  <c r="E170" i="78"/>
  <c r="BD125" i="78"/>
  <c r="BC125" i="78"/>
  <c r="BB125" i="78"/>
  <c r="BA125" i="78"/>
  <c r="AZ125" i="78"/>
  <c r="AY125" i="78"/>
  <c r="AX125" i="78"/>
  <c r="AW125" i="78"/>
  <c r="AV125" i="78"/>
  <c r="AU125" i="78"/>
  <c r="AT125" i="78"/>
  <c r="AS125" i="78"/>
  <c r="AR125" i="78"/>
  <c r="AQ125" i="78"/>
  <c r="AP125" i="78"/>
  <c r="AO125" i="78"/>
  <c r="AN125" i="78"/>
  <c r="AM125" i="78"/>
  <c r="AL125" i="78"/>
  <c r="AK125" i="78"/>
  <c r="AJ125" i="78"/>
  <c r="AI125" i="78"/>
  <c r="AH125" i="78"/>
  <c r="AG125" i="78"/>
  <c r="AF125" i="78"/>
  <c r="AE125" i="78"/>
  <c r="AD125" i="78"/>
  <c r="AC125" i="78"/>
  <c r="AB125" i="78"/>
  <c r="AA125" i="78"/>
  <c r="Z125" i="78"/>
  <c r="Y125" i="78"/>
  <c r="X125" i="78"/>
  <c r="W125" i="78"/>
  <c r="V125" i="78"/>
  <c r="U125" i="78"/>
  <c r="T125" i="78"/>
  <c r="S125" i="78"/>
  <c r="R125" i="78"/>
  <c r="Q125" i="78"/>
  <c r="P125" i="78"/>
  <c r="O125" i="78"/>
  <c r="N125" i="78"/>
  <c r="M125" i="78"/>
  <c r="L125" i="78"/>
  <c r="K125" i="78"/>
  <c r="J125" i="78"/>
  <c r="I125" i="78"/>
  <c r="H125" i="78"/>
  <c r="G125" i="78"/>
  <c r="F125" i="78"/>
  <c r="E125" i="78"/>
  <c r="BD78" i="78"/>
  <c r="BC78" i="78"/>
  <c r="BB78" i="78"/>
  <c r="BA78" i="78"/>
  <c r="AZ78" i="78"/>
  <c r="AY78" i="78"/>
  <c r="AX78" i="78"/>
  <c r="AW78" i="78"/>
  <c r="AV78" i="78"/>
  <c r="AU78" i="78"/>
  <c r="AT78" i="78"/>
  <c r="AS78" i="78"/>
  <c r="AR78" i="78"/>
  <c r="AQ78" i="78"/>
  <c r="AP78" i="78"/>
  <c r="AO78" i="78"/>
  <c r="AN78" i="78"/>
  <c r="AM78" i="78"/>
  <c r="AL78" i="78"/>
  <c r="AK78" i="78"/>
  <c r="AJ78" i="78"/>
  <c r="AI78" i="78"/>
  <c r="AH78" i="78"/>
  <c r="AG78" i="78"/>
  <c r="AF78" i="78"/>
  <c r="AE78" i="78"/>
  <c r="AD78" i="78"/>
  <c r="AC78" i="78"/>
  <c r="AB78" i="78"/>
  <c r="AA78" i="78"/>
  <c r="Z78" i="78"/>
  <c r="Y78" i="78"/>
  <c r="X78" i="78"/>
  <c r="W78" i="78"/>
  <c r="V78" i="78"/>
  <c r="U78" i="78"/>
  <c r="T78" i="78"/>
  <c r="S78" i="78"/>
  <c r="R78" i="78"/>
  <c r="Q78" i="78"/>
  <c r="P78" i="78"/>
  <c r="O78" i="78"/>
  <c r="N78" i="78"/>
  <c r="M78" i="78"/>
  <c r="L78" i="78"/>
  <c r="K78" i="78"/>
  <c r="J78" i="78"/>
  <c r="I78" i="78"/>
  <c r="H78" i="78"/>
  <c r="G78" i="78"/>
  <c r="F78" i="78"/>
  <c r="E78" i="78"/>
  <c r="AZ33" i="78"/>
  <c r="AU33" i="78"/>
  <c r="AT33" i="78"/>
  <c r="AH33" i="78"/>
  <c r="AG33" i="78"/>
  <c r="AB33" i="78"/>
  <c r="W33" i="78"/>
  <c r="V33" i="78"/>
  <c r="R33" i="78"/>
  <c r="J33" i="78"/>
  <c r="I33" i="78"/>
  <c r="BD33" i="78"/>
  <c r="BC33" i="78"/>
  <c r="BB33" i="78"/>
  <c r="BA33" i="78"/>
  <c r="AY33" i="78"/>
  <c r="AX33" i="78"/>
  <c r="AW33" i="78"/>
  <c r="AV33" i="78"/>
  <c r="AS33" i="78"/>
  <c r="AR33" i="78"/>
  <c r="AQ33" i="78"/>
  <c r="AP33" i="78"/>
  <c r="AO33" i="78"/>
  <c r="AN33" i="78"/>
  <c r="AM33" i="78"/>
  <c r="AL33" i="78"/>
  <c r="AK33" i="78"/>
  <c r="AJ33" i="78"/>
  <c r="AI33" i="78"/>
  <c r="AF33" i="78"/>
  <c r="AE33" i="78"/>
  <c r="AD33" i="78"/>
  <c r="AC33" i="78"/>
  <c r="AA33" i="78"/>
  <c r="Z33" i="78"/>
  <c r="Y33" i="78"/>
  <c r="X33" i="78"/>
  <c r="U33" i="78"/>
  <c r="T33" i="78"/>
  <c r="S33" i="78"/>
  <c r="Q33" i="78"/>
  <c r="P33" i="78"/>
  <c r="O33" i="78"/>
  <c r="N33" i="78"/>
  <c r="M33" i="78"/>
  <c r="L33" i="78"/>
  <c r="K33" i="78"/>
  <c r="H33" i="78"/>
  <c r="G33" i="78"/>
  <c r="F33" i="78"/>
  <c r="E33" i="78"/>
  <c r="AR239" i="76" l="1"/>
  <c r="AR238" i="76"/>
  <c r="K16" i="72"/>
  <c r="K17" i="72"/>
  <c r="K18" i="72"/>
  <c r="K19" i="72"/>
  <c r="K20" i="72"/>
  <c r="BF27" i="76"/>
  <c r="BG27" i="76"/>
  <c r="BH27" i="76"/>
  <c r="BR27" i="76"/>
  <c r="BS27" i="76"/>
  <c r="BT27" i="76" s="1"/>
  <c r="BU27" i="76"/>
  <c r="CC27" i="76"/>
  <c r="CD27" i="76"/>
  <c r="CE27" i="76"/>
  <c r="E121" i="76"/>
  <c r="F121" i="76"/>
  <c r="G121" i="76"/>
  <c r="H121" i="76"/>
  <c r="I121" i="76"/>
  <c r="J121" i="76"/>
  <c r="K121" i="76"/>
  <c r="L121" i="76"/>
  <c r="M121" i="76"/>
  <c r="N121" i="76"/>
  <c r="O121" i="76"/>
  <c r="P121" i="76"/>
  <c r="Q121" i="76"/>
  <c r="R121" i="76"/>
  <c r="S121" i="76"/>
  <c r="T121" i="76"/>
  <c r="U121" i="76"/>
  <c r="V121" i="76"/>
  <c r="W121" i="76"/>
  <c r="X121" i="76"/>
  <c r="Y121" i="76"/>
  <c r="Z121" i="76"/>
  <c r="AA121" i="76"/>
  <c r="AB121" i="76"/>
  <c r="AC121" i="76"/>
  <c r="AD121" i="76"/>
  <c r="AE121" i="76"/>
  <c r="AF121" i="76"/>
  <c r="AG121" i="76"/>
  <c r="AH121" i="76"/>
  <c r="AI121" i="76"/>
  <c r="AJ121" i="76"/>
  <c r="AK121" i="76"/>
  <c r="AL121" i="76"/>
  <c r="AM121" i="76"/>
  <c r="AN121" i="76"/>
  <c r="AO121" i="76"/>
  <c r="AP121" i="76"/>
  <c r="AQ121" i="76"/>
  <c r="AR121" i="76"/>
  <c r="AS121" i="76"/>
  <c r="AT121" i="76"/>
  <c r="AU121" i="76"/>
  <c r="AV121" i="76"/>
  <c r="AW121" i="76"/>
  <c r="AX121" i="76"/>
  <c r="AY121" i="76"/>
  <c r="AZ121" i="76"/>
  <c r="BA121" i="76"/>
  <c r="BB121" i="76"/>
  <c r="BC121" i="76"/>
  <c r="BD121" i="76"/>
  <c r="E166" i="76"/>
  <c r="F166" i="76"/>
  <c r="G166" i="76"/>
  <c r="H166" i="76"/>
  <c r="I166" i="76"/>
  <c r="J166" i="76"/>
  <c r="K166" i="76"/>
  <c r="L166" i="76"/>
  <c r="M166" i="76"/>
  <c r="N166" i="76"/>
  <c r="O166" i="76"/>
  <c r="P166" i="76"/>
  <c r="Q166" i="76"/>
  <c r="R166" i="76"/>
  <c r="S166" i="76"/>
  <c r="T166" i="76"/>
  <c r="U166" i="76"/>
  <c r="V166" i="76"/>
  <c r="W166" i="76"/>
  <c r="X166" i="76"/>
  <c r="Y166" i="76"/>
  <c r="Z166" i="76"/>
  <c r="AA166" i="76"/>
  <c r="AB166" i="76"/>
  <c r="AC166" i="76"/>
  <c r="AD166" i="76"/>
  <c r="AE166" i="76"/>
  <c r="AF166" i="76"/>
  <c r="AG166" i="76"/>
  <c r="AH166" i="76"/>
  <c r="AI166" i="76"/>
  <c r="AJ166" i="76"/>
  <c r="AK166" i="76"/>
  <c r="AL166" i="76"/>
  <c r="AM166" i="76"/>
  <c r="AN166" i="76"/>
  <c r="AO166" i="76"/>
  <c r="AP166" i="76"/>
  <c r="AQ166" i="76"/>
  <c r="AR166" i="76"/>
  <c r="AS166" i="76"/>
  <c r="AT166" i="76"/>
  <c r="AU166" i="76"/>
  <c r="AV166" i="76"/>
  <c r="AW166" i="76"/>
  <c r="AX166" i="76"/>
  <c r="AY166" i="76"/>
  <c r="AZ166" i="76"/>
  <c r="BA166" i="76"/>
  <c r="BB166" i="76"/>
  <c r="BC166" i="76"/>
  <c r="BD166" i="76"/>
  <c r="I232" i="77"/>
  <c r="I231" i="77"/>
  <c r="I229" i="77"/>
  <c r="I211" i="77"/>
  <c r="I209" i="77"/>
  <c r="I208" i="77"/>
  <c r="I181" i="77"/>
  <c r="I180" i="77"/>
  <c r="I179" i="77"/>
  <c r="I178" i="77"/>
  <c r="I177" i="77"/>
  <c r="I176" i="77"/>
  <c r="I160" i="77"/>
  <c r="I158" i="77"/>
  <c r="I157" i="77"/>
  <c r="I132" i="77"/>
  <c r="I131" i="77"/>
  <c r="I130" i="77"/>
  <c r="I129" i="77"/>
  <c r="I128" i="77"/>
  <c r="I127" i="77"/>
  <c r="I126" i="77"/>
  <c r="I125" i="77"/>
  <c r="I111" i="77"/>
  <c r="I109" i="77"/>
  <c r="I108" i="77"/>
  <c r="I81" i="77"/>
  <c r="I80" i="77"/>
  <c r="I79" i="77"/>
  <c r="I78" i="77"/>
  <c r="I77" i="77"/>
  <c r="I76" i="77"/>
  <c r="I75" i="77"/>
  <c r="I74" i="77"/>
  <c r="I73" i="77"/>
  <c r="I60" i="77"/>
  <c r="I58" i="77"/>
  <c r="I57" i="77"/>
  <c r="I32" i="77"/>
  <c r="I31" i="77"/>
  <c r="I30" i="77"/>
  <c r="I29" i="77"/>
  <c r="I28" i="77"/>
  <c r="I27" i="77"/>
  <c r="I26" i="77"/>
  <c r="I25" i="77"/>
  <c r="I24" i="77"/>
  <c r="I11" i="77"/>
  <c r="I9" i="77"/>
  <c r="I8" i="77"/>
  <c r="J160" i="77" l="1"/>
  <c r="J111" i="77"/>
  <c r="J60" i="77"/>
  <c r="J11" i="77"/>
  <c r="K233" i="77"/>
  <c r="A232" i="77"/>
  <c r="A231" i="77"/>
  <c r="A230" i="77"/>
  <c r="A229" i="77"/>
  <c r="A228" i="77"/>
  <c r="A227" i="77"/>
  <c r="A226" i="77"/>
  <c r="A225" i="77"/>
  <c r="A224" i="77"/>
  <c r="A223" i="77"/>
  <c r="A222" i="77"/>
  <c r="A221" i="77"/>
  <c r="A220" i="77"/>
  <c r="A219" i="77"/>
  <c r="A218" i="77"/>
  <c r="A217" i="77"/>
  <c r="A216" i="77"/>
  <c r="A215" i="77"/>
  <c r="A214" i="77"/>
  <c r="A213" i="77"/>
  <c r="A212" i="77"/>
  <c r="A211" i="77"/>
  <c r="A210" i="77"/>
  <c r="A209" i="77"/>
  <c r="A208" i="77"/>
  <c r="K182" i="77"/>
  <c r="A181" i="77"/>
  <c r="A180" i="77"/>
  <c r="A179" i="77"/>
  <c r="A178" i="77"/>
  <c r="A177" i="77"/>
  <c r="A176" i="77"/>
  <c r="A175" i="77"/>
  <c r="A174" i="77"/>
  <c r="A173" i="77"/>
  <c r="A172" i="77"/>
  <c r="A171" i="77"/>
  <c r="A170" i="77"/>
  <c r="A169" i="77"/>
  <c r="A168" i="77"/>
  <c r="A167" i="77"/>
  <c r="A166" i="77"/>
  <c r="A165" i="77"/>
  <c r="A164" i="77"/>
  <c r="A163" i="77"/>
  <c r="A162" i="77"/>
  <c r="A161" i="77"/>
  <c r="A160" i="77"/>
  <c r="A159" i="77"/>
  <c r="A158" i="77"/>
  <c r="A157" i="77"/>
  <c r="K133" i="77"/>
  <c r="A132" i="77"/>
  <c r="A131" i="77"/>
  <c r="A130" i="77"/>
  <c r="A129" i="77"/>
  <c r="A128" i="77"/>
  <c r="A127" i="77"/>
  <c r="A126" i="77"/>
  <c r="A125" i="77"/>
  <c r="A124" i="77"/>
  <c r="A123" i="77"/>
  <c r="A122" i="77"/>
  <c r="A121" i="77"/>
  <c r="A120" i="77"/>
  <c r="A119" i="77"/>
  <c r="A118" i="77"/>
  <c r="A117" i="77"/>
  <c r="A116" i="77"/>
  <c r="A115" i="77"/>
  <c r="A114" i="77"/>
  <c r="A113" i="77"/>
  <c r="A112" i="77"/>
  <c r="A111" i="77"/>
  <c r="A110" i="77"/>
  <c r="A109" i="77"/>
  <c r="A108" i="77"/>
  <c r="K82" i="77"/>
  <c r="A81" i="77"/>
  <c r="A80" i="77"/>
  <c r="A79" i="77"/>
  <c r="A78" i="77"/>
  <c r="A77" i="77"/>
  <c r="A76" i="77"/>
  <c r="A75" i="77"/>
  <c r="A74" i="77"/>
  <c r="A73" i="77"/>
  <c r="A72" i="77"/>
  <c r="A71" i="77"/>
  <c r="A70" i="77"/>
  <c r="A69" i="77"/>
  <c r="A68" i="77"/>
  <c r="A67" i="77"/>
  <c r="A66" i="77"/>
  <c r="A65" i="77"/>
  <c r="A64" i="77"/>
  <c r="A63" i="77"/>
  <c r="A62" i="77"/>
  <c r="A61" i="77"/>
  <c r="A60" i="77"/>
  <c r="A59" i="77"/>
  <c r="A58" i="77"/>
  <c r="A57" i="77"/>
  <c r="K33" i="77"/>
  <c r="A32" i="77"/>
  <c r="A31" i="77"/>
  <c r="A30" i="77"/>
  <c r="A29" i="77"/>
  <c r="A28" i="77"/>
  <c r="A27" i="77"/>
  <c r="A26" i="77"/>
  <c r="A25" i="77"/>
  <c r="A24" i="77"/>
  <c r="A23" i="77"/>
  <c r="A22" i="77"/>
  <c r="A21" i="77"/>
  <c r="A20" i="77"/>
  <c r="A19" i="77"/>
  <c r="A18" i="77"/>
  <c r="A17" i="77"/>
  <c r="A16" i="77"/>
  <c r="A15" i="77"/>
  <c r="A14" i="77"/>
  <c r="A13" i="77"/>
  <c r="A12" i="77"/>
  <c r="A11" i="77"/>
  <c r="A10" i="77"/>
  <c r="A9" i="77"/>
  <c r="A8" i="77"/>
  <c r="AC213" i="76"/>
  <c r="G236" i="76" s="1"/>
  <c r="G237" i="76"/>
  <c r="G238" i="76"/>
  <c r="AC74" i="76"/>
  <c r="G239" i="76" s="1"/>
  <c r="AC29" i="76"/>
  <c r="G240" i="76" s="1"/>
  <c r="AA213" i="76"/>
  <c r="E236" i="76" s="1"/>
  <c r="E237" i="76"/>
  <c r="E238" i="76"/>
  <c r="AA74" i="76"/>
  <c r="E239" i="76" s="1"/>
  <c r="AA29" i="76"/>
  <c r="E240" i="76" s="1"/>
  <c r="AH213" i="76"/>
  <c r="H236" i="76" s="1"/>
  <c r="H237" i="76"/>
  <c r="H238" i="76"/>
  <c r="AH74" i="76"/>
  <c r="H239" i="76" s="1"/>
  <c r="AH29" i="76"/>
  <c r="H240" i="76" s="1"/>
  <c r="E29" i="76"/>
  <c r="C39" i="72"/>
  <c r="C40" i="72" s="1"/>
  <c r="AV213" i="76"/>
  <c r="AF236" i="76" s="1"/>
  <c r="U54" i="73"/>
  <c r="U50" i="73"/>
  <c r="U51" i="73"/>
  <c r="U52" i="73"/>
  <c r="U53" i="73"/>
  <c r="BV29" i="76"/>
  <c r="AL240" i="76" s="1"/>
  <c r="BD29" i="76"/>
  <c r="BC29" i="76"/>
  <c r="BB29" i="76"/>
  <c r="BA29" i="76"/>
  <c r="AZ29" i="76"/>
  <c r="AY29" i="76"/>
  <c r="AX29" i="76"/>
  <c r="U240" i="76" s="1"/>
  <c r="AW29" i="76"/>
  <c r="T240" i="76" s="1"/>
  <c r="AV29" i="76"/>
  <c r="AU29" i="76"/>
  <c r="AE240" i="76" s="1"/>
  <c r="AT29" i="76"/>
  <c r="AD240" i="76" s="1"/>
  <c r="AS29" i="76"/>
  <c r="AC240" i="76" s="1"/>
  <c r="AR29" i="76"/>
  <c r="AB240" i="76" s="1"/>
  <c r="AQ29" i="76"/>
  <c r="AP29" i="76"/>
  <c r="AO29" i="76"/>
  <c r="Z240" i="76" s="1"/>
  <c r="AN29" i="76"/>
  <c r="Y240" i="76" s="1"/>
  <c r="AM29" i="76"/>
  <c r="W240" i="76" s="1"/>
  <c r="AL29" i="76"/>
  <c r="X240" i="76" s="1"/>
  <c r="AK29" i="76"/>
  <c r="S240" i="76" s="1"/>
  <c r="AJ29" i="76"/>
  <c r="J240" i="76" s="1"/>
  <c r="AI29" i="76"/>
  <c r="I240" i="76" s="1"/>
  <c r="AG29" i="76"/>
  <c r="AF29" i="76"/>
  <c r="AE29" i="76"/>
  <c r="AD29" i="76"/>
  <c r="AB29" i="76"/>
  <c r="F240" i="76" s="1"/>
  <c r="Z29" i="76"/>
  <c r="Y29" i="76"/>
  <c r="X29" i="76"/>
  <c r="W29" i="76"/>
  <c r="V29" i="76"/>
  <c r="U29" i="76"/>
  <c r="T29" i="76"/>
  <c r="S29" i="76"/>
  <c r="R29" i="76"/>
  <c r="Q29" i="76"/>
  <c r="P29" i="76"/>
  <c r="AG240" i="76" s="1"/>
  <c r="O29" i="76"/>
  <c r="N29" i="76"/>
  <c r="M29" i="76"/>
  <c r="L29" i="76"/>
  <c r="K29" i="76"/>
  <c r="J29" i="76"/>
  <c r="I29" i="76"/>
  <c r="H29" i="76"/>
  <c r="G29" i="76"/>
  <c r="F29" i="76"/>
  <c r="BV74" i="76"/>
  <c r="AL239" i="76" s="1"/>
  <c r="BD74" i="76"/>
  <c r="BC74" i="76"/>
  <c r="BB74" i="76"/>
  <c r="BA74" i="76"/>
  <c r="AZ74" i="76"/>
  <c r="AY74" i="76"/>
  <c r="AX74" i="76"/>
  <c r="U239" i="76" s="1"/>
  <c r="AW74" i="76"/>
  <c r="T239" i="76" s="1"/>
  <c r="AV74" i="76"/>
  <c r="AF239" i="76" s="1"/>
  <c r="AU74" i="76"/>
  <c r="AE239" i="76" s="1"/>
  <c r="AT74" i="76"/>
  <c r="AD239" i="76" s="1"/>
  <c r="AS74" i="76"/>
  <c r="AC239" i="76" s="1"/>
  <c r="AR74" i="76"/>
  <c r="AB239" i="76" s="1"/>
  <c r="AQ74" i="76"/>
  <c r="AA239" i="76" s="1"/>
  <c r="AP74" i="76"/>
  <c r="AO74" i="76"/>
  <c r="Z239" i="76" s="1"/>
  <c r="AN74" i="76"/>
  <c r="Y239" i="76" s="1"/>
  <c r="AM74" i="76"/>
  <c r="W239" i="76" s="1"/>
  <c r="AL74" i="76"/>
  <c r="X239" i="76" s="1"/>
  <c r="AK74" i="76"/>
  <c r="S239" i="76" s="1"/>
  <c r="AJ74" i="76"/>
  <c r="AI74" i="76"/>
  <c r="I239" i="76" s="1"/>
  <c r="AG74" i="76"/>
  <c r="AF74" i="76"/>
  <c r="AE74" i="76"/>
  <c r="AD74" i="76"/>
  <c r="AB74" i="76"/>
  <c r="F239" i="76" s="1"/>
  <c r="Z74" i="76"/>
  <c r="Y74" i="76"/>
  <c r="X74" i="76"/>
  <c r="W74" i="76"/>
  <c r="V74" i="76"/>
  <c r="U74" i="76"/>
  <c r="T74" i="76"/>
  <c r="S74" i="76"/>
  <c r="R74" i="76"/>
  <c r="Q74" i="76"/>
  <c r="P74" i="76"/>
  <c r="AG239" i="76" s="1"/>
  <c r="O74" i="76"/>
  <c r="N74" i="76"/>
  <c r="M74" i="76"/>
  <c r="L74" i="76"/>
  <c r="K74" i="76"/>
  <c r="J74" i="76"/>
  <c r="I74" i="76"/>
  <c r="H74" i="76"/>
  <c r="G74" i="76"/>
  <c r="F74" i="76"/>
  <c r="E74" i="76"/>
  <c r="BV121" i="76"/>
  <c r="U238" i="76"/>
  <c r="AF238" i="76"/>
  <c r="AD238" i="76"/>
  <c r="AC238" i="76"/>
  <c r="AB238" i="76"/>
  <c r="Y238" i="76"/>
  <c r="S238" i="76"/>
  <c r="J238" i="76"/>
  <c r="BV166" i="76"/>
  <c r="U237" i="76"/>
  <c r="AD237" i="76"/>
  <c r="AC237" i="76"/>
  <c r="Z237" i="76"/>
  <c r="W237" i="76"/>
  <c r="X237" i="76"/>
  <c r="S237" i="76"/>
  <c r="I237" i="76"/>
  <c r="F237" i="76"/>
  <c r="AG237" i="76"/>
  <c r="BV213" i="76"/>
  <c r="AL236" i="76" s="1"/>
  <c r="BD213" i="76"/>
  <c r="BC213" i="76"/>
  <c r="BB213" i="76"/>
  <c r="BA213" i="76"/>
  <c r="AZ213" i="76"/>
  <c r="AY213" i="76"/>
  <c r="AX213" i="76"/>
  <c r="U236" i="76" s="1"/>
  <c r="AW213" i="76"/>
  <c r="T236" i="76" s="1"/>
  <c r="AU213" i="76"/>
  <c r="AE236" i="76" s="1"/>
  <c r="AT213" i="76"/>
  <c r="AD236" i="76" s="1"/>
  <c r="AS213" i="76"/>
  <c r="AR213" i="76"/>
  <c r="AB236" i="76" s="1"/>
  <c r="AQ213" i="76"/>
  <c r="AA236" i="76" s="1"/>
  <c r="AP213" i="76"/>
  <c r="AO213" i="76"/>
  <c r="AN213" i="76"/>
  <c r="Y236" i="76" s="1"/>
  <c r="AM213" i="76"/>
  <c r="W236" i="76" s="1"/>
  <c r="AL213" i="76"/>
  <c r="X236" i="76" s="1"/>
  <c r="AK213" i="76"/>
  <c r="S236" i="76" s="1"/>
  <c r="AJ213" i="76"/>
  <c r="J236" i="76" s="1"/>
  <c r="AI213" i="76"/>
  <c r="AG213" i="76"/>
  <c r="AF213" i="76"/>
  <c r="AE213" i="76"/>
  <c r="AD213" i="76"/>
  <c r="AB213" i="76"/>
  <c r="F236" i="76" s="1"/>
  <c r="Z213" i="76"/>
  <c r="Y213" i="76"/>
  <c r="X213" i="76"/>
  <c r="W213" i="76"/>
  <c r="V213" i="76"/>
  <c r="U213" i="76"/>
  <c r="T213" i="76"/>
  <c r="S213" i="76"/>
  <c r="R213" i="76"/>
  <c r="Q213" i="76"/>
  <c r="P213" i="76"/>
  <c r="AG236" i="76" s="1"/>
  <c r="O213" i="76"/>
  <c r="N213" i="76"/>
  <c r="M213" i="76"/>
  <c r="L213" i="76"/>
  <c r="K213" i="76"/>
  <c r="J213" i="76"/>
  <c r="I213" i="76"/>
  <c r="H213" i="76"/>
  <c r="G213" i="76"/>
  <c r="F213" i="76"/>
  <c r="E213" i="76"/>
  <c r="AP249" i="76"/>
  <c r="FL74" i="76"/>
  <c r="ET74" i="76"/>
  <c r="ES74" i="76"/>
  <c r="ER74" i="76"/>
  <c r="EQ74" i="76"/>
  <c r="EP74" i="76"/>
  <c r="EO74" i="76"/>
  <c r="EN74" i="76"/>
  <c r="U241" i="76" s="1"/>
  <c r="EM74" i="76"/>
  <c r="EL74" i="76"/>
  <c r="EK74" i="76"/>
  <c r="AE241" i="76" s="1"/>
  <c r="EJ74" i="76"/>
  <c r="AD241" i="76" s="1"/>
  <c r="EI74" i="76"/>
  <c r="AC241" i="76" s="1"/>
  <c r="EH74" i="76"/>
  <c r="AB241" i="76" s="1"/>
  <c r="EG74" i="76"/>
  <c r="AA241" i="76" s="1"/>
  <c r="EF74" i="76"/>
  <c r="EE74" i="76"/>
  <c r="Z241" i="76" s="1"/>
  <c r="ED74" i="76"/>
  <c r="Y241" i="76" s="1"/>
  <c r="EC74" i="76"/>
  <c r="W241" i="76" s="1"/>
  <c r="EB74" i="76"/>
  <c r="X241" i="76" s="1"/>
  <c r="EA74" i="76"/>
  <c r="S241" i="76" s="1"/>
  <c r="DZ74" i="76"/>
  <c r="J241" i="76" s="1"/>
  <c r="DY74" i="76"/>
  <c r="I241" i="76" s="1"/>
  <c r="DX74" i="76"/>
  <c r="H241" i="76" s="1"/>
  <c r="DW74" i="76"/>
  <c r="DV74" i="76"/>
  <c r="DU74" i="76"/>
  <c r="DT74" i="76"/>
  <c r="DS74" i="76"/>
  <c r="G241" i="76" s="1"/>
  <c r="DR74" i="76"/>
  <c r="F241" i="76" s="1"/>
  <c r="DQ74" i="76"/>
  <c r="E241" i="76" s="1"/>
  <c r="DP74" i="76"/>
  <c r="DO74" i="76"/>
  <c r="DN74" i="76"/>
  <c r="DM74" i="76"/>
  <c r="DL74" i="76"/>
  <c r="DK74" i="76"/>
  <c r="DJ74" i="76"/>
  <c r="DI74" i="76"/>
  <c r="DH74" i="76"/>
  <c r="DG74" i="76"/>
  <c r="DF74" i="76"/>
  <c r="AG241" i="76" s="1"/>
  <c r="DE74" i="76"/>
  <c r="DD74" i="76"/>
  <c r="DC74" i="76"/>
  <c r="DB74" i="76"/>
  <c r="DA74" i="76"/>
  <c r="CZ74" i="76"/>
  <c r="CY74" i="76"/>
  <c r="CX74" i="76"/>
  <c r="CW74" i="76"/>
  <c r="CV74" i="76"/>
  <c r="CU74" i="76"/>
  <c r="FL121" i="76"/>
  <c r="ET121" i="76"/>
  <c r="ES121" i="76"/>
  <c r="ER121" i="76"/>
  <c r="EQ121" i="76"/>
  <c r="EP121" i="76"/>
  <c r="EO121" i="76"/>
  <c r="EN121" i="76"/>
  <c r="U242" i="76" s="1"/>
  <c r="EM121" i="76"/>
  <c r="T242" i="76" s="1"/>
  <c r="EL121" i="76"/>
  <c r="AF242" i="76" s="1"/>
  <c r="EK121" i="76"/>
  <c r="AE242" i="76" s="1"/>
  <c r="EJ121" i="76"/>
  <c r="AD242" i="76" s="1"/>
  <c r="EI121" i="76"/>
  <c r="AC242" i="76" s="1"/>
  <c r="EH121" i="76"/>
  <c r="AB242" i="76" s="1"/>
  <c r="EG121" i="76"/>
  <c r="AA242" i="76" s="1"/>
  <c r="EF121" i="76"/>
  <c r="EE121" i="76"/>
  <c r="Z242" i="76" s="1"/>
  <c r="ED121" i="76"/>
  <c r="Y242" i="76" s="1"/>
  <c r="EC121" i="76"/>
  <c r="W242" i="76" s="1"/>
  <c r="EB121" i="76"/>
  <c r="X242" i="76" s="1"/>
  <c r="EA121" i="76"/>
  <c r="S242" i="76" s="1"/>
  <c r="DZ121" i="76"/>
  <c r="J242" i="76" s="1"/>
  <c r="DY121" i="76"/>
  <c r="I242" i="76" s="1"/>
  <c r="DX121" i="76"/>
  <c r="H242" i="76" s="1"/>
  <c r="DW121" i="76"/>
  <c r="DV121" i="76"/>
  <c r="DU121" i="76"/>
  <c r="DT121" i="76"/>
  <c r="DS121" i="76"/>
  <c r="G242" i="76" s="1"/>
  <c r="DR121" i="76"/>
  <c r="F242" i="76" s="1"/>
  <c r="DQ121" i="76"/>
  <c r="E242" i="76" s="1"/>
  <c r="DP121" i="76"/>
  <c r="DO121" i="76"/>
  <c r="DN121" i="76"/>
  <c r="DM121" i="76"/>
  <c r="DL121" i="76"/>
  <c r="DK121" i="76"/>
  <c r="DJ121" i="76"/>
  <c r="DI121" i="76"/>
  <c r="DH121" i="76"/>
  <c r="DG121" i="76"/>
  <c r="DF121" i="76"/>
  <c r="AG242" i="76" s="1"/>
  <c r="DE121" i="76"/>
  <c r="DD121" i="76"/>
  <c r="DC121" i="76"/>
  <c r="DB121" i="76"/>
  <c r="DA121" i="76"/>
  <c r="CZ121" i="76"/>
  <c r="CY121" i="76"/>
  <c r="CX121" i="76"/>
  <c r="CW121" i="76"/>
  <c r="CV121" i="76"/>
  <c r="CU121" i="76"/>
  <c r="FL166" i="76"/>
  <c r="ET166" i="76"/>
  <c r="ES166" i="76"/>
  <c r="ER166" i="76"/>
  <c r="EQ166" i="76"/>
  <c r="EP166" i="76"/>
  <c r="EO166" i="76"/>
  <c r="EN166" i="76"/>
  <c r="U243" i="76" s="1"/>
  <c r="EM166" i="76"/>
  <c r="T243" i="76" s="1"/>
  <c r="EL166" i="76"/>
  <c r="AF243" i="76" s="1"/>
  <c r="EK166" i="76"/>
  <c r="AE243" i="76" s="1"/>
  <c r="EJ166" i="76"/>
  <c r="AD243" i="76" s="1"/>
  <c r="EI166" i="76"/>
  <c r="AC243" i="76" s="1"/>
  <c r="EH166" i="76"/>
  <c r="AB243" i="76" s="1"/>
  <c r="EG166" i="76"/>
  <c r="AA243" i="76" s="1"/>
  <c r="EF166" i="76"/>
  <c r="EE166" i="76"/>
  <c r="Z243" i="76" s="1"/>
  <c r="ED166" i="76"/>
  <c r="Y243" i="76" s="1"/>
  <c r="EC166" i="76"/>
  <c r="W243" i="76" s="1"/>
  <c r="EB166" i="76"/>
  <c r="X243" i="76" s="1"/>
  <c r="EA166" i="76"/>
  <c r="S243" i="76" s="1"/>
  <c r="DZ166" i="76"/>
  <c r="J243" i="76" s="1"/>
  <c r="DY166" i="76"/>
  <c r="I243" i="76" s="1"/>
  <c r="DX166" i="76"/>
  <c r="H243" i="76" s="1"/>
  <c r="DW166" i="76"/>
  <c r="DV166" i="76"/>
  <c r="DU166" i="76"/>
  <c r="DT166" i="76"/>
  <c r="DS166" i="76"/>
  <c r="G243" i="76" s="1"/>
  <c r="DR166" i="76"/>
  <c r="F243" i="76" s="1"/>
  <c r="DQ166" i="76"/>
  <c r="E243" i="76" s="1"/>
  <c r="DP166" i="76"/>
  <c r="DO166" i="76"/>
  <c r="DN166" i="76"/>
  <c r="DM166" i="76"/>
  <c r="DL166" i="76"/>
  <c r="DK166" i="76"/>
  <c r="DJ166" i="76"/>
  <c r="DI166" i="76"/>
  <c r="DH166" i="76"/>
  <c r="DG166" i="76"/>
  <c r="DF166" i="76"/>
  <c r="AG243" i="76" s="1"/>
  <c r="DE166" i="76"/>
  <c r="DD166" i="76"/>
  <c r="DC166" i="76"/>
  <c r="DB166" i="76"/>
  <c r="DA166" i="76"/>
  <c r="CZ166" i="76"/>
  <c r="CY166" i="76"/>
  <c r="CX166" i="76"/>
  <c r="CW166" i="76"/>
  <c r="CV166" i="76"/>
  <c r="CU166" i="76"/>
  <c r="C1" i="76"/>
  <c r="E1" i="76" s="1"/>
  <c r="G1" i="76" s="1"/>
  <c r="F39" i="72"/>
  <c r="F40" i="72" s="1"/>
  <c r="E39" i="72"/>
  <c r="D39" i="72"/>
  <c r="B39" i="72"/>
  <c r="B40" i="72" s="1"/>
  <c r="D40" i="72"/>
  <c r="N9" i="72"/>
  <c r="O9" i="72" s="1"/>
  <c r="N10" i="72"/>
  <c r="O10" i="72" s="1"/>
  <c r="N11" i="72"/>
  <c r="O11" i="72" s="1"/>
  <c r="N12" i="72"/>
  <c r="O12" i="72" s="1"/>
  <c r="N8" i="72"/>
  <c r="O8" i="72" s="1"/>
  <c r="S12" i="72"/>
  <c r="S11" i="72"/>
  <c r="S10" i="72"/>
  <c r="S9" i="72"/>
  <c r="S8" i="72"/>
  <c r="S7" i="72"/>
  <c r="S6" i="72"/>
  <c r="O7" i="72"/>
  <c r="O6" i="72"/>
  <c r="EU154" i="76"/>
  <c r="EU153" i="76"/>
  <c r="EU152" i="76"/>
  <c r="EU151" i="76"/>
  <c r="EU150" i="76"/>
  <c r="EU149" i="76"/>
  <c r="EU148" i="76"/>
  <c r="EU147" i="76"/>
  <c r="EU146" i="76"/>
  <c r="EU109" i="76"/>
  <c r="EU108" i="76"/>
  <c r="EU107" i="76"/>
  <c r="EU106" i="76"/>
  <c r="EU105" i="76"/>
  <c r="EU104" i="76"/>
  <c r="EU103" i="76"/>
  <c r="EU102" i="76"/>
  <c r="EU101" i="76"/>
  <c r="EU62" i="76"/>
  <c r="EU61" i="76"/>
  <c r="EU60" i="76"/>
  <c r="EU59" i="76"/>
  <c r="EU58" i="76"/>
  <c r="EU57" i="76"/>
  <c r="EU56" i="76"/>
  <c r="EU55" i="76"/>
  <c r="EU54" i="76"/>
  <c r="BE201" i="76"/>
  <c r="BE200" i="76"/>
  <c r="BE199" i="76"/>
  <c r="BE198" i="76"/>
  <c r="BE197" i="76"/>
  <c r="BE196" i="76"/>
  <c r="BE195" i="76"/>
  <c r="BE194" i="76"/>
  <c r="BE193" i="76"/>
  <c r="BE154" i="76"/>
  <c r="BE153" i="76"/>
  <c r="BE152" i="76"/>
  <c r="BE151" i="76"/>
  <c r="BE150" i="76"/>
  <c r="BE149" i="76"/>
  <c r="BE148" i="76"/>
  <c r="BE147" i="76"/>
  <c r="BE146" i="76"/>
  <c r="BE109" i="76"/>
  <c r="BE108" i="76"/>
  <c r="BE107" i="76"/>
  <c r="BE106" i="76"/>
  <c r="BE105" i="76"/>
  <c r="BE104" i="76"/>
  <c r="BE103" i="76"/>
  <c r="BE102" i="76"/>
  <c r="BE101" i="76"/>
  <c r="BE62" i="76"/>
  <c r="BE61" i="76"/>
  <c r="BE60" i="76"/>
  <c r="BE59" i="76"/>
  <c r="BE58" i="76"/>
  <c r="BE57" i="76"/>
  <c r="BE56" i="76"/>
  <c r="BE55" i="76"/>
  <c r="BE54" i="76"/>
  <c r="BE9" i="76"/>
  <c r="BE10" i="76"/>
  <c r="BE11" i="76"/>
  <c r="BE12" i="76"/>
  <c r="BE13" i="76"/>
  <c r="BE14" i="76"/>
  <c r="BE15" i="76"/>
  <c r="BE16" i="76"/>
  <c r="BE17" i="76"/>
  <c r="BH35" i="74"/>
  <c r="BI35" i="74"/>
  <c r="BJ35" i="74"/>
  <c r="BH36" i="74"/>
  <c r="BI36" i="74"/>
  <c r="BJ36" i="74"/>
  <c r="BH37" i="74"/>
  <c r="BI37" i="74"/>
  <c r="BJ37" i="74"/>
  <c r="BH38" i="74"/>
  <c r="BI38" i="74"/>
  <c r="BJ38" i="74"/>
  <c r="BH39" i="74"/>
  <c r="BI39" i="74"/>
  <c r="BJ39" i="74"/>
  <c r="BH40" i="74"/>
  <c r="BI40" i="74"/>
  <c r="BJ40" i="74"/>
  <c r="BH41" i="74"/>
  <c r="BI41" i="74"/>
  <c r="BJ41" i="74"/>
  <c r="BH42" i="74"/>
  <c r="BI42" i="74"/>
  <c r="BJ42" i="74"/>
  <c r="BH43" i="74"/>
  <c r="BI43" i="74"/>
  <c r="BJ43" i="74"/>
  <c r="BH44" i="74"/>
  <c r="BI44" i="74"/>
  <c r="BJ44" i="74"/>
  <c r="BH45" i="74"/>
  <c r="BI45" i="74"/>
  <c r="BJ45" i="74"/>
  <c r="BH46" i="74"/>
  <c r="BI46" i="74"/>
  <c r="BJ46" i="74"/>
  <c r="BH47" i="74"/>
  <c r="BI47" i="74"/>
  <c r="BJ47" i="74"/>
  <c r="BH48" i="74"/>
  <c r="BI48" i="74"/>
  <c r="BJ48" i="74"/>
  <c r="BH49" i="74"/>
  <c r="BI49" i="74"/>
  <c r="BJ49" i="74"/>
  <c r="BH50" i="74"/>
  <c r="BI50" i="74"/>
  <c r="BJ50" i="74"/>
  <c r="BH51" i="74"/>
  <c r="BI51" i="74"/>
  <c r="BJ51" i="74"/>
  <c r="BH52" i="74"/>
  <c r="BI52" i="74"/>
  <c r="BJ52" i="74"/>
  <c r="BH53" i="74"/>
  <c r="BI53" i="74"/>
  <c r="BJ53" i="74"/>
  <c r="AW35" i="74"/>
  <c r="AX35" i="74"/>
  <c r="AY35" i="74"/>
  <c r="AW36" i="74"/>
  <c r="AX36" i="74"/>
  <c r="AY36" i="74"/>
  <c r="AW37" i="74"/>
  <c r="AX37" i="74"/>
  <c r="AY37" i="74"/>
  <c r="AW38" i="74"/>
  <c r="AX38" i="74"/>
  <c r="AY38" i="74"/>
  <c r="AW39" i="74"/>
  <c r="AX39" i="74"/>
  <c r="AY39" i="74"/>
  <c r="AW40" i="74"/>
  <c r="AX40" i="74"/>
  <c r="AY40" i="74"/>
  <c r="AW41" i="74"/>
  <c r="AX41" i="74"/>
  <c r="AY41" i="74"/>
  <c r="AW42" i="74"/>
  <c r="AX42" i="74"/>
  <c r="AY42" i="74"/>
  <c r="AW43" i="74"/>
  <c r="AX43" i="74"/>
  <c r="AY43" i="74"/>
  <c r="AW44" i="74"/>
  <c r="AX44" i="74"/>
  <c r="AY44" i="74"/>
  <c r="AW45" i="74"/>
  <c r="AX45" i="74"/>
  <c r="AY45" i="74"/>
  <c r="AW46" i="74"/>
  <c r="AX46" i="74"/>
  <c r="AY46" i="74"/>
  <c r="AW47" i="74"/>
  <c r="AX47" i="74"/>
  <c r="AY47" i="74"/>
  <c r="AW48" i="74"/>
  <c r="AX48" i="74"/>
  <c r="AY48" i="74"/>
  <c r="AW49" i="74"/>
  <c r="AX49" i="74"/>
  <c r="AY49" i="74"/>
  <c r="AW50" i="74"/>
  <c r="AX50" i="74"/>
  <c r="AY50" i="74"/>
  <c r="AW51" i="74"/>
  <c r="AX51" i="74"/>
  <c r="AY51" i="74"/>
  <c r="AW52" i="74"/>
  <c r="AX52" i="74"/>
  <c r="AY52" i="74"/>
  <c r="AW53" i="74"/>
  <c r="AX53" i="74"/>
  <c r="AY53" i="74"/>
  <c r="AL35" i="74"/>
  <c r="AM35" i="74"/>
  <c r="AN35" i="74"/>
  <c r="AL36" i="74"/>
  <c r="AM36" i="74"/>
  <c r="AN36" i="74"/>
  <c r="AL37" i="74"/>
  <c r="AM37" i="74"/>
  <c r="AN37" i="74"/>
  <c r="AL38" i="74"/>
  <c r="AM38" i="74"/>
  <c r="AN38" i="74"/>
  <c r="AL39" i="74"/>
  <c r="AM39" i="74"/>
  <c r="AN39" i="74"/>
  <c r="AL40" i="74"/>
  <c r="AM40" i="74"/>
  <c r="AN40" i="74"/>
  <c r="AL41" i="74"/>
  <c r="AM41" i="74"/>
  <c r="AN41" i="74"/>
  <c r="AL42" i="74"/>
  <c r="AM42" i="74"/>
  <c r="AN42" i="74"/>
  <c r="AL43" i="74"/>
  <c r="AM43" i="74"/>
  <c r="AN43" i="74"/>
  <c r="AL44" i="74"/>
  <c r="AM44" i="74"/>
  <c r="AN44" i="74"/>
  <c r="AL45" i="74"/>
  <c r="AM45" i="74"/>
  <c r="AN45" i="74"/>
  <c r="AL46" i="74"/>
  <c r="AM46" i="74"/>
  <c r="AN46" i="74"/>
  <c r="AL47" i="74"/>
  <c r="AM47" i="74"/>
  <c r="AN47" i="74"/>
  <c r="AL48" i="74"/>
  <c r="AM48" i="74"/>
  <c r="AN48" i="74"/>
  <c r="AL49" i="74"/>
  <c r="AM49" i="74"/>
  <c r="AN49" i="74"/>
  <c r="AL50" i="74"/>
  <c r="AM50" i="74"/>
  <c r="AN50" i="74"/>
  <c r="AL51" i="74"/>
  <c r="AM51" i="74"/>
  <c r="AN51" i="74"/>
  <c r="AL52" i="74"/>
  <c r="AM52" i="74"/>
  <c r="AN52" i="74"/>
  <c r="AL53" i="74"/>
  <c r="AM53" i="74"/>
  <c r="AN53" i="74"/>
  <c r="AW7" i="74"/>
  <c r="AX7" i="74"/>
  <c r="AY7" i="74"/>
  <c r="AW8" i="74"/>
  <c r="AX8" i="74"/>
  <c r="AY8" i="74"/>
  <c r="AW9" i="74"/>
  <c r="AX9" i="74"/>
  <c r="AY9" i="74"/>
  <c r="AW10" i="74"/>
  <c r="AX10" i="74"/>
  <c r="AY10" i="74"/>
  <c r="AW11" i="74"/>
  <c r="AX11" i="74"/>
  <c r="AY11" i="74"/>
  <c r="AW12" i="74"/>
  <c r="AX12" i="74"/>
  <c r="AY12" i="74"/>
  <c r="AW13" i="74"/>
  <c r="AX13" i="74"/>
  <c r="AY13" i="74"/>
  <c r="AW14" i="74"/>
  <c r="AX14" i="74"/>
  <c r="AY14" i="74"/>
  <c r="AW15" i="74"/>
  <c r="AX15" i="74"/>
  <c r="AY15" i="74"/>
  <c r="AW16" i="74"/>
  <c r="AX16" i="74"/>
  <c r="AY16" i="74"/>
  <c r="AW17" i="74"/>
  <c r="AX17" i="74"/>
  <c r="AY17" i="74"/>
  <c r="AW18" i="74"/>
  <c r="AX18" i="74"/>
  <c r="AY18" i="74"/>
  <c r="AW19" i="74"/>
  <c r="AX19" i="74"/>
  <c r="AY19" i="74"/>
  <c r="AW20" i="74"/>
  <c r="AX20" i="74"/>
  <c r="AY20" i="74"/>
  <c r="AW21" i="74"/>
  <c r="AX21" i="74"/>
  <c r="AY21" i="74"/>
  <c r="AW22" i="74"/>
  <c r="AX22" i="74"/>
  <c r="AY22" i="74"/>
  <c r="AW23" i="74"/>
  <c r="AX23" i="74"/>
  <c r="AY23" i="74"/>
  <c r="AW24" i="74"/>
  <c r="AX24" i="74"/>
  <c r="AY24" i="74"/>
  <c r="AW25" i="74"/>
  <c r="AX25" i="74"/>
  <c r="AY25" i="74"/>
  <c r="AL7" i="74"/>
  <c r="AM7" i="74"/>
  <c r="AN7" i="74"/>
  <c r="AL8" i="74"/>
  <c r="AM8" i="74"/>
  <c r="AN8" i="74"/>
  <c r="AL9" i="74"/>
  <c r="AM9" i="74"/>
  <c r="AN9" i="74"/>
  <c r="AL10" i="74"/>
  <c r="AM10" i="74"/>
  <c r="AN10" i="74"/>
  <c r="AL11" i="74"/>
  <c r="AM11" i="74"/>
  <c r="AN11" i="74"/>
  <c r="AL12" i="74"/>
  <c r="AM12" i="74"/>
  <c r="AN12" i="74"/>
  <c r="AL13" i="74"/>
  <c r="AM13" i="74"/>
  <c r="AN13" i="74"/>
  <c r="AL14" i="74"/>
  <c r="AM14" i="74"/>
  <c r="AN14" i="74"/>
  <c r="AL15" i="74"/>
  <c r="AM15" i="74"/>
  <c r="AN15" i="74"/>
  <c r="AL16" i="74"/>
  <c r="AM16" i="74"/>
  <c r="AN16" i="74"/>
  <c r="AL17" i="74"/>
  <c r="AM17" i="74"/>
  <c r="AN17" i="74"/>
  <c r="AL18" i="74"/>
  <c r="AM18" i="74"/>
  <c r="AN18" i="74"/>
  <c r="AL19" i="74"/>
  <c r="AM19" i="74"/>
  <c r="AN19" i="74"/>
  <c r="AL20" i="74"/>
  <c r="AM20" i="74"/>
  <c r="AN20" i="74"/>
  <c r="AL21" i="74"/>
  <c r="AM21" i="74"/>
  <c r="AN21" i="74"/>
  <c r="AL22" i="74"/>
  <c r="AM22" i="74"/>
  <c r="AN22" i="74"/>
  <c r="AL23" i="74"/>
  <c r="AM23" i="74"/>
  <c r="AN23" i="74"/>
  <c r="AL24" i="74"/>
  <c r="AM24" i="74"/>
  <c r="AN24" i="74"/>
  <c r="AL25" i="74"/>
  <c r="AM25" i="74"/>
  <c r="AN25" i="74"/>
  <c r="AA35" i="74"/>
  <c r="AB35" i="74"/>
  <c r="AC35" i="74"/>
  <c r="AA36" i="74"/>
  <c r="AB36" i="74"/>
  <c r="AC36" i="74"/>
  <c r="AA37" i="74"/>
  <c r="AB37" i="74"/>
  <c r="AC37" i="74"/>
  <c r="AA38" i="74"/>
  <c r="AB38" i="74"/>
  <c r="AC38" i="74"/>
  <c r="AA39" i="74"/>
  <c r="AB39" i="74"/>
  <c r="AC39" i="74"/>
  <c r="AA40" i="74"/>
  <c r="AB40" i="74"/>
  <c r="AC40" i="74"/>
  <c r="AA41" i="74"/>
  <c r="AB41" i="74"/>
  <c r="AC41" i="74"/>
  <c r="AA42" i="74"/>
  <c r="AB42" i="74"/>
  <c r="AC42" i="74"/>
  <c r="AA43" i="74"/>
  <c r="AB43" i="74"/>
  <c r="AC43" i="74"/>
  <c r="AA44" i="74"/>
  <c r="AB44" i="74"/>
  <c r="AC44" i="74"/>
  <c r="AA45" i="74"/>
  <c r="AB45" i="74"/>
  <c r="AC45" i="74"/>
  <c r="AA46" i="74"/>
  <c r="AB46" i="74"/>
  <c r="AC46" i="74"/>
  <c r="AA47" i="74"/>
  <c r="AB47" i="74"/>
  <c r="AC47" i="74"/>
  <c r="AA48" i="74"/>
  <c r="AB48" i="74"/>
  <c r="AC48" i="74"/>
  <c r="AA49" i="74"/>
  <c r="AB49" i="74"/>
  <c r="AC49" i="74"/>
  <c r="AA50" i="74"/>
  <c r="AB50" i="74"/>
  <c r="AC50" i="74"/>
  <c r="AA51" i="74"/>
  <c r="AB51" i="74"/>
  <c r="AC51" i="74"/>
  <c r="AA52" i="74"/>
  <c r="AB52" i="74"/>
  <c r="AC52" i="74"/>
  <c r="AA53" i="74"/>
  <c r="AB53" i="74"/>
  <c r="AC53" i="74"/>
  <c r="Q35" i="74"/>
  <c r="R35" i="74"/>
  <c r="S35" i="74"/>
  <c r="Q36" i="74"/>
  <c r="R36" i="74"/>
  <c r="S36" i="74"/>
  <c r="Q37" i="74"/>
  <c r="R37" i="74"/>
  <c r="S37" i="74"/>
  <c r="Q38" i="74"/>
  <c r="R38" i="74"/>
  <c r="S38" i="74"/>
  <c r="Q39" i="74"/>
  <c r="R39" i="74"/>
  <c r="S39" i="74"/>
  <c r="Q40" i="74"/>
  <c r="R40" i="74"/>
  <c r="S40" i="74"/>
  <c r="Q41" i="74"/>
  <c r="R41" i="74"/>
  <c r="S41" i="74"/>
  <c r="Q42" i="74"/>
  <c r="R42" i="74"/>
  <c r="S42" i="74"/>
  <c r="Q43" i="74"/>
  <c r="R43" i="74"/>
  <c r="S43" i="74"/>
  <c r="Q44" i="74"/>
  <c r="R44" i="74"/>
  <c r="S44" i="74"/>
  <c r="Q45" i="74"/>
  <c r="R45" i="74"/>
  <c r="S45" i="74"/>
  <c r="Q46" i="74"/>
  <c r="R46" i="74"/>
  <c r="S46" i="74"/>
  <c r="Q47" i="74"/>
  <c r="R47" i="74"/>
  <c r="S47" i="74"/>
  <c r="Q48" i="74"/>
  <c r="R48" i="74"/>
  <c r="S48" i="74"/>
  <c r="Q49" i="74"/>
  <c r="R49" i="74"/>
  <c r="S49" i="74"/>
  <c r="Q50" i="74"/>
  <c r="R50" i="74"/>
  <c r="S50" i="74"/>
  <c r="Q51" i="74"/>
  <c r="R51" i="74"/>
  <c r="S51" i="74"/>
  <c r="Q52" i="74"/>
  <c r="R52" i="74"/>
  <c r="S52" i="74"/>
  <c r="Q53" i="74"/>
  <c r="R53" i="74"/>
  <c r="S53" i="74"/>
  <c r="G35" i="74"/>
  <c r="H35" i="74"/>
  <c r="I35" i="74"/>
  <c r="G36" i="74"/>
  <c r="H36" i="74"/>
  <c r="I36" i="74"/>
  <c r="G37" i="74"/>
  <c r="H37" i="74"/>
  <c r="I37" i="74"/>
  <c r="G38" i="74"/>
  <c r="H38" i="74"/>
  <c r="I38" i="74"/>
  <c r="G39" i="74"/>
  <c r="H39" i="74"/>
  <c r="I39" i="74"/>
  <c r="G40" i="74"/>
  <c r="H40" i="74"/>
  <c r="I40" i="74"/>
  <c r="G41" i="74"/>
  <c r="H41" i="74"/>
  <c r="I41" i="74"/>
  <c r="G42" i="74"/>
  <c r="H42" i="74"/>
  <c r="I42" i="74"/>
  <c r="G43" i="74"/>
  <c r="H43" i="74"/>
  <c r="I43" i="74"/>
  <c r="G44" i="74"/>
  <c r="H44" i="74"/>
  <c r="I44" i="74"/>
  <c r="G45" i="74"/>
  <c r="H45" i="74"/>
  <c r="I45" i="74"/>
  <c r="G46" i="74"/>
  <c r="H46" i="74"/>
  <c r="I46" i="74"/>
  <c r="G47" i="74"/>
  <c r="H47" i="74"/>
  <c r="I47" i="74"/>
  <c r="G48" i="74"/>
  <c r="H48" i="74"/>
  <c r="I48" i="74"/>
  <c r="G49" i="74"/>
  <c r="H49" i="74"/>
  <c r="I49" i="74"/>
  <c r="G50" i="74"/>
  <c r="H50" i="74"/>
  <c r="I50" i="74"/>
  <c r="G51" i="74"/>
  <c r="H51" i="74"/>
  <c r="I51" i="74"/>
  <c r="G52" i="74"/>
  <c r="H52" i="74"/>
  <c r="I52" i="74"/>
  <c r="G53" i="74"/>
  <c r="H53" i="74"/>
  <c r="I53" i="74"/>
  <c r="AA7" i="74"/>
  <c r="AB7" i="74"/>
  <c r="AC7" i="74"/>
  <c r="AA8" i="74"/>
  <c r="AB8" i="74"/>
  <c r="AC8" i="74"/>
  <c r="AA9" i="74"/>
  <c r="AB9" i="74"/>
  <c r="AC9" i="74"/>
  <c r="AA10" i="74"/>
  <c r="AB10" i="74"/>
  <c r="AC10" i="74"/>
  <c r="AA11" i="74"/>
  <c r="AB11" i="74"/>
  <c r="AC11" i="74"/>
  <c r="AA12" i="74"/>
  <c r="AB12" i="74"/>
  <c r="AC12" i="74"/>
  <c r="AA13" i="74"/>
  <c r="AB13" i="74"/>
  <c r="AC13" i="74"/>
  <c r="AA14" i="74"/>
  <c r="AB14" i="74"/>
  <c r="AC14" i="74"/>
  <c r="AA15" i="74"/>
  <c r="AB15" i="74"/>
  <c r="AC15" i="74"/>
  <c r="AA16" i="74"/>
  <c r="AB16" i="74"/>
  <c r="AC16" i="74"/>
  <c r="AA17" i="74"/>
  <c r="AB17" i="74"/>
  <c r="AC17" i="74"/>
  <c r="AA18" i="74"/>
  <c r="AB18" i="74"/>
  <c r="AC18" i="74"/>
  <c r="AA19" i="74"/>
  <c r="AB19" i="74"/>
  <c r="AC19" i="74"/>
  <c r="AA20" i="74"/>
  <c r="AB20" i="74"/>
  <c r="AC20" i="74"/>
  <c r="AA21" i="74"/>
  <c r="AB21" i="74"/>
  <c r="AC21" i="74"/>
  <c r="AA22" i="74"/>
  <c r="AB22" i="74"/>
  <c r="AC22" i="74"/>
  <c r="AA23" i="74"/>
  <c r="AB23" i="74"/>
  <c r="AC23" i="74"/>
  <c r="AA24" i="74"/>
  <c r="AB24" i="74"/>
  <c r="AC24" i="74"/>
  <c r="AA25" i="74"/>
  <c r="AB25" i="74"/>
  <c r="AC25" i="74"/>
  <c r="Q7" i="74"/>
  <c r="R7" i="74"/>
  <c r="S7" i="74"/>
  <c r="Q8" i="74"/>
  <c r="R8" i="74"/>
  <c r="S8" i="74"/>
  <c r="Q9" i="74"/>
  <c r="R9" i="74"/>
  <c r="S9" i="74"/>
  <c r="Q10" i="74"/>
  <c r="R10" i="74"/>
  <c r="S10" i="74"/>
  <c r="Q11" i="74"/>
  <c r="R11" i="74"/>
  <c r="S11" i="74"/>
  <c r="Q12" i="74"/>
  <c r="R12" i="74"/>
  <c r="S12" i="74"/>
  <c r="Q13" i="74"/>
  <c r="R13" i="74"/>
  <c r="S13" i="74"/>
  <c r="Q14" i="74"/>
  <c r="R14" i="74"/>
  <c r="S14" i="74"/>
  <c r="Q15" i="74"/>
  <c r="R15" i="74"/>
  <c r="S15" i="74"/>
  <c r="Q16" i="74"/>
  <c r="R16" i="74"/>
  <c r="S16" i="74"/>
  <c r="Q17" i="74"/>
  <c r="R17" i="74"/>
  <c r="S17" i="74"/>
  <c r="Q18" i="74"/>
  <c r="R18" i="74"/>
  <c r="S18" i="74"/>
  <c r="Q19" i="74"/>
  <c r="R19" i="74"/>
  <c r="S19" i="74"/>
  <c r="Q20" i="74"/>
  <c r="R20" i="74"/>
  <c r="S20" i="74"/>
  <c r="Q21" i="74"/>
  <c r="R21" i="74"/>
  <c r="S21" i="74"/>
  <c r="Q22" i="74"/>
  <c r="R22" i="74"/>
  <c r="S22" i="74"/>
  <c r="Q23" i="74"/>
  <c r="R23" i="74"/>
  <c r="S23" i="74"/>
  <c r="Q24" i="74"/>
  <c r="R24" i="74"/>
  <c r="S24" i="74"/>
  <c r="Q25" i="74"/>
  <c r="R25" i="74"/>
  <c r="S25" i="74"/>
  <c r="I7" i="74"/>
  <c r="I8" i="74"/>
  <c r="I9" i="74"/>
  <c r="I10" i="74"/>
  <c r="I11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H7" i="74"/>
  <c r="H8" i="74"/>
  <c r="H9" i="74"/>
  <c r="H10" i="74"/>
  <c r="H11" i="74"/>
  <c r="H12" i="74"/>
  <c r="H13" i="74"/>
  <c r="H14" i="74"/>
  <c r="H15" i="74"/>
  <c r="H16" i="74"/>
  <c r="H17" i="74"/>
  <c r="H18" i="74"/>
  <c r="H19" i="74"/>
  <c r="H20" i="74"/>
  <c r="H21" i="74"/>
  <c r="H22" i="74"/>
  <c r="H23" i="74"/>
  <c r="H24" i="74"/>
  <c r="H25" i="74"/>
  <c r="G7" i="74"/>
  <c r="G8" i="74"/>
  <c r="G9" i="74"/>
  <c r="G10" i="74"/>
  <c r="G11" i="74"/>
  <c r="G12" i="74"/>
  <c r="G13" i="74"/>
  <c r="G14" i="74"/>
  <c r="G15" i="74"/>
  <c r="G16" i="74"/>
  <c r="G17" i="74"/>
  <c r="G18" i="74"/>
  <c r="G19" i="74"/>
  <c r="G20" i="74"/>
  <c r="G21" i="74"/>
  <c r="G22" i="74"/>
  <c r="G23" i="74"/>
  <c r="G24" i="74"/>
  <c r="G25" i="74"/>
  <c r="FU164" i="76"/>
  <c r="FT164" i="76"/>
  <c r="FS164" i="76"/>
  <c r="FK164" i="76"/>
  <c r="FI164" i="76"/>
  <c r="FJ164" i="76" s="1"/>
  <c r="FH164" i="76"/>
  <c r="EX164" i="76"/>
  <c r="CF25" i="74" s="1"/>
  <c r="EW164" i="76"/>
  <c r="BU25" i="74" s="1"/>
  <c r="EV164" i="76"/>
  <c r="BJ25" i="74" s="1"/>
  <c r="FU163" i="76"/>
  <c r="FT163" i="76"/>
  <c r="FS163" i="76"/>
  <c r="FK163" i="76"/>
  <c r="FI163" i="76"/>
  <c r="FJ163" i="76" s="1"/>
  <c r="FH163" i="76"/>
  <c r="EX163" i="76"/>
  <c r="CF24" i="74" s="1"/>
  <c r="EW163" i="76"/>
  <c r="BU24" i="74" s="1"/>
  <c r="EV163" i="76"/>
  <c r="BJ24" i="74" s="1"/>
  <c r="FU162" i="76"/>
  <c r="FT162" i="76"/>
  <c r="FS162" i="76"/>
  <c r="FK162" i="76"/>
  <c r="FI162" i="76"/>
  <c r="FJ162" i="76" s="1"/>
  <c r="FH162" i="76"/>
  <c r="EX162" i="76"/>
  <c r="CF23" i="74" s="1"/>
  <c r="EW162" i="76"/>
  <c r="BU23" i="74" s="1"/>
  <c r="EV162" i="76"/>
  <c r="BJ23" i="74" s="1"/>
  <c r="FU161" i="76"/>
  <c r="FT161" i="76"/>
  <c r="FS161" i="76"/>
  <c r="FK161" i="76"/>
  <c r="FI161" i="76"/>
  <c r="FJ161" i="76" s="1"/>
  <c r="FH161" i="76"/>
  <c r="EX161" i="76"/>
  <c r="CF22" i="74" s="1"/>
  <c r="EW161" i="76"/>
  <c r="BU22" i="74" s="1"/>
  <c r="EV161" i="76"/>
  <c r="BJ22" i="74" s="1"/>
  <c r="FU160" i="76"/>
  <c r="FT160" i="76"/>
  <c r="FS160" i="76"/>
  <c r="FK160" i="76"/>
  <c r="FI160" i="76"/>
  <c r="FJ160" i="76" s="1"/>
  <c r="FH160" i="76"/>
  <c r="EX160" i="76"/>
  <c r="CF21" i="74" s="1"/>
  <c r="EW160" i="76"/>
  <c r="BU21" i="74" s="1"/>
  <c r="EV160" i="76"/>
  <c r="BJ21" i="74" s="1"/>
  <c r="FU159" i="76"/>
  <c r="FT159" i="76"/>
  <c r="FS159" i="76"/>
  <c r="FK159" i="76"/>
  <c r="FI159" i="76"/>
  <c r="FJ159" i="76" s="1"/>
  <c r="FH159" i="76"/>
  <c r="EX159" i="76"/>
  <c r="CF20" i="74" s="1"/>
  <c r="EW159" i="76"/>
  <c r="BU20" i="74" s="1"/>
  <c r="EV159" i="76"/>
  <c r="BJ20" i="74" s="1"/>
  <c r="FU158" i="76"/>
  <c r="FT158" i="76"/>
  <c r="FS158" i="76"/>
  <c r="FK158" i="76"/>
  <c r="FI158" i="76"/>
  <c r="FJ158" i="76" s="1"/>
  <c r="FH158" i="76"/>
  <c r="EX158" i="76"/>
  <c r="CF19" i="74" s="1"/>
  <c r="EW158" i="76"/>
  <c r="BU19" i="74" s="1"/>
  <c r="EV158" i="76"/>
  <c r="BJ19" i="74" s="1"/>
  <c r="FU157" i="76"/>
  <c r="FT157" i="76"/>
  <c r="FS157" i="76"/>
  <c r="FK157" i="76"/>
  <c r="FI157" i="76"/>
  <c r="FJ157" i="76" s="1"/>
  <c r="FH157" i="76"/>
  <c r="EX157" i="76"/>
  <c r="CF18" i="74" s="1"/>
  <c r="EW157" i="76"/>
  <c r="BU18" i="74" s="1"/>
  <c r="EV157" i="76"/>
  <c r="BJ18" i="74" s="1"/>
  <c r="FU156" i="76"/>
  <c r="FT156" i="76"/>
  <c r="FS156" i="76"/>
  <c r="FK156" i="76"/>
  <c r="FI156" i="76"/>
  <c r="FJ156" i="76" s="1"/>
  <c r="FH156" i="76"/>
  <c r="EX156" i="76"/>
  <c r="CF17" i="74" s="1"/>
  <c r="EW156" i="76"/>
  <c r="BU17" i="74" s="1"/>
  <c r="EV156" i="76"/>
  <c r="BJ17" i="74" s="1"/>
  <c r="FU155" i="76"/>
  <c r="FT155" i="76"/>
  <c r="FS155" i="76"/>
  <c r="FK155" i="76"/>
  <c r="FI155" i="76"/>
  <c r="FJ155" i="76" s="1"/>
  <c r="FH155" i="76"/>
  <c r="FG155" i="76"/>
  <c r="EX155" i="76"/>
  <c r="CF16" i="74" s="1"/>
  <c r="EW155" i="76"/>
  <c r="BU16" i="74" s="1"/>
  <c r="EV155" i="76"/>
  <c r="BJ16" i="74" s="1"/>
  <c r="FU154" i="76"/>
  <c r="FT154" i="76"/>
  <c r="FS154" i="76"/>
  <c r="FK154" i="76"/>
  <c r="FI154" i="76"/>
  <c r="FJ154" i="76" s="1"/>
  <c r="FH154" i="76"/>
  <c r="EX154" i="76"/>
  <c r="CF15" i="74" s="1"/>
  <c r="EW154" i="76"/>
  <c r="BU15" i="74" s="1"/>
  <c r="EV154" i="76"/>
  <c r="BJ15" i="74" s="1"/>
  <c r="FU153" i="76"/>
  <c r="FT153" i="76"/>
  <c r="FS153" i="76"/>
  <c r="FK153" i="76"/>
  <c r="FI153" i="76"/>
  <c r="FJ153" i="76" s="1"/>
  <c r="FH153" i="76"/>
  <c r="EX153" i="76"/>
  <c r="CF14" i="74" s="1"/>
  <c r="EW153" i="76"/>
  <c r="BU14" i="74" s="1"/>
  <c r="EV153" i="76"/>
  <c r="BJ14" i="74" s="1"/>
  <c r="FU152" i="76"/>
  <c r="FT152" i="76"/>
  <c r="FS152" i="76"/>
  <c r="FK152" i="76"/>
  <c r="FI152" i="76"/>
  <c r="FJ152" i="76" s="1"/>
  <c r="FH152" i="76"/>
  <c r="EX152" i="76"/>
  <c r="CF13" i="74" s="1"/>
  <c r="EW152" i="76"/>
  <c r="BU13" i="74" s="1"/>
  <c r="EV152" i="76"/>
  <c r="BJ13" i="74" s="1"/>
  <c r="FU151" i="76"/>
  <c r="FT151" i="76"/>
  <c r="FS151" i="76"/>
  <c r="FK151" i="76"/>
  <c r="FI151" i="76"/>
  <c r="FJ151" i="76" s="1"/>
  <c r="FH151" i="76"/>
  <c r="EX151" i="76"/>
  <c r="CF12" i="74" s="1"/>
  <c r="EW151" i="76"/>
  <c r="BU12" i="74" s="1"/>
  <c r="EV151" i="76"/>
  <c r="BJ12" i="74" s="1"/>
  <c r="FU150" i="76"/>
  <c r="FT150" i="76"/>
  <c r="FS150" i="76"/>
  <c r="FK150" i="76"/>
  <c r="FI150" i="76"/>
  <c r="FJ150" i="76" s="1"/>
  <c r="FH150" i="76"/>
  <c r="FG150" i="76"/>
  <c r="EX150" i="76"/>
  <c r="CF11" i="74" s="1"/>
  <c r="EW150" i="76"/>
  <c r="BU11" i="74" s="1"/>
  <c r="EV150" i="76"/>
  <c r="BJ11" i="74" s="1"/>
  <c r="FU149" i="76"/>
  <c r="FT149" i="76"/>
  <c r="FS149" i="76"/>
  <c r="FK149" i="76"/>
  <c r="FI149" i="76"/>
  <c r="FJ149" i="76" s="1"/>
  <c r="FH149" i="76"/>
  <c r="FG149" i="76"/>
  <c r="EX149" i="76"/>
  <c r="CF10" i="74" s="1"/>
  <c r="EW149" i="76"/>
  <c r="BU10" i="74" s="1"/>
  <c r="EV149" i="76"/>
  <c r="BJ10" i="74" s="1"/>
  <c r="FU148" i="76"/>
  <c r="FT148" i="76"/>
  <c r="FS148" i="76"/>
  <c r="FK148" i="76"/>
  <c r="FI148" i="76"/>
  <c r="FJ148" i="76" s="1"/>
  <c r="FH148" i="76"/>
  <c r="FG148" i="76"/>
  <c r="EX148" i="76"/>
  <c r="CF9" i="74" s="1"/>
  <c r="EW148" i="76"/>
  <c r="BU9" i="74" s="1"/>
  <c r="EV148" i="76"/>
  <c r="BJ9" i="74" s="1"/>
  <c r="FU147" i="76"/>
  <c r="FT147" i="76"/>
  <c r="FS147" i="76"/>
  <c r="FK147" i="76"/>
  <c r="FI147" i="76"/>
  <c r="FJ147" i="76" s="1"/>
  <c r="FH147" i="76"/>
  <c r="FG147" i="76"/>
  <c r="EX147" i="76"/>
  <c r="CF8" i="74" s="1"/>
  <c r="EW147" i="76"/>
  <c r="BU8" i="74" s="1"/>
  <c r="EV147" i="76"/>
  <c r="BJ8" i="74" s="1"/>
  <c r="FU146" i="76"/>
  <c r="FT146" i="76"/>
  <c r="FS146" i="76"/>
  <c r="FK146" i="76"/>
  <c r="FI146" i="76"/>
  <c r="FJ146" i="76" s="1"/>
  <c r="FH146" i="76"/>
  <c r="FG146" i="76"/>
  <c r="EX146" i="76"/>
  <c r="CF7" i="74" s="1"/>
  <c r="EW146" i="76"/>
  <c r="BU7" i="74" s="1"/>
  <c r="EV146" i="76"/>
  <c r="BJ7" i="74" s="1"/>
  <c r="FU119" i="76"/>
  <c r="FT119" i="76"/>
  <c r="FS119" i="76"/>
  <c r="FK119" i="76"/>
  <c r="FI119" i="76"/>
  <c r="FJ119" i="76" s="1"/>
  <c r="FH119" i="76"/>
  <c r="EX119" i="76"/>
  <c r="CE25" i="74" s="1"/>
  <c r="EW119" i="76"/>
  <c r="BT25" i="74" s="1"/>
  <c r="EV119" i="76"/>
  <c r="BI25" i="74" s="1"/>
  <c r="FU118" i="76"/>
  <c r="FT118" i="76"/>
  <c r="FS118" i="76"/>
  <c r="FK118" i="76"/>
  <c r="FI118" i="76"/>
  <c r="FJ118" i="76" s="1"/>
  <c r="FH118" i="76"/>
  <c r="EX118" i="76"/>
  <c r="CE24" i="74" s="1"/>
  <c r="EW118" i="76"/>
  <c r="BT24" i="74" s="1"/>
  <c r="EV118" i="76"/>
  <c r="BI24" i="74" s="1"/>
  <c r="FU117" i="76"/>
  <c r="FT117" i="76"/>
  <c r="FS117" i="76"/>
  <c r="FK117" i="76"/>
  <c r="FI117" i="76"/>
  <c r="FJ117" i="76" s="1"/>
  <c r="FH117" i="76"/>
  <c r="EX117" i="76"/>
  <c r="CE23" i="74" s="1"/>
  <c r="EW117" i="76"/>
  <c r="BT23" i="74" s="1"/>
  <c r="EV117" i="76"/>
  <c r="BI23" i="74" s="1"/>
  <c r="FU116" i="76"/>
  <c r="FT116" i="76"/>
  <c r="FS116" i="76"/>
  <c r="FK116" i="76"/>
  <c r="FI116" i="76"/>
  <c r="FJ116" i="76" s="1"/>
  <c r="FH116" i="76"/>
  <c r="EX116" i="76"/>
  <c r="CE22" i="74" s="1"/>
  <c r="EW116" i="76"/>
  <c r="BT22" i="74" s="1"/>
  <c r="EV116" i="76"/>
  <c r="BI22" i="74" s="1"/>
  <c r="FU115" i="76"/>
  <c r="FT115" i="76"/>
  <c r="FS115" i="76"/>
  <c r="FK115" i="76"/>
  <c r="FI115" i="76"/>
  <c r="FJ115" i="76" s="1"/>
  <c r="FH115" i="76"/>
  <c r="EX115" i="76"/>
  <c r="CE21" i="74" s="1"/>
  <c r="EW115" i="76"/>
  <c r="BT21" i="74" s="1"/>
  <c r="EV115" i="76"/>
  <c r="BI21" i="74" s="1"/>
  <c r="FU114" i="76"/>
  <c r="FT114" i="76"/>
  <c r="FS114" i="76"/>
  <c r="FK114" i="76"/>
  <c r="FI114" i="76"/>
  <c r="FJ114" i="76" s="1"/>
  <c r="FH114" i="76"/>
  <c r="EX114" i="76"/>
  <c r="CE20" i="74" s="1"/>
  <c r="EW114" i="76"/>
  <c r="BT20" i="74" s="1"/>
  <c r="EV114" i="76"/>
  <c r="BI20" i="74" s="1"/>
  <c r="FU113" i="76"/>
  <c r="FT113" i="76"/>
  <c r="FS113" i="76"/>
  <c r="FK113" i="76"/>
  <c r="FI113" i="76"/>
  <c r="FJ113" i="76" s="1"/>
  <c r="FH113" i="76"/>
  <c r="EX113" i="76"/>
  <c r="CE19" i="74" s="1"/>
  <c r="EW113" i="76"/>
  <c r="BT19" i="74" s="1"/>
  <c r="EV113" i="76"/>
  <c r="BI19" i="74" s="1"/>
  <c r="FU112" i="76"/>
  <c r="FT112" i="76"/>
  <c r="FS112" i="76"/>
  <c r="FK112" i="76"/>
  <c r="FI112" i="76"/>
  <c r="FJ112" i="76" s="1"/>
  <c r="FH112" i="76"/>
  <c r="EX112" i="76"/>
  <c r="CE18" i="74" s="1"/>
  <c r="EW112" i="76"/>
  <c r="BT18" i="74" s="1"/>
  <c r="EV112" i="76"/>
  <c r="FU111" i="76"/>
  <c r="FT111" i="76"/>
  <c r="FS111" i="76"/>
  <c r="FK111" i="76"/>
  <c r="FI111" i="76"/>
  <c r="FJ111" i="76" s="1"/>
  <c r="FH111" i="76"/>
  <c r="EX111" i="76"/>
  <c r="CE17" i="74" s="1"/>
  <c r="EW111" i="76"/>
  <c r="BT17" i="74" s="1"/>
  <c r="EV111" i="76"/>
  <c r="BI17" i="74" s="1"/>
  <c r="FU110" i="76"/>
  <c r="FT110" i="76"/>
  <c r="FS110" i="76"/>
  <c r="FK110" i="76"/>
  <c r="FI110" i="76"/>
  <c r="FJ110" i="76" s="1"/>
  <c r="FH110" i="76"/>
  <c r="FG110" i="76"/>
  <c r="EX110" i="76"/>
  <c r="CE16" i="74" s="1"/>
  <c r="EW110" i="76"/>
  <c r="BT16" i="74" s="1"/>
  <c r="EV110" i="76"/>
  <c r="BI16" i="74" s="1"/>
  <c r="FU109" i="76"/>
  <c r="FT109" i="76"/>
  <c r="FS109" i="76"/>
  <c r="FK109" i="76"/>
  <c r="FI109" i="76"/>
  <c r="FJ109" i="76" s="1"/>
  <c r="FH109" i="76"/>
  <c r="EX109" i="76"/>
  <c r="CE15" i="74" s="1"/>
  <c r="EW109" i="76"/>
  <c r="BT15" i="74" s="1"/>
  <c r="EV109" i="76"/>
  <c r="BI15" i="74" s="1"/>
  <c r="FU108" i="76"/>
  <c r="FT108" i="76"/>
  <c r="FS108" i="76"/>
  <c r="FK108" i="76"/>
  <c r="FI108" i="76"/>
  <c r="FJ108" i="76" s="1"/>
  <c r="FH108" i="76"/>
  <c r="EX108" i="76"/>
  <c r="CE14" i="74" s="1"/>
  <c r="EW108" i="76"/>
  <c r="BT14" i="74" s="1"/>
  <c r="EV108" i="76"/>
  <c r="BI14" i="74" s="1"/>
  <c r="FU107" i="76"/>
  <c r="FT107" i="76"/>
  <c r="FS107" i="76"/>
  <c r="FK107" i="76"/>
  <c r="FI107" i="76"/>
  <c r="FJ107" i="76" s="1"/>
  <c r="FH107" i="76"/>
  <c r="EX107" i="76"/>
  <c r="CE13" i="74" s="1"/>
  <c r="EW107" i="76"/>
  <c r="BT13" i="74" s="1"/>
  <c r="EV107" i="76"/>
  <c r="BI13" i="74" s="1"/>
  <c r="FU106" i="76"/>
  <c r="FT106" i="76"/>
  <c r="FS106" i="76"/>
  <c r="FK106" i="76"/>
  <c r="FI106" i="76"/>
  <c r="FH106" i="76"/>
  <c r="EX106" i="76"/>
  <c r="CE12" i="74" s="1"/>
  <c r="EW106" i="76"/>
  <c r="BT12" i="74" s="1"/>
  <c r="EV106" i="76"/>
  <c r="BI12" i="74" s="1"/>
  <c r="FU105" i="76"/>
  <c r="FT105" i="76"/>
  <c r="FS105" i="76"/>
  <c r="FK105" i="76"/>
  <c r="FI105" i="76"/>
  <c r="FJ105" i="76" s="1"/>
  <c r="FH105" i="76"/>
  <c r="FG105" i="76"/>
  <c r="EX105" i="76"/>
  <c r="CE11" i="74" s="1"/>
  <c r="EW105" i="76"/>
  <c r="BT11" i="74" s="1"/>
  <c r="EV105" i="76"/>
  <c r="BI11" i="74" s="1"/>
  <c r="FU104" i="76"/>
  <c r="FT104" i="76"/>
  <c r="FS104" i="76"/>
  <c r="FK104" i="76"/>
  <c r="FI104" i="76"/>
  <c r="FJ104" i="76" s="1"/>
  <c r="FH104" i="76"/>
  <c r="FG104" i="76"/>
  <c r="EX104" i="76"/>
  <c r="CE10" i="74" s="1"/>
  <c r="EW104" i="76"/>
  <c r="BT10" i="74" s="1"/>
  <c r="EV104" i="76"/>
  <c r="BI10" i="74" s="1"/>
  <c r="FU103" i="76"/>
  <c r="FT103" i="76"/>
  <c r="FS103" i="76"/>
  <c r="FK103" i="76"/>
  <c r="FI103" i="76"/>
  <c r="FJ103" i="76" s="1"/>
  <c r="FH103" i="76"/>
  <c r="FG103" i="76"/>
  <c r="EX103" i="76"/>
  <c r="CE9" i="74" s="1"/>
  <c r="EW103" i="76"/>
  <c r="BT9" i="74" s="1"/>
  <c r="EV103" i="76"/>
  <c r="BI9" i="74" s="1"/>
  <c r="FU102" i="76"/>
  <c r="FT102" i="76"/>
  <c r="FS102" i="76"/>
  <c r="FK102" i="76"/>
  <c r="FI102" i="76"/>
  <c r="FJ102" i="76" s="1"/>
  <c r="FH102" i="76"/>
  <c r="FG102" i="76"/>
  <c r="EX102" i="76"/>
  <c r="CE8" i="74" s="1"/>
  <c r="EW102" i="76"/>
  <c r="BT8" i="74" s="1"/>
  <c r="EV102" i="76"/>
  <c r="BI8" i="74" s="1"/>
  <c r="FU101" i="76"/>
  <c r="FT101" i="76"/>
  <c r="FS101" i="76"/>
  <c r="FK101" i="76"/>
  <c r="FI101" i="76"/>
  <c r="FJ101" i="76" s="1"/>
  <c r="FH101" i="76"/>
  <c r="FG101" i="76"/>
  <c r="EX101" i="76"/>
  <c r="CE7" i="74" s="1"/>
  <c r="EW101" i="76"/>
  <c r="BT7" i="74" s="1"/>
  <c r="EV101" i="76"/>
  <c r="BI7" i="74" s="1"/>
  <c r="T241" i="76"/>
  <c r="AF241" i="76"/>
  <c r="FU72" i="76"/>
  <c r="FT72" i="76"/>
  <c r="FS72" i="76"/>
  <c r="FK72" i="76"/>
  <c r="FI72" i="76"/>
  <c r="FJ72" i="76" s="1"/>
  <c r="FH72" i="76"/>
  <c r="EX72" i="76"/>
  <c r="CD25" i="74" s="1"/>
  <c r="EW72" i="76"/>
  <c r="BS25" i="74" s="1"/>
  <c r="EV72" i="76"/>
  <c r="BH25" i="74" s="1"/>
  <c r="FU71" i="76"/>
  <c r="FT71" i="76"/>
  <c r="FS71" i="76"/>
  <c r="FK71" i="76"/>
  <c r="FI71" i="76"/>
  <c r="FJ71" i="76" s="1"/>
  <c r="FH71" i="76"/>
  <c r="EX71" i="76"/>
  <c r="CD24" i="74" s="1"/>
  <c r="EW71" i="76"/>
  <c r="BS24" i="74" s="1"/>
  <c r="EV71" i="76"/>
  <c r="BH24" i="74" s="1"/>
  <c r="FU70" i="76"/>
  <c r="FT70" i="76"/>
  <c r="FS70" i="76"/>
  <c r="FK70" i="76"/>
  <c r="FI70" i="76"/>
  <c r="FJ70" i="76" s="1"/>
  <c r="FH70" i="76"/>
  <c r="EX70" i="76"/>
  <c r="CD23" i="74" s="1"/>
  <c r="EW70" i="76"/>
  <c r="BS23" i="74" s="1"/>
  <c r="EV70" i="76"/>
  <c r="BH23" i="74" s="1"/>
  <c r="FU69" i="76"/>
  <c r="FT69" i="76"/>
  <c r="FS69" i="76"/>
  <c r="FK69" i="76"/>
  <c r="FI69" i="76"/>
  <c r="FJ69" i="76" s="1"/>
  <c r="FH69" i="76"/>
  <c r="EX69" i="76"/>
  <c r="CD22" i="74" s="1"/>
  <c r="EW69" i="76"/>
  <c r="BS22" i="74" s="1"/>
  <c r="EV69" i="76"/>
  <c r="BH22" i="74" s="1"/>
  <c r="FU68" i="76"/>
  <c r="FT68" i="76"/>
  <c r="FS68" i="76"/>
  <c r="FK68" i="76"/>
  <c r="FI68" i="76"/>
  <c r="FJ68" i="76" s="1"/>
  <c r="FH68" i="76"/>
  <c r="EX68" i="76"/>
  <c r="CD21" i="74" s="1"/>
  <c r="EW68" i="76"/>
  <c r="BS21" i="74" s="1"/>
  <c r="EV68" i="76"/>
  <c r="BH21" i="74" s="1"/>
  <c r="FU67" i="76"/>
  <c r="FT67" i="76"/>
  <c r="FS67" i="76"/>
  <c r="FK67" i="76"/>
  <c r="FI67" i="76"/>
  <c r="FJ67" i="76" s="1"/>
  <c r="FH67" i="76"/>
  <c r="EX67" i="76"/>
  <c r="CD20" i="74" s="1"/>
  <c r="EW67" i="76"/>
  <c r="BS20" i="74" s="1"/>
  <c r="EV67" i="76"/>
  <c r="BH20" i="74" s="1"/>
  <c r="FU66" i="76"/>
  <c r="FT66" i="76"/>
  <c r="FS66" i="76"/>
  <c r="FK66" i="76"/>
  <c r="FI66" i="76"/>
  <c r="FJ66" i="76" s="1"/>
  <c r="FH66" i="76"/>
  <c r="EX66" i="76"/>
  <c r="CD19" i="74" s="1"/>
  <c r="EW66" i="76"/>
  <c r="BS19" i="74" s="1"/>
  <c r="EV66" i="76"/>
  <c r="BH19" i="74" s="1"/>
  <c r="FU65" i="76"/>
  <c r="FT65" i="76"/>
  <c r="FS65" i="76"/>
  <c r="FK65" i="76"/>
  <c r="FI65" i="76"/>
  <c r="FJ65" i="76" s="1"/>
  <c r="FH65" i="76"/>
  <c r="EX65" i="76"/>
  <c r="CD18" i="74" s="1"/>
  <c r="EW65" i="76"/>
  <c r="BS18" i="74" s="1"/>
  <c r="EV65" i="76"/>
  <c r="BH18" i="74" s="1"/>
  <c r="FU64" i="76"/>
  <c r="FT64" i="76"/>
  <c r="FS64" i="76"/>
  <c r="FK64" i="76"/>
  <c r="FI64" i="76"/>
  <c r="FJ64" i="76" s="1"/>
  <c r="FH64" i="76"/>
  <c r="EX64" i="76"/>
  <c r="CD17" i="74" s="1"/>
  <c r="EW64" i="76"/>
  <c r="BS17" i="74" s="1"/>
  <c r="EV64" i="76"/>
  <c r="BH17" i="74" s="1"/>
  <c r="FU63" i="76"/>
  <c r="FT63" i="76"/>
  <c r="FS63" i="76"/>
  <c r="FK63" i="76"/>
  <c r="FI63" i="76"/>
  <c r="FJ63" i="76" s="1"/>
  <c r="FH63" i="76"/>
  <c r="FG63" i="76"/>
  <c r="EX63" i="76"/>
  <c r="CD16" i="74" s="1"/>
  <c r="EW63" i="76"/>
  <c r="BS16" i="74" s="1"/>
  <c r="EV63" i="76"/>
  <c r="BH16" i="74" s="1"/>
  <c r="FU62" i="76"/>
  <c r="FT62" i="76"/>
  <c r="FS62" i="76"/>
  <c r="FK62" i="76"/>
  <c r="FI62" i="76"/>
  <c r="FJ62" i="76" s="1"/>
  <c r="FH62" i="76"/>
  <c r="EX62" i="76"/>
  <c r="CD15" i="74" s="1"/>
  <c r="EW62" i="76"/>
  <c r="BS15" i="74" s="1"/>
  <c r="EV62" i="76"/>
  <c r="BH15" i="74" s="1"/>
  <c r="FU61" i="76"/>
  <c r="FT61" i="76"/>
  <c r="FS61" i="76"/>
  <c r="FK61" i="76"/>
  <c r="FI61" i="76"/>
  <c r="FJ61" i="76" s="1"/>
  <c r="FH61" i="76"/>
  <c r="EX61" i="76"/>
  <c r="CD14" i="74" s="1"/>
  <c r="EW61" i="76"/>
  <c r="BS14" i="74" s="1"/>
  <c r="EV61" i="76"/>
  <c r="BH14" i="74" s="1"/>
  <c r="FU60" i="76"/>
  <c r="FT60" i="76"/>
  <c r="FS60" i="76"/>
  <c r="FK60" i="76"/>
  <c r="FI60" i="76"/>
  <c r="FJ60" i="76" s="1"/>
  <c r="FH60" i="76"/>
  <c r="EX60" i="76"/>
  <c r="CD13" i="74" s="1"/>
  <c r="EW60" i="76"/>
  <c r="BS13" i="74" s="1"/>
  <c r="EV60" i="76"/>
  <c r="BH13" i="74" s="1"/>
  <c r="FU59" i="76"/>
  <c r="FT59" i="76"/>
  <c r="FS59" i="76"/>
  <c r="FK59" i="76"/>
  <c r="FI59" i="76"/>
  <c r="FJ59" i="76" s="1"/>
  <c r="FH59" i="76"/>
  <c r="EX59" i="76"/>
  <c r="CD12" i="74" s="1"/>
  <c r="EW59" i="76"/>
  <c r="BS12" i="74" s="1"/>
  <c r="EV59" i="76"/>
  <c r="BH12" i="74" s="1"/>
  <c r="FU58" i="76"/>
  <c r="FT58" i="76"/>
  <c r="FS58" i="76"/>
  <c r="FK58" i="76"/>
  <c r="FI58" i="76"/>
  <c r="FJ58" i="76" s="1"/>
  <c r="FH58" i="76"/>
  <c r="FG58" i="76"/>
  <c r="EX58" i="76"/>
  <c r="CD11" i="74" s="1"/>
  <c r="EW58" i="76"/>
  <c r="BS11" i="74" s="1"/>
  <c r="EV58" i="76"/>
  <c r="BH11" i="74" s="1"/>
  <c r="FU57" i="76"/>
  <c r="FT57" i="76"/>
  <c r="FS57" i="76"/>
  <c r="FK57" i="76"/>
  <c r="FI57" i="76"/>
  <c r="FJ57" i="76" s="1"/>
  <c r="FH57" i="76"/>
  <c r="FG57" i="76"/>
  <c r="EX57" i="76"/>
  <c r="CD10" i="74" s="1"/>
  <c r="EW57" i="76"/>
  <c r="BS10" i="74" s="1"/>
  <c r="EV57" i="76"/>
  <c r="BH10" i="74" s="1"/>
  <c r="FU56" i="76"/>
  <c r="FT56" i="76"/>
  <c r="FS56" i="76"/>
  <c r="FK56" i="76"/>
  <c r="FI56" i="76"/>
  <c r="FJ56" i="76" s="1"/>
  <c r="FH56" i="76"/>
  <c r="FG56" i="76"/>
  <c r="EX56" i="76"/>
  <c r="CD9" i="74" s="1"/>
  <c r="EW56" i="76"/>
  <c r="BS9" i="74" s="1"/>
  <c r="EV56" i="76"/>
  <c r="BH9" i="74" s="1"/>
  <c r="FU55" i="76"/>
  <c r="FT55" i="76"/>
  <c r="FS55" i="76"/>
  <c r="FK55" i="76"/>
  <c r="FI55" i="76"/>
  <c r="FJ55" i="76" s="1"/>
  <c r="FH55" i="76"/>
  <c r="FG55" i="76"/>
  <c r="EX55" i="76"/>
  <c r="CD8" i="74" s="1"/>
  <c r="EW55" i="76"/>
  <c r="BS8" i="74" s="1"/>
  <c r="EV55" i="76"/>
  <c r="BH8" i="74" s="1"/>
  <c r="FU54" i="76"/>
  <c r="FT54" i="76"/>
  <c r="FS54" i="76"/>
  <c r="FK54" i="76"/>
  <c r="FI54" i="76"/>
  <c r="FJ54" i="76" s="1"/>
  <c r="FH54" i="76"/>
  <c r="FG54" i="76"/>
  <c r="EX54" i="76"/>
  <c r="CD7" i="74" s="1"/>
  <c r="EW54" i="76"/>
  <c r="BS7" i="74" s="1"/>
  <c r="EV54" i="76"/>
  <c r="BH7" i="74" s="1"/>
  <c r="FK53" i="76"/>
  <c r="FH53" i="76"/>
  <c r="I236" i="76"/>
  <c r="Z236" i="76"/>
  <c r="AC236" i="76"/>
  <c r="J237" i="76"/>
  <c r="Y237" i="76"/>
  <c r="AA237" i="76"/>
  <c r="AB237" i="76"/>
  <c r="AE237" i="76"/>
  <c r="AF237" i="76"/>
  <c r="T237" i="76"/>
  <c r="AL237" i="76"/>
  <c r="AG238" i="76"/>
  <c r="F238" i="76"/>
  <c r="I238" i="76"/>
  <c r="X238" i="76"/>
  <c r="W238" i="76"/>
  <c r="Z238" i="76"/>
  <c r="AA238" i="76"/>
  <c r="AE238" i="76"/>
  <c r="T238" i="76"/>
  <c r="AL238" i="76"/>
  <c r="J239" i="76"/>
  <c r="AA240" i="76"/>
  <c r="D5" i="72"/>
  <c r="D6" i="72" s="1"/>
  <c r="C2" i="76" s="1"/>
  <c r="BC35" i="74"/>
  <c r="BD35" i="74"/>
  <c r="BE35" i="74"/>
  <c r="BF35" i="74"/>
  <c r="BG35" i="74"/>
  <c r="BC36" i="74"/>
  <c r="BD36" i="74"/>
  <c r="BE36" i="74"/>
  <c r="BF36" i="74"/>
  <c r="BG36" i="74"/>
  <c r="BC37" i="74"/>
  <c r="BD37" i="74"/>
  <c r="BE37" i="74"/>
  <c r="BF37" i="74"/>
  <c r="BG37" i="74"/>
  <c r="BC38" i="74"/>
  <c r="BD38" i="74"/>
  <c r="BE38" i="74"/>
  <c r="BF38" i="74"/>
  <c r="BG38" i="74"/>
  <c r="BC39" i="74"/>
  <c r="BD39" i="74"/>
  <c r="BE39" i="74"/>
  <c r="BF39" i="74"/>
  <c r="BG39" i="74"/>
  <c r="BC40" i="74"/>
  <c r="BD40" i="74"/>
  <c r="BE40" i="74"/>
  <c r="BF40" i="74"/>
  <c r="BG40" i="74"/>
  <c r="BC41" i="74"/>
  <c r="BD41" i="74"/>
  <c r="BE41" i="74"/>
  <c r="BF41" i="74"/>
  <c r="BG41" i="74"/>
  <c r="BC42" i="74"/>
  <c r="BD42" i="74"/>
  <c r="BE42" i="74"/>
  <c r="BF42" i="74"/>
  <c r="BG42" i="74"/>
  <c r="BC43" i="74"/>
  <c r="BD43" i="74"/>
  <c r="BE43" i="74"/>
  <c r="BF43" i="74"/>
  <c r="BG43" i="74"/>
  <c r="BC44" i="74"/>
  <c r="BD44" i="74"/>
  <c r="BE44" i="74"/>
  <c r="BF44" i="74"/>
  <c r="BG44" i="74"/>
  <c r="BC45" i="74"/>
  <c r="BD45" i="74"/>
  <c r="BE45" i="74"/>
  <c r="BF45" i="74"/>
  <c r="BG45" i="74"/>
  <c r="BC46" i="74"/>
  <c r="BD46" i="74"/>
  <c r="BE46" i="74"/>
  <c r="BF46" i="74"/>
  <c r="BG46" i="74"/>
  <c r="BC47" i="74"/>
  <c r="BD47" i="74"/>
  <c r="BE47" i="74"/>
  <c r="BF47" i="74"/>
  <c r="BG47" i="74"/>
  <c r="BC48" i="74"/>
  <c r="BD48" i="74"/>
  <c r="BE48" i="74"/>
  <c r="BF48" i="74"/>
  <c r="BG48" i="74"/>
  <c r="BC49" i="74"/>
  <c r="BD49" i="74"/>
  <c r="BE49" i="74"/>
  <c r="BF49" i="74"/>
  <c r="BG49" i="74"/>
  <c r="BC50" i="74"/>
  <c r="BD50" i="74"/>
  <c r="BE50" i="74"/>
  <c r="BF50" i="74"/>
  <c r="BG50" i="74"/>
  <c r="BC51" i="74"/>
  <c r="BD51" i="74"/>
  <c r="BE51" i="74"/>
  <c r="BF51" i="74"/>
  <c r="BG51" i="74"/>
  <c r="BC52" i="74"/>
  <c r="BD52" i="74"/>
  <c r="BE52" i="74"/>
  <c r="BF52" i="74"/>
  <c r="BG52" i="74"/>
  <c r="BC53" i="74"/>
  <c r="BD53" i="74"/>
  <c r="BE53" i="74"/>
  <c r="BF53" i="74"/>
  <c r="BG53" i="74"/>
  <c r="AR35" i="74"/>
  <c r="AS35" i="74"/>
  <c r="AT35" i="74"/>
  <c r="AU35" i="74"/>
  <c r="AV35" i="74"/>
  <c r="AR36" i="74"/>
  <c r="AS36" i="74"/>
  <c r="AT36" i="74"/>
  <c r="AU36" i="74"/>
  <c r="AV36" i="74"/>
  <c r="AR37" i="74"/>
  <c r="AS37" i="74"/>
  <c r="AT37" i="74"/>
  <c r="AU37" i="74"/>
  <c r="AV37" i="74"/>
  <c r="AR38" i="74"/>
  <c r="AS38" i="74"/>
  <c r="AT38" i="74"/>
  <c r="AU38" i="74"/>
  <c r="AV38" i="74"/>
  <c r="AR39" i="74"/>
  <c r="AS39" i="74"/>
  <c r="AT39" i="74"/>
  <c r="AU39" i="74"/>
  <c r="AV39" i="74"/>
  <c r="AR40" i="74"/>
  <c r="AS40" i="74"/>
  <c r="AT40" i="74"/>
  <c r="AU40" i="74"/>
  <c r="AV40" i="74"/>
  <c r="AR41" i="74"/>
  <c r="AS41" i="74"/>
  <c r="AT41" i="74"/>
  <c r="AU41" i="74"/>
  <c r="AV41" i="74"/>
  <c r="AR42" i="74"/>
  <c r="AS42" i="74"/>
  <c r="AT42" i="74"/>
  <c r="AU42" i="74"/>
  <c r="AV42" i="74"/>
  <c r="AR43" i="74"/>
  <c r="AS43" i="74"/>
  <c r="AT43" i="74"/>
  <c r="AU43" i="74"/>
  <c r="AV43" i="74"/>
  <c r="AR44" i="74"/>
  <c r="AS44" i="74"/>
  <c r="AT44" i="74"/>
  <c r="AU44" i="74"/>
  <c r="AV44" i="74"/>
  <c r="AR45" i="74"/>
  <c r="AS45" i="74"/>
  <c r="AT45" i="74"/>
  <c r="AU45" i="74"/>
  <c r="AV45" i="74"/>
  <c r="AR46" i="74"/>
  <c r="AS46" i="74"/>
  <c r="AT46" i="74"/>
  <c r="AU46" i="74"/>
  <c r="AV46" i="74"/>
  <c r="AR47" i="74"/>
  <c r="AS47" i="74"/>
  <c r="AT47" i="74"/>
  <c r="AU47" i="74"/>
  <c r="AV47" i="74"/>
  <c r="AR48" i="74"/>
  <c r="AS48" i="74"/>
  <c r="AT48" i="74"/>
  <c r="AU48" i="74"/>
  <c r="AV48" i="74"/>
  <c r="AR49" i="74"/>
  <c r="AS49" i="74"/>
  <c r="AT49" i="74"/>
  <c r="AU49" i="74"/>
  <c r="AV49" i="74"/>
  <c r="AR50" i="74"/>
  <c r="AS50" i="74"/>
  <c r="AT50" i="74"/>
  <c r="AU50" i="74"/>
  <c r="AV50" i="74"/>
  <c r="AR51" i="74"/>
  <c r="AS51" i="74"/>
  <c r="AT51" i="74"/>
  <c r="AU51" i="74"/>
  <c r="AV51" i="74"/>
  <c r="AR52" i="74"/>
  <c r="AS52" i="74"/>
  <c r="AT52" i="74"/>
  <c r="AU52" i="74"/>
  <c r="AV52" i="74"/>
  <c r="AR53" i="74"/>
  <c r="AS53" i="74"/>
  <c r="AT53" i="74"/>
  <c r="AU53" i="74"/>
  <c r="AV53" i="74"/>
  <c r="AG35" i="74"/>
  <c r="AH35" i="74"/>
  <c r="AI35" i="74"/>
  <c r="AJ35" i="74"/>
  <c r="AK35" i="74"/>
  <c r="AG36" i="74"/>
  <c r="AH36" i="74"/>
  <c r="AI36" i="74"/>
  <c r="AJ36" i="74"/>
  <c r="AK36" i="74"/>
  <c r="AG37" i="74"/>
  <c r="AH37" i="74"/>
  <c r="AI37" i="74"/>
  <c r="AJ37" i="74"/>
  <c r="AK37" i="74"/>
  <c r="AG38" i="74"/>
  <c r="AH38" i="74"/>
  <c r="AI38" i="74"/>
  <c r="AJ38" i="74"/>
  <c r="AK38" i="74"/>
  <c r="AG39" i="74"/>
  <c r="AH39" i="74"/>
  <c r="AI39" i="74"/>
  <c r="AJ39" i="74"/>
  <c r="AK39" i="74"/>
  <c r="AG40" i="74"/>
  <c r="AH40" i="74"/>
  <c r="AI40" i="74"/>
  <c r="AJ40" i="74"/>
  <c r="AK40" i="74"/>
  <c r="AG41" i="74"/>
  <c r="AH41" i="74"/>
  <c r="AI41" i="74"/>
  <c r="AJ41" i="74"/>
  <c r="AK41" i="74"/>
  <c r="AG42" i="74"/>
  <c r="AH42" i="74"/>
  <c r="AI42" i="74"/>
  <c r="AJ42" i="74"/>
  <c r="AK42" i="74"/>
  <c r="AG43" i="74"/>
  <c r="AH43" i="74"/>
  <c r="AI43" i="74"/>
  <c r="AJ43" i="74"/>
  <c r="AK43" i="74"/>
  <c r="AG44" i="74"/>
  <c r="AH44" i="74"/>
  <c r="AI44" i="74"/>
  <c r="AJ44" i="74"/>
  <c r="AK44" i="74"/>
  <c r="AG45" i="74"/>
  <c r="AH45" i="74"/>
  <c r="AI45" i="74"/>
  <c r="AJ45" i="74"/>
  <c r="AK45" i="74"/>
  <c r="AG46" i="74"/>
  <c r="AH46" i="74"/>
  <c r="AI46" i="74"/>
  <c r="AJ46" i="74"/>
  <c r="AK46" i="74"/>
  <c r="AG47" i="74"/>
  <c r="AH47" i="74"/>
  <c r="AI47" i="74"/>
  <c r="AJ47" i="74"/>
  <c r="AK47" i="74"/>
  <c r="AG48" i="74"/>
  <c r="AH48" i="74"/>
  <c r="AI48" i="74"/>
  <c r="AJ48" i="74"/>
  <c r="AK48" i="74"/>
  <c r="AG49" i="74"/>
  <c r="AH49" i="74"/>
  <c r="AI49" i="74"/>
  <c r="AJ49" i="74"/>
  <c r="AK49" i="74"/>
  <c r="AG50" i="74"/>
  <c r="AH50" i="74"/>
  <c r="AI50" i="74"/>
  <c r="AJ50" i="74"/>
  <c r="AK50" i="74"/>
  <c r="AG51" i="74"/>
  <c r="AH51" i="74"/>
  <c r="AI51" i="74"/>
  <c r="AJ51" i="74"/>
  <c r="AK51" i="74"/>
  <c r="AG52" i="74"/>
  <c r="AH52" i="74"/>
  <c r="AI52" i="74"/>
  <c r="AJ52" i="74"/>
  <c r="AK52" i="74"/>
  <c r="AG53" i="74"/>
  <c r="AH53" i="74"/>
  <c r="AI53" i="74"/>
  <c r="AJ53" i="74"/>
  <c r="AK53" i="74"/>
  <c r="L35" i="74"/>
  <c r="M35" i="74"/>
  <c r="N35" i="74"/>
  <c r="O35" i="74"/>
  <c r="P35" i="74"/>
  <c r="L36" i="74"/>
  <c r="M36" i="74"/>
  <c r="N36" i="74"/>
  <c r="O36" i="74"/>
  <c r="P36" i="74"/>
  <c r="L37" i="74"/>
  <c r="M37" i="74"/>
  <c r="N37" i="74"/>
  <c r="O37" i="74"/>
  <c r="P37" i="74"/>
  <c r="L38" i="74"/>
  <c r="M38" i="74"/>
  <c r="N38" i="74"/>
  <c r="O38" i="74"/>
  <c r="P38" i="74"/>
  <c r="L39" i="74"/>
  <c r="M39" i="74"/>
  <c r="N39" i="74"/>
  <c r="O39" i="74"/>
  <c r="P39" i="74"/>
  <c r="L40" i="74"/>
  <c r="M40" i="74"/>
  <c r="N40" i="74"/>
  <c r="O40" i="74"/>
  <c r="P40" i="74"/>
  <c r="L41" i="74"/>
  <c r="M41" i="74"/>
  <c r="N41" i="74"/>
  <c r="O41" i="74"/>
  <c r="P41" i="74"/>
  <c r="L42" i="74"/>
  <c r="M42" i="74"/>
  <c r="N42" i="74"/>
  <c r="O42" i="74"/>
  <c r="P42" i="74"/>
  <c r="L43" i="74"/>
  <c r="M43" i="74"/>
  <c r="N43" i="74"/>
  <c r="O43" i="74"/>
  <c r="P43" i="74"/>
  <c r="L44" i="74"/>
  <c r="M44" i="74"/>
  <c r="N44" i="74"/>
  <c r="O44" i="74"/>
  <c r="P44" i="74"/>
  <c r="L45" i="74"/>
  <c r="M45" i="74"/>
  <c r="N45" i="74"/>
  <c r="O45" i="74"/>
  <c r="P45" i="74"/>
  <c r="L46" i="74"/>
  <c r="M46" i="74"/>
  <c r="N46" i="74"/>
  <c r="O46" i="74"/>
  <c r="P46" i="74"/>
  <c r="L47" i="74"/>
  <c r="M47" i="74"/>
  <c r="N47" i="74"/>
  <c r="O47" i="74"/>
  <c r="P47" i="74"/>
  <c r="L48" i="74"/>
  <c r="M48" i="74"/>
  <c r="N48" i="74"/>
  <c r="O48" i="74"/>
  <c r="P48" i="74"/>
  <c r="L49" i="74"/>
  <c r="M49" i="74"/>
  <c r="N49" i="74"/>
  <c r="O49" i="74"/>
  <c r="P49" i="74"/>
  <c r="L50" i="74"/>
  <c r="M50" i="74"/>
  <c r="N50" i="74"/>
  <c r="O50" i="74"/>
  <c r="P50" i="74"/>
  <c r="L51" i="74"/>
  <c r="M51" i="74"/>
  <c r="N51" i="74"/>
  <c r="O51" i="74"/>
  <c r="P51" i="74"/>
  <c r="L52" i="74"/>
  <c r="M52" i="74"/>
  <c r="N52" i="74"/>
  <c r="O52" i="74"/>
  <c r="P52" i="74"/>
  <c r="L53" i="74"/>
  <c r="M53" i="74"/>
  <c r="N53" i="74"/>
  <c r="O53" i="74"/>
  <c r="P53" i="74"/>
  <c r="B35" i="74"/>
  <c r="C35" i="74"/>
  <c r="D35" i="74"/>
  <c r="E35" i="74"/>
  <c r="F35" i="74"/>
  <c r="B36" i="74"/>
  <c r="C36" i="74"/>
  <c r="D36" i="74"/>
  <c r="E36" i="74"/>
  <c r="F36" i="74"/>
  <c r="B37" i="74"/>
  <c r="C37" i="74"/>
  <c r="D37" i="74"/>
  <c r="E37" i="74"/>
  <c r="F37" i="74"/>
  <c r="B38" i="74"/>
  <c r="C38" i="74"/>
  <c r="D38" i="74"/>
  <c r="E38" i="74"/>
  <c r="F38" i="74"/>
  <c r="B39" i="74"/>
  <c r="C39" i="74"/>
  <c r="D39" i="74"/>
  <c r="E39" i="74"/>
  <c r="F39" i="74"/>
  <c r="B40" i="74"/>
  <c r="C40" i="74"/>
  <c r="D40" i="74"/>
  <c r="E40" i="74"/>
  <c r="F40" i="74"/>
  <c r="B41" i="74"/>
  <c r="C41" i="74"/>
  <c r="D41" i="74"/>
  <c r="E41" i="74"/>
  <c r="F41" i="74"/>
  <c r="B42" i="74"/>
  <c r="C42" i="74"/>
  <c r="D42" i="74"/>
  <c r="E42" i="74"/>
  <c r="F42" i="74"/>
  <c r="B43" i="74"/>
  <c r="C43" i="74"/>
  <c r="D43" i="74"/>
  <c r="E43" i="74"/>
  <c r="F43" i="74"/>
  <c r="B44" i="74"/>
  <c r="C44" i="74"/>
  <c r="D44" i="74"/>
  <c r="E44" i="74"/>
  <c r="F44" i="74"/>
  <c r="B45" i="74"/>
  <c r="C45" i="74"/>
  <c r="D45" i="74"/>
  <c r="E45" i="74"/>
  <c r="F45" i="74"/>
  <c r="B46" i="74"/>
  <c r="C46" i="74"/>
  <c r="D46" i="74"/>
  <c r="E46" i="74"/>
  <c r="F46" i="74"/>
  <c r="B47" i="74"/>
  <c r="C47" i="74"/>
  <c r="D47" i="74"/>
  <c r="E47" i="74"/>
  <c r="F47" i="74"/>
  <c r="B48" i="74"/>
  <c r="C48" i="74"/>
  <c r="D48" i="74"/>
  <c r="E48" i="74"/>
  <c r="F48" i="74"/>
  <c r="B49" i="74"/>
  <c r="C49" i="74"/>
  <c r="D49" i="74"/>
  <c r="E49" i="74"/>
  <c r="F49" i="74"/>
  <c r="B50" i="74"/>
  <c r="C50" i="74"/>
  <c r="D50" i="74"/>
  <c r="E50" i="74"/>
  <c r="F50" i="74"/>
  <c r="B51" i="74"/>
  <c r="C51" i="74"/>
  <c r="D51" i="74"/>
  <c r="E51" i="74"/>
  <c r="F51" i="74"/>
  <c r="B52" i="74"/>
  <c r="C52" i="74"/>
  <c r="D52" i="74"/>
  <c r="E52" i="74"/>
  <c r="F52" i="74"/>
  <c r="B53" i="74"/>
  <c r="C53" i="74"/>
  <c r="D53" i="74"/>
  <c r="E53" i="74"/>
  <c r="F53" i="74"/>
  <c r="AR7" i="74"/>
  <c r="AS7" i="74"/>
  <c r="AT7" i="74"/>
  <c r="AU7" i="74"/>
  <c r="AV7" i="74"/>
  <c r="AR8" i="74"/>
  <c r="AS8" i="74"/>
  <c r="AT8" i="74"/>
  <c r="AU8" i="74"/>
  <c r="AV8" i="74"/>
  <c r="AR9" i="74"/>
  <c r="AS9" i="74"/>
  <c r="AT9" i="74"/>
  <c r="AU9" i="74"/>
  <c r="AV9" i="74"/>
  <c r="AR10" i="74"/>
  <c r="AS10" i="74"/>
  <c r="AT10" i="74"/>
  <c r="AU10" i="74"/>
  <c r="AV10" i="74"/>
  <c r="AR11" i="74"/>
  <c r="AS11" i="74"/>
  <c r="AT11" i="74"/>
  <c r="AU11" i="74"/>
  <c r="AV11" i="74"/>
  <c r="AR12" i="74"/>
  <c r="AS12" i="74"/>
  <c r="AT12" i="74"/>
  <c r="AU12" i="74"/>
  <c r="AV12" i="74"/>
  <c r="AR13" i="74"/>
  <c r="AS13" i="74"/>
  <c r="AT13" i="74"/>
  <c r="AU13" i="74"/>
  <c r="AV13" i="74"/>
  <c r="AR14" i="74"/>
  <c r="AS14" i="74"/>
  <c r="AT14" i="74"/>
  <c r="AU14" i="74"/>
  <c r="AV14" i="74"/>
  <c r="AR15" i="74"/>
  <c r="AS15" i="74"/>
  <c r="AT15" i="74"/>
  <c r="AU15" i="74"/>
  <c r="AV15" i="74"/>
  <c r="AR16" i="74"/>
  <c r="AS16" i="74"/>
  <c r="AT16" i="74"/>
  <c r="AU16" i="74"/>
  <c r="AV16" i="74"/>
  <c r="AR17" i="74"/>
  <c r="AS17" i="74"/>
  <c r="AT17" i="74"/>
  <c r="AU17" i="74"/>
  <c r="AV17" i="74"/>
  <c r="AR18" i="74"/>
  <c r="AS18" i="74"/>
  <c r="AT18" i="74"/>
  <c r="AU18" i="74"/>
  <c r="AV18" i="74"/>
  <c r="AR19" i="74"/>
  <c r="AS19" i="74"/>
  <c r="AT19" i="74"/>
  <c r="AU19" i="74"/>
  <c r="AV19" i="74"/>
  <c r="AR20" i="74"/>
  <c r="AS20" i="74"/>
  <c r="AT20" i="74"/>
  <c r="AU20" i="74"/>
  <c r="AV20" i="74"/>
  <c r="AR21" i="74"/>
  <c r="AS21" i="74"/>
  <c r="AT21" i="74"/>
  <c r="AU21" i="74"/>
  <c r="AV21" i="74"/>
  <c r="AR22" i="74"/>
  <c r="AS22" i="74"/>
  <c r="AT22" i="74"/>
  <c r="AU22" i="74"/>
  <c r="AV22" i="74"/>
  <c r="AR23" i="74"/>
  <c r="AS23" i="74"/>
  <c r="AT23" i="74"/>
  <c r="AU23" i="74"/>
  <c r="AV23" i="74"/>
  <c r="AR24" i="74"/>
  <c r="AS24" i="74"/>
  <c r="AT24" i="74"/>
  <c r="AU24" i="74"/>
  <c r="AV24" i="74"/>
  <c r="AR25" i="74"/>
  <c r="AS25" i="74"/>
  <c r="AT25" i="74"/>
  <c r="AU25" i="74"/>
  <c r="AV25" i="74"/>
  <c r="AG7" i="74"/>
  <c r="AH7" i="74"/>
  <c r="AI7" i="74"/>
  <c r="AJ7" i="74"/>
  <c r="AK7" i="74"/>
  <c r="AG8" i="74"/>
  <c r="AH8" i="74"/>
  <c r="AI8" i="74"/>
  <c r="AJ8" i="74"/>
  <c r="AK8" i="74"/>
  <c r="AG9" i="74"/>
  <c r="AH9" i="74"/>
  <c r="AI9" i="74"/>
  <c r="AJ9" i="74"/>
  <c r="AK9" i="74"/>
  <c r="AG10" i="74"/>
  <c r="AH10" i="74"/>
  <c r="AI10" i="74"/>
  <c r="AJ10" i="74"/>
  <c r="AK10" i="74"/>
  <c r="AG11" i="74"/>
  <c r="AH11" i="74"/>
  <c r="AI11" i="74"/>
  <c r="AJ11" i="74"/>
  <c r="AK11" i="74"/>
  <c r="AG12" i="74"/>
  <c r="AH12" i="74"/>
  <c r="AI12" i="74"/>
  <c r="AJ12" i="74"/>
  <c r="AK12" i="74"/>
  <c r="AG13" i="74"/>
  <c r="AH13" i="74"/>
  <c r="AI13" i="74"/>
  <c r="AJ13" i="74"/>
  <c r="AK13" i="74"/>
  <c r="AG14" i="74"/>
  <c r="AH14" i="74"/>
  <c r="AI14" i="74"/>
  <c r="AJ14" i="74"/>
  <c r="AK14" i="74"/>
  <c r="AG15" i="74"/>
  <c r="AH15" i="74"/>
  <c r="AI15" i="74"/>
  <c r="AJ15" i="74"/>
  <c r="AK15" i="74"/>
  <c r="AG16" i="74"/>
  <c r="AH16" i="74"/>
  <c r="AI16" i="74"/>
  <c r="AJ16" i="74"/>
  <c r="AK16" i="74"/>
  <c r="AG17" i="74"/>
  <c r="AH17" i="74"/>
  <c r="AI17" i="74"/>
  <c r="AJ17" i="74"/>
  <c r="AK17" i="74"/>
  <c r="AG18" i="74"/>
  <c r="AH18" i="74"/>
  <c r="AI18" i="74"/>
  <c r="AJ18" i="74"/>
  <c r="AK18" i="74"/>
  <c r="AG19" i="74"/>
  <c r="AH19" i="74"/>
  <c r="AI19" i="74"/>
  <c r="AJ19" i="74"/>
  <c r="AK19" i="74"/>
  <c r="AG20" i="74"/>
  <c r="AH20" i="74"/>
  <c r="AI20" i="74"/>
  <c r="AJ20" i="74"/>
  <c r="AK20" i="74"/>
  <c r="AG21" i="74"/>
  <c r="AH21" i="74"/>
  <c r="AI21" i="74"/>
  <c r="AJ21" i="74"/>
  <c r="AK21" i="74"/>
  <c r="AG22" i="74"/>
  <c r="AH22" i="74"/>
  <c r="AI22" i="74"/>
  <c r="AJ22" i="74"/>
  <c r="AK22" i="74"/>
  <c r="AG23" i="74"/>
  <c r="AH23" i="74"/>
  <c r="AI23" i="74"/>
  <c r="AJ23" i="74"/>
  <c r="AK23" i="74"/>
  <c r="AG24" i="74"/>
  <c r="AH24" i="74"/>
  <c r="AI24" i="74"/>
  <c r="AJ24" i="74"/>
  <c r="AK24" i="74"/>
  <c r="AG25" i="74"/>
  <c r="AH25" i="74"/>
  <c r="AI25" i="74"/>
  <c r="AJ25" i="74"/>
  <c r="AK25" i="74"/>
  <c r="L7" i="74"/>
  <c r="M7" i="74"/>
  <c r="N7" i="74"/>
  <c r="O7" i="74"/>
  <c r="P7" i="74"/>
  <c r="L8" i="74"/>
  <c r="M8" i="74"/>
  <c r="N8" i="74"/>
  <c r="O8" i="74"/>
  <c r="P8" i="74"/>
  <c r="L9" i="74"/>
  <c r="M9" i="74"/>
  <c r="N9" i="74"/>
  <c r="O9" i="74"/>
  <c r="P9" i="74"/>
  <c r="L10" i="74"/>
  <c r="M10" i="74"/>
  <c r="N10" i="74"/>
  <c r="O10" i="74"/>
  <c r="P10" i="74"/>
  <c r="L11" i="74"/>
  <c r="M11" i="74"/>
  <c r="N11" i="74"/>
  <c r="O11" i="74"/>
  <c r="P11" i="74"/>
  <c r="L12" i="74"/>
  <c r="M12" i="74"/>
  <c r="N12" i="74"/>
  <c r="O12" i="74"/>
  <c r="P12" i="74"/>
  <c r="L13" i="74"/>
  <c r="M13" i="74"/>
  <c r="N13" i="74"/>
  <c r="O13" i="74"/>
  <c r="P13" i="74"/>
  <c r="L14" i="74"/>
  <c r="M14" i="74"/>
  <c r="N14" i="74"/>
  <c r="O14" i="74"/>
  <c r="P14" i="74"/>
  <c r="L15" i="74"/>
  <c r="M15" i="74"/>
  <c r="N15" i="74"/>
  <c r="O15" i="74"/>
  <c r="P15" i="74"/>
  <c r="L16" i="74"/>
  <c r="M16" i="74"/>
  <c r="N16" i="74"/>
  <c r="O16" i="74"/>
  <c r="P16" i="74"/>
  <c r="L17" i="74"/>
  <c r="M17" i="74"/>
  <c r="N17" i="74"/>
  <c r="O17" i="74"/>
  <c r="P17" i="74"/>
  <c r="L18" i="74"/>
  <c r="M18" i="74"/>
  <c r="N18" i="74"/>
  <c r="O18" i="74"/>
  <c r="P18" i="74"/>
  <c r="L19" i="74"/>
  <c r="M19" i="74"/>
  <c r="N19" i="74"/>
  <c r="O19" i="74"/>
  <c r="P19" i="74"/>
  <c r="L20" i="74"/>
  <c r="M20" i="74"/>
  <c r="N20" i="74"/>
  <c r="O20" i="74"/>
  <c r="P20" i="74"/>
  <c r="L21" i="74"/>
  <c r="M21" i="74"/>
  <c r="N21" i="74"/>
  <c r="O21" i="74"/>
  <c r="P21" i="74"/>
  <c r="L22" i="74"/>
  <c r="M22" i="74"/>
  <c r="N22" i="74"/>
  <c r="O22" i="74"/>
  <c r="P22" i="74"/>
  <c r="L23" i="74"/>
  <c r="M23" i="74"/>
  <c r="N23" i="74"/>
  <c r="O23" i="74"/>
  <c r="P23" i="74"/>
  <c r="L24" i="74"/>
  <c r="M24" i="74"/>
  <c r="N24" i="74"/>
  <c r="O24" i="74"/>
  <c r="P24" i="74"/>
  <c r="L25" i="74"/>
  <c r="M25" i="74"/>
  <c r="N25" i="74"/>
  <c r="O25" i="74"/>
  <c r="P25" i="74"/>
  <c r="E9" i="74"/>
  <c r="E21" i="74"/>
  <c r="D22" i="74"/>
  <c r="D24" i="74"/>
  <c r="B7" i="74"/>
  <c r="C7" i="74"/>
  <c r="D7" i="74"/>
  <c r="E7" i="74"/>
  <c r="B8" i="74"/>
  <c r="C8" i="74"/>
  <c r="D8" i="74"/>
  <c r="E8" i="74"/>
  <c r="B9" i="74"/>
  <c r="C9" i="74"/>
  <c r="D9" i="74"/>
  <c r="B10" i="74"/>
  <c r="C10" i="74"/>
  <c r="D10" i="74"/>
  <c r="E10" i="74"/>
  <c r="B11" i="74"/>
  <c r="C11" i="74"/>
  <c r="D11" i="74"/>
  <c r="E11" i="74"/>
  <c r="B12" i="74"/>
  <c r="C12" i="74"/>
  <c r="D12" i="74"/>
  <c r="E12" i="74"/>
  <c r="B13" i="74"/>
  <c r="C13" i="74"/>
  <c r="D13" i="74"/>
  <c r="E13" i="74"/>
  <c r="B14" i="74"/>
  <c r="C14" i="74"/>
  <c r="D14" i="74"/>
  <c r="E14" i="74"/>
  <c r="B15" i="74"/>
  <c r="C15" i="74"/>
  <c r="D15" i="74"/>
  <c r="E15" i="74"/>
  <c r="B16" i="74"/>
  <c r="C16" i="74"/>
  <c r="D16" i="74"/>
  <c r="E16" i="74"/>
  <c r="B17" i="74"/>
  <c r="C17" i="74"/>
  <c r="D17" i="74"/>
  <c r="E17" i="74"/>
  <c r="B18" i="74"/>
  <c r="C18" i="74"/>
  <c r="D18" i="74"/>
  <c r="E18" i="74"/>
  <c r="B19" i="74"/>
  <c r="C19" i="74"/>
  <c r="D19" i="74"/>
  <c r="E19" i="74"/>
  <c r="B20" i="74"/>
  <c r="C20" i="74"/>
  <c r="D20" i="74"/>
  <c r="E20" i="74"/>
  <c r="B21" i="74"/>
  <c r="C21" i="74"/>
  <c r="D21" i="74"/>
  <c r="B22" i="74"/>
  <c r="C22" i="74"/>
  <c r="E22" i="74"/>
  <c r="B23" i="74"/>
  <c r="C23" i="74"/>
  <c r="D23" i="74"/>
  <c r="E23" i="74"/>
  <c r="B24" i="74"/>
  <c r="C24" i="74"/>
  <c r="E24" i="74"/>
  <c r="B25" i="74"/>
  <c r="C25" i="74"/>
  <c r="D25" i="74"/>
  <c r="E25" i="74"/>
  <c r="F7" i="74"/>
  <c r="F8" i="74"/>
  <c r="F9" i="74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CE26" i="76"/>
  <c r="CD26" i="76"/>
  <c r="CC26" i="76"/>
  <c r="BU26" i="76"/>
  <c r="BS26" i="76"/>
  <c r="BT26" i="76" s="1"/>
  <c r="BR26" i="76"/>
  <c r="CE25" i="76"/>
  <c r="CD25" i="76"/>
  <c r="CC25" i="76"/>
  <c r="BU25" i="76"/>
  <c r="BS25" i="76"/>
  <c r="BT25" i="76" s="1"/>
  <c r="BR25" i="76"/>
  <c r="CE24" i="76"/>
  <c r="CD24" i="76"/>
  <c r="CC24" i="76"/>
  <c r="BU24" i="76"/>
  <c r="BS24" i="76"/>
  <c r="BT24" i="76" s="1"/>
  <c r="BR24" i="76"/>
  <c r="CE23" i="76"/>
  <c r="CD23" i="76"/>
  <c r="CC23" i="76"/>
  <c r="BU23" i="76"/>
  <c r="BS23" i="76"/>
  <c r="BT23" i="76" s="1"/>
  <c r="BR23" i="76"/>
  <c r="CE22" i="76"/>
  <c r="CD22" i="76"/>
  <c r="CC22" i="76"/>
  <c r="BU22" i="76"/>
  <c r="BS22" i="76"/>
  <c r="BT22" i="76" s="1"/>
  <c r="BR22" i="76"/>
  <c r="CE21" i="76"/>
  <c r="CD21" i="76"/>
  <c r="CC21" i="76"/>
  <c r="BU21" i="76"/>
  <c r="BS21" i="76"/>
  <c r="BT21" i="76" s="1"/>
  <c r="BR21" i="76"/>
  <c r="CE20" i="76"/>
  <c r="CD20" i="76"/>
  <c r="CC20" i="76"/>
  <c r="BU20" i="76"/>
  <c r="BS20" i="76"/>
  <c r="BT20" i="76" s="1"/>
  <c r="BR20" i="76"/>
  <c r="CE19" i="76"/>
  <c r="CD19" i="76"/>
  <c r="CC19" i="76"/>
  <c r="BU19" i="76"/>
  <c r="BS19" i="76"/>
  <c r="BT19" i="76" s="1"/>
  <c r="BR19" i="76"/>
  <c r="CE18" i="76"/>
  <c r="CD18" i="76"/>
  <c r="CC18" i="76"/>
  <c r="BU18" i="76"/>
  <c r="BS18" i="76"/>
  <c r="BT18" i="76" s="1"/>
  <c r="BR18" i="76"/>
  <c r="CE17" i="76"/>
  <c r="CD17" i="76"/>
  <c r="CC17" i="76"/>
  <c r="BU17" i="76"/>
  <c r="BS17" i="76"/>
  <c r="BT17" i="76" s="1"/>
  <c r="BR17" i="76"/>
  <c r="CE16" i="76"/>
  <c r="CD16" i="76"/>
  <c r="CC16" i="76"/>
  <c r="BU16" i="76"/>
  <c r="BS16" i="76"/>
  <c r="BT16" i="76" s="1"/>
  <c r="BR16" i="76"/>
  <c r="CE15" i="76"/>
  <c r="CD15" i="76"/>
  <c r="CC15" i="76"/>
  <c r="BU15" i="76"/>
  <c r="BS15" i="76"/>
  <c r="BT15" i="76" s="1"/>
  <c r="BR15" i="76"/>
  <c r="CE14" i="76"/>
  <c r="CD14" i="76"/>
  <c r="CC14" i="76"/>
  <c r="BU14" i="76"/>
  <c r="BS14" i="76"/>
  <c r="BR14" i="76"/>
  <c r="CE13" i="76"/>
  <c r="CD13" i="76"/>
  <c r="CC13" i="76"/>
  <c r="BU13" i="76"/>
  <c r="BS13" i="76"/>
  <c r="BT13" i="76" s="1"/>
  <c r="BR13" i="76"/>
  <c r="CE12" i="76"/>
  <c r="CD12" i="76"/>
  <c r="CC12" i="76"/>
  <c r="BU12" i="76"/>
  <c r="BS12" i="76"/>
  <c r="BT12" i="76" s="1"/>
  <c r="BR12" i="76"/>
  <c r="CE11" i="76"/>
  <c r="CD11" i="76"/>
  <c r="CC11" i="76"/>
  <c r="BU11" i="76"/>
  <c r="BS11" i="76"/>
  <c r="BT11" i="76" s="1"/>
  <c r="BR11" i="76"/>
  <c r="CE10" i="76"/>
  <c r="CD10" i="76"/>
  <c r="CC10" i="76"/>
  <c r="BU10" i="76"/>
  <c r="BS10" i="76"/>
  <c r="BT10" i="76" s="1"/>
  <c r="BR10" i="76"/>
  <c r="CE9" i="76"/>
  <c r="CD9" i="76"/>
  <c r="CC9" i="76"/>
  <c r="BU9" i="76"/>
  <c r="BS9" i="76"/>
  <c r="BT9" i="76" s="1"/>
  <c r="BR9" i="76"/>
  <c r="CE72" i="76"/>
  <c r="CD72" i="76"/>
  <c r="CC72" i="76"/>
  <c r="BU72" i="76"/>
  <c r="BS72" i="76"/>
  <c r="BT72" i="76" s="1"/>
  <c r="BR72" i="76"/>
  <c r="CE71" i="76"/>
  <c r="CD71" i="76"/>
  <c r="CC71" i="76"/>
  <c r="BU71" i="76"/>
  <c r="BS71" i="76"/>
  <c r="BT71" i="76" s="1"/>
  <c r="BR71" i="76"/>
  <c r="CE70" i="76"/>
  <c r="CD70" i="76"/>
  <c r="CC70" i="76"/>
  <c r="BU70" i="76"/>
  <c r="BS70" i="76"/>
  <c r="BT70" i="76" s="1"/>
  <c r="BR70" i="76"/>
  <c r="CE69" i="76"/>
  <c r="CD69" i="76"/>
  <c r="CC69" i="76"/>
  <c r="BU69" i="76"/>
  <c r="BS69" i="76"/>
  <c r="BT69" i="76" s="1"/>
  <c r="BR69" i="76"/>
  <c r="CE68" i="76"/>
  <c r="CD68" i="76"/>
  <c r="CC68" i="76"/>
  <c r="BU68" i="76"/>
  <c r="BS68" i="76"/>
  <c r="BT68" i="76" s="1"/>
  <c r="BR68" i="76"/>
  <c r="CE67" i="76"/>
  <c r="CD67" i="76"/>
  <c r="CC67" i="76"/>
  <c r="BU67" i="76"/>
  <c r="BS67" i="76"/>
  <c r="BT67" i="76" s="1"/>
  <c r="BR67" i="76"/>
  <c r="CE66" i="76"/>
  <c r="CD66" i="76"/>
  <c r="CC66" i="76"/>
  <c r="BU66" i="76"/>
  <c r="BS66" i="76"/>
  <c r="BT66" i="76" s="1"/>
  <c r="BR66" i="76"/>
  <c r="CE65" i="76"/>
  <c r="CD65" i="76"/>
  <c r="CC65" i="76"/>
  <c r="BU65" i="76"/>
  <c r="BS65" i="76"/>
  <c r="BT65" i="76" s="1"/>
  <c r="BR65" i="76"/>
  <c r="CE64" i="76"/>
  <c r="CD64" i="76"/>
  <c r="CC64" i="76"/>
  <c r="BU64" i="76"/>
  <c r="BS64" i="76"/>
  <c r="BT64" i="76" s="1"/>
  <c r="BR64" i="76"/>
  <c r="CE63" i="76"/>
  <c r="CD63" i="76"/>
  <c r="CC63" i="76"/>
  <c r="BU63" i="76"/>
  <c r="BS63" i="76"/>
  <c r="BT63" i="76" s="1"/>
  <c r="BR63" i="76"/>
  <c r="CE62" i="76"/>
  <c r="CD62" i="76"/>
  <c r="CC62" i="76"/>
  <c r="BU62" i="76"/>
  <c r="BS62" i="76"/>
  <c r="BT62" i="76" s="1"/>
  <c r="BR62" i="76"/>
  <c r="CE61" i="76"/>
  <c r="CD61" i="76"/>
  <c r="CC61" i="76"/>
  <c r="BU61" i="76"/>
  <c r="BS61" i="76"/>
  <c r="BT61" i="76" s="1"/>
  <c r="BR61" i="76"/>
  <c r="CE60" i="76"/>
  <c r="CD60" i="76"/>
  <c r="CC60" i="76"/>
  <c r="BU60" i="76"/>
  <c r="BS60" i="76"/>
  <c r="BT60" i="76" s="1"/>
  <c r="BR60" i="76"/>
  <c r="CE59" i="76"/>
  <c r="CD59" i="76"/>
  <c r="CC59" i="76"/>
  <c r="BU59" i="76"/>
  <c r="BS59" i="76"/>
  <c r="BT59" i="76" s="1"/>
  <c r="BR59" i="76"/>
  <c r="CE58" i="76"/>
  <c r="CD58" i="76"/>
  <c r="CC58" i="76"/>
  <c r="BU58" i="76"/>
  <c r="BS58" i="76"/>
  <c r="BT58" i="76" s="1"/>
  <c r="BR58" i="76"/>
  <c r="CE57" i="76"/>
  <c r="CD57" i="76"/>
  <c r="CC57" i="76"/>
  <c r="BU57" i="76"/>
  <c r="BS57" i="76"/>
  <c r="BT57" i="76" s="1"/>
  <c r="BR57" i="76"/>
  <c r="CE56" i="76"/>
  <c r="CD56" i="76"/>
  <c r="CC56" i="76"/>
  <c r="BU56" i="76"/>
  <c r="BS56" i="76"/>
  <c r="BT56" i="76" s="1"/>
  <c r="BR56" i="76"/>
  <c r="CE55" i="76"/>
  <c r="CD55" i="76"/>
  <c r="CC55" i="76"/>
  <c r="BU55" i="76"/>
  <c r="BS55" i="76"/>
  <c r="BT55" i="76" s="1"/>
  <c r="BR55" i="76"/>
  <c r="CE54" i="76"/>
  <c r="CD54" i="76"/>
  <c r="CC54" i="76"/>
  <c r="BU54" i="76"/>
  <c r="BS54" i="76"/>
  <c r="BT54" i="76" s="1"/>
  <c r="BR54" i="76"/>
  <c r="CE119" i="76"/>
  <c r="CD119" i="76"/>
  <c r="CC119" i="76"/>
  <c r="BU119" i="76"/>
  <c r="BS119" i="76"/>
  <c r="BT119" i="76" s="1"/>
  <c r="BR119" i="76"/>
  <c r="CE118" i="76"/>
  <c r="CD118" i="76"/>
  <c r="CC118" i="76"/>
  <c r="BU118" i="76"/>
  <c r="BS118" i="76"/>
  <c r="BT118" i="76" s="1"/>
  <c r="BR118" i="76"/>
  <c r="CE117" i="76"/>
  <c r="CD117" i="76"/>
  <c r="CC117" i="76"/>
  <c r="BU117" i="76"/>
  <c r="BS117" i="76"/>
  <c r="BT117" i="76" s="1"/>
  <c r="BR117" i="76"/>
  <c r="CE116" i="76"/>
  <c r="CD116" i="76"/>
  <c r="CC116" i="76"/>
  <c r="BU116" i="76"/>
  <c r="BS116" i="76"/>
  <c r="BT116" i="76" s="1"/>
  <c r="BR116" i="76"/>
  <c r="CE115" i="76"/>
  <c r="CD115" i="76"/>
  <c r="CC115" i="76"/>
  <c r="BU115" i="76"/>
  <c r="BS115" i="76"/>
  <c r="BT115" i="76" s="1"/>
  <c r="BR115" i="76"/>
  <c r="CE114" i="76"/>
  <c r="CD114" i="76"/>
  <c r="CC114" i="76"/>
  <c r="BU114" i="76"/>
  <c r="BS114" i="76"/>
  <c r="BT114" i="76" s="1"/>
  <c r="BR114" i="76"/>
  <c r="CE113" i="76"/>
  <c r="CD113" i="76"/>
  <c r="CC113" i="76"/>
  <c r="BU113" i="76"/>
  <c r="BS113" i="76"/>
  <c r="BT113" i="76" s="1"/>
  <c r="BR113" i="76"/>
  <c r="CE112" i="76"/>
  <c r="CD112" i="76"/>
  <c r="CC112" i="76"/>
  <c r="BU112" i="76"/>
  <c r="BS112" i="76"/>
  <c r="BT112" i="76" s="1"/>
  <c r="BR112" i="76"/>
  <c r="CE111" i="76"/>
  <c r="CD111" i="76"/>
  <c r="CC111" i="76"/>
  <c r="BU111" i="76"/>
  <c r="BS111" i="76"/>
  <c r="BT111" i="76" s="1"/>
  <c r="BR111" i="76"/>
  <c r="CE110" i="76"/>
  <c r="CD110" i="76"/>
  <c r="CC110" i="76"/>
  <c r="BU110" i="76"/>
  <c r="BS110" i="76"/>
  <c r="BT110" i="76" s="1"/>
  <c r="BR110" i="76"/>
  <c r="CE109" i="76"/>
  <c r="CD109" i="76"/>
  <c r="CC109" i="76"/>
  <c r="BU109" i="76"/>
  <c r="BS109" i="76"/>
  <c r="BT109" i="76" s="1"/>
  <c r="BR109" i="76"/>
  <c r="CE108" i="76"/>
  <c r="CD108" i="76"/>
  <c r="CC108" i="76"/>
  <c r="BU108" i="76"/>
  <c r="BS108" i="76"/>
  <c r="BT108" i="76" s="1"/>
  <c r="BR108" i="76"/>
  <c r="CE107" i="76"/>
  <c r="CD107" i="76"/>
  <c r="CC107" i="76"/>
  <c r="BU107" i="76"/>
  <c r="BS107" i="76"/>
  <c r="BT107" i="76" s="1"/>
  <c r="BR107" i="76"/>
  <c r="CE106" i="76"/>
  <c r="CD106" i="76"/>
  <c r="CC106" i="76"/>
  <c r="BU106" i="76"/>
  <c r="BS106" i="76"/>
  <c r="BT106" i="76" s="1"/>
  <c r="BR106" i="76"/>
  <c r="CE105" i="76"/>
  <c r="CD105" i="76"/>
  <c r="CC105" i="76"/>
  <c r="BU105" i="76"/>
  <c r="BS105" i="76"/>
  <c r="BT105" i="76" s="1"/>
  <c r="BR105" i="76"/>
  <c r="CE104" i="76"/>
  <c r="CD104" i="76"/>
  <c r="CC104" i="76"/>
  <c r="BU104" i="76"/>
  <c r="BS104" i="76"/>
  <c r="BT104" i="76" s="1"/>
  <c r="BR104" i="76"/>
  <c r="CE103" i="76"/>
  <c r="CD103" i="76"/>
  <c r="CC103" i="76"/>
  <c r="BU103" i="76"/>
  <c r="BS103" i="76"/>
  <c r="BT103" i="76" s="1"/>
  <c r="BR103" i="76"/>
  <c r="CE102" i="76"/>
  <c r="CD102" i="76"/>
  <c r="CC102" i="76"/>
  <c r="BU102" i="76"/>
  <c r="BS102" i="76"/>
  <c r="BT102" i="76" s="1"/>
  <c r="BR102" i="76"/>
  <c r="CE101" i="76"/>
  <c r="CD101" i="76"/>
  <c r="CC101" i="76"/>
  <c r="BU101" i="76"/>
  <c r="BS101" i="76"/>
  <c r="BT101" i="76" s="1"/>
  <c r="BR101" i="76"/>
  <c r="CE164" i="76"/>
  <c r="CD164" i="76"/>
  <c r="CC164" i="76"/>
  <c r="BU164" i="76"/>
  <c r="BS164" i="76"/>
  <c r="BT164" i="76" s="1"/>
  <c r="BR164" i="76"/>
  <c r="CE163" i="76"/>
  <c r="CD163" i="76"/>
  <c r="CC163" i="76"/>
  <c r="BU163" i="76"/>
  <c r="BS163" i="76"/>
  <c r="BT163" i="76" s="1"/>
  <c r="BR163" i="76"/>
  <c r="CE162" i="76"/>
  <c r="CD162" i="76"/>
  <c r="CC162" i="76"/>
  <c r="BU162" i="76"/>
  <c r="BS162" i="76"/>
  <c r="BT162" i="76" s="1"/>
  <c r="BR162" i="76"/>
  <c r="CE161" i="76"/>
  <c r="CD161" i="76"/>
  <c r="CC161" i="76"/>
  <c r="BU161" i="76"/>
  <c r="BS161" i="76"/>
  <c r="BT161" i="76" s="1"/>
  <c r="BR161" i="76"/>
  <c r="CE160" i="76"/>
  <c r="CD160" i="76"/>
  <c r="CC160" i="76"/>
  <c r="BU160" i="76"/>
  <c r="BS160" i="76"/>
  <c r="BT160" i="76" s="1"/>
  <c r="BR160" i="76"/>
  <c r="CE159" i="76"/>
  <c r="CD159" i="76"/>
  <c r="CC159" i="76"/>
  <c r="BU159" i="76"/>
  <c r="BS159" i="76"/>
  <c r="BT159" i="76" s="1"/>
  <c r="BR159" i="76"/>
  <c r="CE158" i="76"/>
  <c r="CD158" i="76"/>
  <c r="CC158" i="76"/>
  <c r="BU158" i="76"/>
  <c r="BS158" i="76"/>
  <c r="BT158" i="76" s="1"/>
  <c r="BR158" i="76"/>
  <c r="CE157" i="76"/>
  <c r="CD157" i="76"/>
  <c r="CC157" i="76"/>
  <c r="BU157" i="76"/>
  <c r="BS157" i="76"/>
  <c r="BT157" i="76" s="1"/>
  <c r="BR157" i="76"/>
  <c r="CE156" i="76"/>
  <c r="CD156" i="76"/>
  <c r="CC156" i="76"/>
  <c r="BU156" i="76"/>
  <c r="BS156" i="76"/>
  <c r="BT156" i="76" s="1"/>
  <c r="BR156" i="76"/>
  <c r="CE155" i="76"/>
  <c r="CD155" i="76"/>
  <c r="CC155" i="76"/>
  <c r="BU155" i="76"/>
  <c r="BS155" i="76"/>
  <c r="BT155" i="76" s="1"/>
  <c r="BR155" i="76"/>
  <c r="CE154" i="76"/>
  <c r="CD154" i="76"/>
  <c r="CC154" i="76"/>
  <c r="BU154" i="76"/>
  <c r="BS154" i="76"/>
  <c r="BT154" i="76" s="1"/>
  <c r="BR154" i="76"/>
  <c r="CE153" i="76"/>
  <c r="CD153" i="76"/>
  <c r="CC153" i="76"/>
  <c r="BU153" i="76"/>
  <c r="BS153" i="76"/>
  <c r="BT153" i="76" s="1"/>
  <c r="BR153" i="76"/>
  <c r="CE152" i="76"/>
  <c r="CD152" i="76"/>
  <c r="CC152" i="76"/>
  <c r="BU152" i="76"/>
  <c r="BS152" i="76"/>
  <c r="BT152" i="76" s="1"/>
  <c r="BR152" i="76"/>
  <c r="CE151" i="76"/>
  <c r="CD151" i="76"/>
  <c r="CC151" i="76"/>
  <c r="BU151" i="76"/>
  <c r="BS151" i="76"/>
  <c r="BT151" i="76" s="1"/>
  <c r="BR151" i="76"/>
  <c r="CE150" i="76"/>
  <c r="CD150" i="76"/>
  <c r="CC150" i="76"/>
  <c r="BU150" i="76"/>
  <c r="BS150" i="76"/>
  <c r="BT150" i="76" s="1"/>
  <c r="BR150" i="76"/>
  <c r="CE149" i="76"/>
  <c r="CD149" i="76"/>
  <c r="CC149" i="76"/>
  <c r="BU149" i="76"/>
  <c r="BS149" i="76"/>
  <c r="BT149" i="76" s="1"/>
  <c r="BR149" i="76"/>
  <c r="CE148" i="76"/>
  <c r="CD148" i="76"/>
  <c r="CC148" i="76"/>
  <c r="BU148" i="76"/>
  <c r="BS148" i="76"/>
  <c r="BR148" i="76"/>
  <c r="CE147" i="76"/>
  <c r="CD147" i="76"/>
  <c r="CC147" i="76"/>
  <c r="BU147" i="76"/>
  <c r="BS147" i="76"/>
  <c r="BT147" i="76" s="1"/>
  <c r="BR147" i="76"/>
  <c r="CE146" i="76"/>
  <c r="CD146" i="76"/>
  <c r="CC146" i="76"/>
  <c r="BU146" i="76"/>
  <c r="BS146" i="76"/>
  <c r="BT146" i="76" s="1"/>
  <c r="BR146" i="76"/>
  <c r="CC25" i="74"/>
  <c r="BR25" i="74"/>
  <c r="BG25" i="74"/>
  <c r="BH26" i="76"/>
  <c r="CC24" i="74" s="1"/>
  <c r="BG26" i="76"/>
  <c r="BR24" i="74" s="1"/>
  <c r="BF26" i="76"/>
  <c r="BG24" i="74" s="1"/>
  <c r="BH25" i="76"/>
  <c r="CC23" i="74" s="1"/>
  <c r="BG25" i="76"/>
  <c r="BR23" i="74" s="1"/>
  <c r="BF25" i="76"/>
  <c r="BG23" i="74" s="1"/>
  <c r="BH24" i="76"/>
  <c r="CC22" i="74" s="1"/>
  <c r="BG24" i="76"/>
  <c r="BR22" i="74" s="1"/>
  <c r="BF24" i="76"/>
  <c r="BG22" i="74" s="1"/>
  <c r="BH23" i="76"/>
  <c r="CC21" i="74" s="1"/>
  <c r="BG23" i="76"/>
  <c r="BR21" i="74" s="1"/>
  <c r="BF23" i="76"/>
  <c r="BG21" i="74" s="1"/>
  <c r="BH22" i="76"/>
  <c r="CC20" i="74" s="1"/>
  <c r="BG22" i="76"/>
  <c r="BR20" i="74" s="1"/>
  <c r="BF22" i="76"/>
  <c r="BG20" i="74" s="1"/>
  <c r="BH21" i="76"/>
  <c r="CC19" i="74" s="1"/>
  <c r="BG21" i="76"/>
  <c r="BR19" i="74" s="1"/>
  <c r="BF21" i="76"/>
  <c r="BG19" i="74" s="1"/>
  <c r="BH20" i="76"/>
  <c r="CC18" i="74" s="1"/>
  <c r="BG20" i="76"/>
  <c r="BR18" i="74" s="1"/>
  <c r="BF20" i="76"/>
  <c r="BG18" i="74" s="1"/>
  <c r="BH19" i="76"/>
  <c r="CC17" i="74" s="1"/>
  <c r="BG19" i="76"/>
  <c r="BR17" i="74" s="1"/>
  <c r="BF19" i="76"/>
  <c r="BG17" i="74" s="1"/>
  <c r="BH18" i="76"/>
  <c r="CC16" i="74" s="1"/>
  <c r="BG18" i="76"/>
  <c r="BR16" i="74" s="1"/>
  <c r="BF18" i="76"/>
  <c r="BG16" i="74" s="1"/>
  <c r="BH17" i="76"/>
  <c r="CC15" i="74" s="1"/>
  <c r="BG17" i="76"/>
  <c r="BR15" i="74" s="1"/>
  <c r="BF17" i="76"/>
  <c r="BG15" i="74" s="1"/>
  <c r="BH16" i="76"/>
  <c r="CC14" i="74" s="1"/>
  <c r="BG16" i="76"/>
  <c r="BR14" i="74" s="1"/>
  <c r="BF16" i="76"/>
  <c r="BG14" i="74" s="1"/>
  <c r="BH15" i="76"/>
  <c r="CC13" i="74" s="1"/>
  <c r="BG15" i="76"/>
  <c r="BR13" i="74" s="1"/>
  <c r="BF15" i="76"/>
  <c r="BG13" i="74" s="1"/>
  <c r="BH14" i="76"/>
  <c r="CC12" i="74" s="1"/>
  <c r="BG14" i="76"/>
  <c r="BR12" i="74" s="1"/>
  <c r="BF14" i="76"/>
  <c r="BG12" i="74" s="1"/>
  <c r="BH13" i="76"/>
  <c r="CC11" i="74" s="1"/>
  <c r="BG13" i="76"/>
  <c r="BR11" i="74" s="1"/>
  <c r="BF13" i="76"/>
  <c r="BG11" i="74" s="1"/>
  <c r="BH12" i="76"/>
  <c r="CC10" i="74" s="1"/>
  <c r="BG12" i="76"/>
  <c r="BR10" i="74" s="1"/>
  <c r="BF12" i="76"/>
  <c r="BG10" i="74" s="1"/>
  <c r="BH11" i="76"/>
  <c r="CC9" i="74" s="1"/>
  <c r="BG11" i="76"/>
  <c r="BR9" i="74" s="1"/>
  <c r="BF11" i="76"/>
  <c r="BG9" i="74" s="1"/>
  <c r="BH10" i="76"/>
  <c r="CC8" i="74" s="1"/>
  <c r="BG10" i="76"/>
  <c r="BR8" i="74" s="1"/>
  <c r="BF10" i="76"/>
  <c r="BG8" i="74" s="1"/>
  <c r="BH9" i="76"/>
  <c r="BG9" i="76"/>
  <c r="BR7" i="74" s="1"/>
  <c r="BF9" i="76"/>
  <c r="BG7" i="74" s="1"/>
  <c r="BH72" i="76"/>
  <c r="CB25" i="74" s="1"/>
  <c r="BG72" i="76"/>
  <c r="BQ25" i="74" s="1"/>
  <c r="BF72" i="76"/>
  <c r="BF25" i="74" s="1"/>
  <c r="BH71" i="76"/>
  <c r="CB24" i="74" s="1"/>
  <c r="BG71" i="76"/>
  <c r="BQ24" i="74" s="1"/>
  <c r="BF71" i="76"/>
  <c r="BH70" i="76"/>
  <c r="CB23" i="74" s="1"/>
  <c r="BG70" i="76"/>
  <c r="BQ23" i="74" s="1"/>
  <c r="BF70" i="76"/>
  <c r="BF23" i="74" s="1"/>
  <c r="BH69" i="76"/>
  <c r="CB22" i="74" s="1"/>
  <c r="BG69" i="76"/>
  <c r="BQ22" i="74" s="1"/>
  <c r="BF69" i="76"/>
  <c r="BF22" i="74" s="1"/>
  <c r="BH68" i="76"/>
  <c r="CB21" i="74" s="1"/>
  <c r="BG68" i="76"/>
  <c r="BQ21" i="74" s="1"/>
  <c r="BF68" i="76"/>
  <c r="BF21" i="74" s="1"/>
  <c r="BH67" i="76"/>
  <c r="CB20" i="74" s="1"/>
  <c r="BG67" i="76"/>
  <c r="BQ20" i="74" s="1"/>
  <c r="BF67" i="76"/>
  <c r="BF20" i="74" s="1"/>
  <c r="BH66" i="76"/>
  <c r="CB19" i="74" s="1"/>
  <c r="BG66" i="76"/>
  <c r="BQ19" i="74" s="1"/>
  <c r="BF66" i="76"/>
  <c r="BF19" i="74" s="1"/>
  <c r="BH65" i="76"/>
  <c r="CB18" i="74" s="1"/>
  <c r="BG65" i="76"/>
  <c r="BQ18" i="74" s="1"/>
  <c r="BF65" i="76"/>
  <c r="BF18" i="74" s="1"/>
  <c r="BH64" i="76"/>
  <c r="CB17" i="74" s="1"/>
  <c r="BG64" i="76"/>
  <c r="BQ17" i="74" s="1"/>
  <c r="BF64" i="76"/>
  <c r="BF17" i="74" s="1"/>
  <c r="BH63" i="76"/>
  <c r="CB16" i="74" s="1"/>
  <c r="BG63" i="76"/>
  <c r="BQ16" i="74" s="1"/>
  <c r="BF63" i="76"/>
  <c r="BF16" i="74" s="1"/>
  <c r="BH62" i="76"/>
  <c r="CB15" i="74" s="1"/>
  <c r="BG62" i="76"/>
  <c r="BQ15" i="74" s="1"/>
  <c r="BF62" i="76"/>
  <c r="BF15" i="74" s="1"/>
  <c r="BH61" i="76"/>
  <c r="CB14" i="74" s="1"/>
  <c r="BG61" i="76"/>
  <c r="BQ14" i="74" s="1"/>
  <c r="BF61" i="76"/>
  <c r="BF14" i="74" s="1"/>
  <c r="BH60" i="76"/>
  <c r="CB13" i="74" s="1"/>
  <c r="BG60" i="76"/>
  <c r="BQ13" i="74" s="1"/>
  <c r="BF60" i="76"/>
  <c r="BF13" i="74" s="1"/>
  <c r="BH59" i="76"/>
  <c r="CB12" i="74" s="1"/>
  <c r="BG59" i="76"/>
  <c r="BQ12" i="74" s="1"/>
  <c r="BF59" i="76"/>
  <c r="BF12" i="74" s="1"/>
  <c r="BH58" i="76"/>
  <c r="CB11" i="74" s="1"/>
  <c r="BG58" i="76"/>
  <c r="BQ11" i="74" s="1"/>
  <c r="BF58" i="76"/>
  <c r="BF11" i="74" s="1"/>
  <c r="BH57" i="76"/>
  <c r="CB10" i="74" s="1"/>
  <c r="BG57" i="76"/>
  <c r="BQ10" i="74" s="1"/>
  <c r="BF57" i="76"/>
  <c r="BF10" i="74" s="1"/>
  <c r="BH56" i="76"/>
  <c r="CB9" i="74" s="1"/>
  <c r="BG56" i="76"/>
  <c r="BQ9" i="74" s="1"/>
  <c r="BF56" i="76"/>
  <c r="BF9" i="74" s="1"/>
  <c r="BH55" i="76"/>
  <c r="CB8" i="74" s="1"/>
  <c r="BG55" i="76"/>
  <c r="BQ8" i="74" s="1"/>
  <c r="BF55" i="76"/>
  <c r="BF8" i="74" s="1"/>
  <c r="BH54" i="76"/>
  <c r="BG54" i="76"/>
  <c r="BQ7" i="74" s="1"/>
  <c r="BF54" i="76"/>
  <c r="BF7" i="74" s="1"/>
  <c r="BH119" i="76"/>
  <c r="CA25" i="74" s="1"/>
  <c r="BG119" i="76"/>
  <c r="BP25" i="74" s="1"/>
  <c r="BF119" i="76"/>
  <c r="BE25" i="74" s="1"/>
  <c r="BH118" i="76"/>
  <c r="CA24" i="74" s="1"/>
  <c r="BG118" i="76"/>
  <c r="BP24" i="74" s="1"/>
  <c r="BF118" i="76"/>
  <c r="BE24" i="74" s="1"/>
  <c r="BH117" i="76"/>
  <c r="CA23" i="74" s="1"/>
  <c r="BG117" i="76"/>
  <c r="BP23" i="74" s="1"/>
  <c r="BF117" i="76"/>
  <c r="BE23" i="74" s="1"/>
  <c r="BH116" i="76"/>
  <c r="CA22" i="74" s="1"/>
  <c r="BG116" i="76"/>
  <c r="BP22" i="74" s="1"/>
  <c r="BF116" i="76"/>
  <c r="BH115" i="76"/>
  <c r="CA21" i="74" s="1"/>
  <c r="BG115" i="76"/>
  <c r="BP21" i="74" s="1"/>
  <c r="BF115" i="76"/>
  <c r="BE21" i="74" s="1"/>
  <c r="BH114" i="76"/>
  <c r="CA20" i="74" s="1"/>
  <c r="BG114" i="76"/>
  <c r="BP20" i="74" s="1"/>
  <c r="BF114" i="76"/>
  <c r="BE20" i="74" s="1"/>
  <c r="BH113" i="76"/>
  <c r="CA19" i="74" s="1"/>
  <c r="BG113" i="76"/>
  <c r="BP19" i="74" s="1"/>
  <c r="BF113" i="76"/>
  <c r="BE19" i="74" s="1"/>
  <c r="BH112" i="76"/>
  <c r="CA18" i="74" s="1"/>
  <c r="BG112" i="76"/>
  <c r="BP18" i="74" s="1"/>
  <c r="BF112" i="76"/>
  <c r="BE18" i="74" s="1"/>
  <c r="BH111" i="76"/>
  <c r="CA17" i="74" s="1"/>
  <c r="BG111" i="76"/>
  <c r="BP17" i="74" s="1"/>
  <c r="BF111" i="76"/>
  <c r="BE17" i="74" s="1"/>
  <c r="BH110" i="76"/>
  <c r="CA16" i="74" s="1"/>
  <c r="BG110" i="76"/>
  <c r="BP16" i="74" s="1"/>
  <c r="BF110" i="76"/>
  <c r="BE16" i="74" s="1"/>
  <c r="BH109" i="76"/>
  <c r="CA15" i="74" s="1"/>
  <c r="BG109" i="76"/>
  <c r="BP15" i="74" s="1"/>
  <c r="BF109" i="76"/>
  <c r="BE15" i="74" s="1"/>
  <c r="BH108" i="76"/>
  <c r="CA14" i="74" s="1"/>
  <c r="BG108" i="76"/>
  <c r="BP14" i="74" s="1"/>
  <c r="BF108" i="76"/>
  <c r="BE14" i="74" s="1"/>
  <c r="BH107" i="76"/>
  <c r="CA13" i="74" s="1"/>
  <c r="BG107" i="76"/>
  <c r="BP13" i="74" s="1"/>
  <c r="BF107" i="76"/>
  <c r="BE13" i="74" s="1"/>
  <c r="BH106" i="76"/>
  <c r="CA12" i="74" s="1"/>
  <c r="BG106" i="76"/>
  <c r="BP12" i="74" s="1"/>
  <c r="BF106" i="76"/>
  <c r="BE12" i="74" s="1"/>
  <c r="BH105" i="76"/>
  <c r="CA11" i="74" s="1"/>
  <c r="BG105" i="76"/>
  <c r="BP11" i="74" s="1"/>
  <c r="BF105" i="76"/>
  <c r="BE11" i="74" s="1"/>
  <c r="BH104" i="76"/>
  <c r="CA10" i="74" s="1"/>
  <c r="BG104" i="76"/>
  <c r="BP10" i="74" s="1"/>
  <c r="BF104" i="76"/>
  <c r="BE10" i="74" s="1"/>
  <c r="BH103" i="76"/>
  <c r="CA9" i="74" s="1"/>
  <c r="BG103" i="76"/>
  <c r="BP9" i="74" s="1"/>
  <c r="BF103" i="76"/>
  <c r="BE9" i="74" s="1"/>
  <c r="BH102" i="76"/>
  <c r="BG102" i="76"/>
  <c r="BP8" i="74" s="1"/>
  <c r="BF102" i="76"/>
  <c r="BE8" i="74" s="1"/>
  <c r="BH101" i="76"/>
  <c r="CA7" i="74" s="1"/>
  <c r="BG101" i="76"/>
  <c r="BF101" i="76"/>
  <c r="BE7" i="74" s="1"/>
  <c r="BH164" i="76"/>
  <c r="BZ25" i="74" s="1"/>
  <c r="BG164" i="76"/>
  <c r="BO25" i="74" s="1"/>
  <c r="BF164" i="76"/>
  <c r="BD25" i="74" s="1"/>
  <c r="BH163" i="76"/>
  <c r="BZ24" i="74" s="1"/>
  <c r="BG163" i="76"/>
  <c r="BO24" i="74" s="1"/>
  <c r="BF163" i="76"/>
  <c r="BD24" i="74" s="1"/>
  <c r="BH162" i="76"/>
  <c r="BZ23" i="74" s="1"/>
  <c r="BG162" i="76"/>
  <c r="BO23" i="74" s="1"/>
  <c r="BF162" i="76"/>
  <c r="BD23" i="74" s="1"/>
  <c r="BH161" i="76"/>
  <c r="BZ22" i="74" s="1"/>
  <c r="BG161" i="76"/>
  <c r="BO22" i="74" s="1"/>
  <c r="BF161" i="76"/>
  <c r="BD22" i="74" s="1"/>
  <c r="BH160" i="76"/>
  <c r="BZ21" i="74" s="1"/>
  <c r="BG160" i="76"/>
  <c r="BO21" i="74" s="1"/>
  <c r="BF160" i="76"/>
  <c r="BD21" i="74" s="1"/>
  <c r="BH159" i="76"/>
  <c r="BZ20" i="74" s="1"/>
  <c r="BG159" i="76"/>
  <c r="BO20" i="74" s="1"/>
  <c r="BF159" i="76"/>
  <c r="BD20" i="74" s="1"/>
  <c r="BH158" i="76"/>
  <c r="BZ19" i="74" s="1"/>
  <c r="BG158" i="76"/>
  <c r="BO19" i="74" s="1"/>
  <c r="BF158" i="76"/>
  <c r="BD19" i="74" s="1"/>
  <c r="BH157" i="76"/>
  <c r="BZ18" i="74" s="1"/>
  <c r="BG157" i="76"/>
  <c r="BO18" i="74" s="1"/>
  <c r="BF157" i="76"/>
  <c r="BD18" i="74" s="1"/>
  <c r="BH156" i="76"/>
  <c r="BZ17" i="74" s="1"/>
  <c r="BG156" i="76"/>
  <c r="BO17" i="74" s="1"/>
  <c r="BF156" i="76"/>
  <c r="BD17" i="74" s="1"/>
  <c r="BH155" i="76"/>
  <c r="BZ16" i="74" s="1"/>
  <c r="BG155" i="76"/>
  <c r="BO16" i="74" s="1"/>
  <c r="BF155" i="76"/>
  <c r="BD16" i="74" s="1"/>
  <c r="BH154" i="76"/>
  <c r="BZ15" i="74" s="1"/>
  <c r="BG154" i="76"/>
  <c r="BO15" i="74" s="1"/>
  <c r="BF154" i="76"/>
  <c r="BD15" i="74" s="1"/>
  <c r="BH153" i="76"/>
  <c r="BZ14" i="74" s="1"/>
  <c r="BG153" i="76"/>
  <c r="BO14" i="74" s="1"/>
  <c r="BF153" i="76"/>
  <c r="BD14" i="74" s="1"/>
  <c r="BH152" i="76"/>
  <c r="BZ13" i="74" s="1"/>
  <c r="BG152" i="76"/>
  <c r="BO13" i="74" s="1"/>
  <c r="BF152" i="76"/>
  <c r="BD13" i="74" s="1"/>
  <c r="BH151" i="76"/>
  <c r="BZ12" i="74" s="1"/>
  <c r="BG151" i="76"/>
  <c r="BO12" i="74" s="1"/>
  <c r="BF151" i="76"/>
  <c r="BD12" i="74" s="1"/>
  <c r="BH150" i="76"/>
  <c r="BZ11" i="74" s="1"/>
  <c r="BG150" i="76"/>
  <c r="BO11" i="74" s="1"/>
  <c r="BF150" i="76"/>
  <c r="BD11" i="74" s="1"/>
  <c r="BH149" i="76"/>
  <c r="BG149" i="76"/>
  <c r="BO10" i="74" s="1"/>
  <c r="BF149" i="76"/>
  <c r="BD10" i="74" s="1"/>
  <c r="BH148" i="76"/>
  <c r="BZ9" i="74" s="1"/>
  <c r="BG148" i="76"/>
  <c r="BO9" i="74" s="1"/>
  <c r="BF148" i="76"/>
  <c r="BD9" i="74" s="1"/>
  <c r="BH147" i="76"/>
  <c r="BZ8" i="74" s="1"/>
  <c r="BG147" i="76"/>
  <c r="BO8" i="74" s="1"/>
  <c r="BF147" i="76"/>
  <c r="BD8" i="74" s="1"/>
  <c r="BH146" i="76"/>
  <c r="BZ7" i="74" s="1"/>
  <c r="BG146" i="76"/>
  <c r="BO7" i="74" s="1"/>
  <c r="BF146" i="76"/>
  <c r="BD7" i="74" s="1"/>
  <c r="BR193" i="76"/>
  <c r="BS193" i="76"/>
  <c r="BT193" i="76" s="1"/>
  <c r="BU193" i="76"/>
  <c r="BR194" i="76"/>
  <c r="BS194" i="76"/>
  <c r="BU194" i="76"/>
  <c r="BR195" i="76"/>
  <c r="BS195" i="76"/>
  <c r="BT195" i="76" s="1"/>
  <c r="BU195" i="76"/>
  <c r="BR196" i="76"/>
  <c r="BS196" i="76"/>
  <c r="BT196" i="76" s="1"/>
  <c r="BU196" i="76"/>
  <c r="BR197" i="76"/>
  <c r="BS197" i="76"/>
  <c r="BT197" i="76" s="1"/>
  <c r="BU197" i="76"/>
  <c r="BR198" i="76"/>
  <c r="BS198" i="76"/>
  <c r="BT198" i="76" s="1"/>
  <c r="BU198" i="76"/>
  <c r="BR199" i="76"/>
  <c r="BS199" i="76"/>
  <c r="BT199" i="76" s="1"/>
  <c r="BU199" i="76"/>
  <c r="BR200" i="76"/>
  <c r="BS200" i="76"/>
  <c r="BT200" i="76" s="1"/>
  <c r="BU200" i="76"/>
  <c r="BR201" i="76"/>
  <c r="BS201" i="76"/>
  <c r="BT201" i="76" s="1"/>
  <c r="BU201" i="76"/>
  <c r="BR202" i="76"/>
  <c r="BS202" i="76"/>
  <c r="BT202" i="76" s="1"/>
  <c r="BU202" i="76"/>
  <c r="BR203" i="76"/>
  <c r="BS203" i="76"/>
  <c r="BT203" i="76" s="1"/>
  <c r="BU203" i="76"/>
  <c r="BR204" i="76"/>
  <c r="BS204" i="76"/>
  <c r="BT204" i="76" s="1"/>
  <c r="BU204" i="76"/>
  <c r="BR205" i="76"/>
  <c r="BS205" i="76"/>
  <c r="BT205" i="76" s="1"/>
  <c r="BU205" i="76"/>
  <c r="BR206" i="76"/>
  <c r="BS206" i="76"/>
  <c r="BT206" i="76" s="1"/>
  <c r="BU206" i="76"/>
  <c r="BR207" i="76"/>
  <c r="BS207" i="76"/>
  <c r="BT207" i="76" s="1"/>
  <c r="BU207" i="76"/>
  <c r="BR208" i="76"/>
  <c r="BS208" i="76"/>
  <c r="BT208" i="76" s="1"/>
  <c r="BU208" i="76"/>
  <c r="BR209" i="76"/>
  <c r="BS209" i="76"/>
  <c r="BT209" i="76" s="1"/>
  <c r="BU209" i="76"/>
  <c r="BR210" i="76"/>
  <c r="BS210" i="76"/>
  <c r="BT210" i="76" s="1"/>
  <c r="BU210" i="76"/>
  <c r="BR211" i="76"/>
  <c r="BS211" i="76"/>
  <c r="BT211" i="76" s="1"/>
  <c r="BU211" i="76"/>
  <c r="CC198" i="76"/>
  <c r="CD198" i="76"/>
  <c r="CE198" i="76"/>
  <c r="CC199" i="76"/>
  <c r="CD199" i="76"/>
  <c r="CE199" i="76"/>
  <c r="CC200" i="76"/>
  <c r="CD200" i="76"/>
  <c r="CE200" i="76"/>
  <c r="CC201" i="76"/>
  <c r="CD201" i="76"/>
  <c r="CE201" i="76"/>
  <c r="CC202" i="76"/>
  <c r="CD202" i="76"/>
  <c r="CE202" i="76"/>
  <c r="CC203" i="76"/>
  <c r="CD203" i="76"/>
  <c r="CE203" i="76"/>
  <c r="CC204" i="76"/>
  <c r="CD204" i="76"/>
  <c r="CE204" i="76"/>
  <c r="CC205" i="76"/>
  <c r="CD205" i="76"/>
  <c r="CE205" i="76"/>
  <c r="CC206" i="76"/>
  <c r="CD206" i="76"/>
  <c r="CE206" i="76"/>
  <c r="CC207" i="76"/>
  <c r="CD207" i="76"/>
  <c r="CE207" i="76"/>
  <c r="CC208" i="76"/>
  <c r="CD208" i="76"/>
  <c r="CE208" i="76"/>
  <c r="CC209" i="76"/>
  <c r="CD209" i="76"/>
  <c r="CE209" i="76"/>
  <c r="CC210" i="76"/>
  <c r="CD210" i="76"/>
  <c r="CE210" i="76"/>
  <c r="CC211" i="76"/>
  <c r="CD211" i="76"/>
  <c r="CE211" i="76"/>
  <c r="BQ193" i="76"/>
  <c r="BQ194" i="76"/>
  <c r="BQ195" i="76"/>
  <c r="BQ196" i="76"/>
  <c r="BQ197" i="76"/>
  <c r="BQ198" i="76"/>
  <c r="BQ199" i="76"/>
  <c r="BQ200" i="76"/>
  <c r="BQ201" i="76"/>
  <c r="BQ202" i="76"/>
  <c r="BQ203" i="76"/>
  <c r="BQ204" i="76"/>
  <c r="BQ205" i="76"/>
  <c r="BQ206" i="76"/>
  <c r="BQ207" i="76"/>
  <c r="BQ208" i="76"/>
  <c r="BQ209" i="76"/>
  <c r="BQ210" i="76"/>
  <c r="BQ211" i="76"/>
  <c r="V7" i="74"/>
  <c r="V8" i="74"/>
  <c r="V9" i="74"/>
  <c r="V10" i="74"/>
  <c r="V11" i="74"/>
  <c r="V12" i="74"/>
  <c r="V13" i="74"/>
  <c r="V14" i="74"/>
  <c r="V15" i="74"/>
  <c r="V16" i="74"/>
  <c r="V17" i="74"/>
  <c r="V18" i="74"/>
  <c r="V19" i="74"/>
  <c r="V20" i="74"/>
  <c r="V21" i="74"/>
  <c r="V22" i="74"/>
  <c r="V23" i="74"/>
  <c r="V24" i="74"/>
  <c r="V25" i="74"/>
  <c r="Z35" i="74"/>
  <c r="Z36" i="74"/>
  <c r="Z37" i="74"/>
  <c r="Z38" i="74"/>
  <c r="Z39" i="74"/>
  <c r="Z40" i="74"/>
  <c r="Z41" i="74"/>
  <c r="Z42" i="74"/>
  <c r="Z43" i="74"/>
  <c r="Z44" i="74"/>
  <c r="Z45" i="74"/>
  <c r="Z46" i="74"/>
  <c r="Z47" i="74"/>
  <c r="Z48" i="74"/>
  <c r="Z49" i="74"/>
  <c r="Z50" i="74"/>
  <c r="Z51" i="74"/>
  <c r="Z52" i="74"/>
  <c r="Z53" i="74"/>
  <c r="Z54" i="74"/>
  <c r="Z34" i="74"/>
  <c r="Y35" i="74"/>
  <c r="Y36" i="74"/>
  <c r="Y37" i="74"/>
  <c r="Y38" i="74"/>
  <c r="Y39" i="74"/>
  <c r="Y40" i="74"/>
  <c r="Y41" i="74"/>
  <c r="Y42" i="74"/>
  <c r="Y43" i="74"/>
  <c r="Y44" i="74"/>
  <c r="Y45" i="74"/>
  <c r="Y46" i="74"/>
  <c r="Y47" i="74"/>
  <c r="Y48" i="74"/>
  <c r="Y49" i="74"/>
  <c r="Y50" i="74"/>
  <c r="Y51" i="74"/>
  <c r="Y52" i="74"/>
  <c r="Y53" i="74"/>
  <c r="Y54" i="74"/>
  <c r="Y34" i="74"/>
  <c r="X35" i="74"/>
  <c r="X36" i="74"/>
  <c r="X37" i="74"/>
  <c r="X38" i="74"/>
  <c r="X39" i="74"/>
  <c r="X40" i="74"/>
  <c r="X41" i="74"/>
  <c r="X42" i="74"/>
  <c r="X43" i="74"/>
  <c r="X44" i="74"/>
  <c r="X45" i="74"/>
  <c r="X46" i="74"/>
  <c r="X47" i="74"/>
  <c r="X48" i="74"/>
  <c r="X49" i="74"/>
  <c r="X50" i="74"/>
  <c r="X51" i="74"/>
  <c r="X52" i="74"/>
  <c r="X53" i="74"/>
  <c r="X54" i="74"/>
  <c r="AB54" i="74" s="1"/>
  <c r="X34" i="74"/>
  <c r="W35" i="74"/>
  <c r="W36" i="74"/>
  <c r="W37" i="74"/>
  <c r="W38" i="74"/>
  <c r="W39" i="74"/>
  <c r="W40" i="74"/>
  <c r="W41" i="74"/>
  <c r="W42" i="74"/>
  <c r="W43" i="74"/>
  <c r="W44" i="74"/>
  <c r="W45" i="74"/>
  <c r="W46" i="74"/>
  <c r="W47" i="74"/>
  <c r="W48" i="74"/>
  <c r="W49" i="74"/>
  <c r="W50" i="74"/>
  <c r="W51" i="74"/>
  <c r="W52" i="74"/>
  <c r="W53" i="74"/>
  <c r="W54" i="74"/>
  <c r="AC54" i="74" s="1"/>
  <c r="W34" i="74"/>
  <c r="V35" i="74"/>
  <c r="V36" i="74"/>
  <c r="V37" i="74"/>
  <c r="V38" i="74"/>
  <c r="V39" i="74"/>
  <c r="V40" i="74"/>
  <c r="V41" i="74"/>
  <c r="V42" i="74"/>
  <c r="V43" i="74"/>
  <c r="V44" i="74"/>
  <c r="V45" i="74"/>
  <c r="V46" i="74"/>
  <c r="V47" i="74"/>
  <c r="V48" i="74"/>
  <c r="V49" i="74"/>
  <c r="V50" i="74"/>
  <c r="V51" i="74"/>
  <c r="V52" i="74"/>
  <c r="V53" i="74"/>
  <c r="V54" i="74"/>
  <c r="V34" i="74"/>
  <c r="X7" i="74"/>
  <c r="X8" i="74"/>
  <c r="X9" i="74"/>
  <c r="X10" i="74"/>
  <c r="X11" i="74"/>
  <c r="X12" i="74"/>
  <c r="X13" i="74"/>
  <c r="X14" i="74"/>
  <c r="X15" i="74"/>
  <c r="X16" i="74"/>
  <c r="X17" i="74"/>
  <c r="X18" i="74"/>
  <c r="X19" i="74"/>
  <c r="X20" i="74"/>
  <c r="X21" i="74"/>
  <c r="X22" i="74"/>
  <c r="X23" i="74"/>
  <c r="X24" i="74"/>
  <c r="X25" i="74"/>
  <c r="X26" i="74"/>
  <c r="X6" i="74"/>
  <c r="Y26" i="74"/>
  <c r="Y7" i="74"/>
  <c r="Y8" i="74"/>
  <c r="Y9" i="74"/>
  <c r="Y10" i="74"/>
  <c r="Y11" i="74"/>
  <c r="Y12" i="74"/>
  <c r="Y13" i="74"/>
  <c r="Y14" i="74"/>
  <c r="Y15" i="74"/>
  <c r="Y16" i="74"/>
  <c r="Y17" i="74"/>
  <c r="Y18" i="74"/>
  <c r="Y19" i="74"/>
  <c r="Y20" i="74"/>
  <c r="Y21" i="74"/>
  <c r="Y22" i="74"/>
  <c r="Y23" i="74"/>
  <c r="Y24" i="74"/>
  <c r="Y25" i="74"/>
  <c r="Y6" i="74"/>
  <c r="Z7" i="74"/>
  <c r="Z8" i="74"/>
  <c r="Z9" i="74"/>
  <c r="Z10" i="74"/>
  <c r="Z11" i="74"/>
  <c r="Z12" i="74"/>
  <c r="Z13" i="74"/>
  <c r="Z14" i="74"/>
  <c r="Z15" i="74"/>
  <c r="Z16" i="74"/>
  <c r="Z17" i="74"/>
  <c r="Z18" i="74"/>
  <c r="Z19" i="74"/>
  <c r="Z20" i="74"/>
  <c r="Z21" i="74"/>
  <c r="Z22" i="74"/>
  <c r="Z23" i="74"/>
  <c r="Z24" i="74"/>
  <c r="Z25" i="74"/>
  <c r="Z26" i="74"/>
  <c r="Z6" i="74"/>
  <c r="W7" i="74"/>
  <c r="W8" i="74"/>
  <c r="W9" i="74"/>
  <c r="W10" i="74"/>
  <c r="W11" i="74"/>
  <c r="W12" i="74"/>
  <c r="W13" i="74"/>
  <c r="W14" i="74"/>
  <c r="W15" i="74"/>
  <c r="W16" i="74"/>
  <c r="W17" i="74"/>
  <c r="W18" i="74"/>
  <c r="W19" i="74"/>
  <c r="W20" i="74"/>
  <c r="W21" i="74"/>
  <c r="W22" i="74"/>
  <c r="W23" i="74"/>
  <c r="W24" i="74"/>
  <c r="W25" i="74"/>
  <c r="W26" i="74"/>
  <c r="W6" i="74"/>
  <c r="V26" i="74"/>
  <c r="V6" i="74"/>
  <c r="X54" i="73"/>
  <c r="W54" i="73"/>
  <c r="V54" i="73"/>
  <c r="X53" i="73"/>
  <c r="W53" i="73"/>
  <c r="V53" i="73"/>
  <c r="X52" i="73"/>
  <c r="W52" i="73"/>
  <c r="V52" i="73"/>
  <c r="X51" i="73"/>
  <c r="X50" i="73"/>
  <c r="W51" i="73"/>
  <c r="W50" i="73"/>
  <c r="V51" i="73"/>
  <c r="V50" i="73"/>
  <c r="BU212" i="76"/>
  <c r="BR212" i="76"/>
  <c r="BH211" i="76"/>
  <c r="BY25" i="74" s="1"/>
  <c r="BG211" i="76"/>
  <c r="BN25" i="74" s="1"/>
  <c r="BF211" i="76"/>
  <c r="BC25" i="74" s="1"/>
  <c r="BH210" i="76"/>
  <c r="BY24" i="74" s="1"/>
  <c r="BG210" i="76"/>
  <c r="BN24" i="74" s="1"/>
  <c r="BF210" i="76"/>
  <c r="BC24" i="74" s="1"/>
  <c r="BH209" i="76"/>
  <c r="BY23" i="74" s="1"/>
  <c r="BG209" i="76"/>
  <c r="BN23" i="74" s="1"/>
  <c r="BF209" i="76"/>
  <c r="BC23" i="74" s="1"/>
  <c r="BH208" i="76"/>
  <c r="BY22" i="74" s="1"/>
  <c r="BG208" i="76"/>
  <c r="BN22" i="74" s="1"/>
  <c r="BF208" i="76"/>
  <c r="BC22" i="74" s="1"/>
  <c r="BH207" i="76"/>
  <c r="BY21" i="74" s="1"/>
  <c r="BG207" i="76"/>
  <c r="BN21" i="74" s="1"/>
  <c r="BF207" i="76"/>
  <c r="BC21" i="74" s="1"/>
  <c r="BH206" i="76"/>
  <c r="BY20" i="74" s="1"/>
  <c r="BG206" i="76"/>
  <c r="BN20" i="74" s="1"/>
  <c r="BF206" i="76"/>
  <c r="BC20" i="74" s="1"/>
  <c r="BH205" i="76"/>
  <c r="BY19" i="74" s="1"/>
  <c r="BG205" i="76"/>
  <c r="BN19" i="74" s="1"/>
  <c r="BF205" i="76"/>
  <c r="BC19" i="74" s="1"/>
  <c r="BH204" i="76"/>
  <c r="BY18" i="74" s="1"/>
  <c r="BG204" i="76"/>
  <c r="BN18" i="74" s="1"/>
  <c r="BF204" i="76"/>
  <c r="BC18" i="74" s="1"/>
  <c r="BH203" i="76"/>
  <c r="BY17" i="74" s="1"/>
  <c r="BG203" i="76"/>
  <c r="BN17" i="74" s="1"/>
  <c r="BF203" i="76"/>
  <c r="BC17" i="74" s="1"/>
  <c r="BH202" i="76"/>
  <c r="BY16" i="74" s="1"/>
  <c r="BG202" i="76"/>
  <c r="BN16" i="74" s="1"/>
  <c r="BF202" i="76"/>
  <c r="BC16" i="74" s="1"/>
  <c r="BH201" i="76"/>
  <c r="BY15" i="74" s="1"/>
  <c r="BG201" i="76"/>
  <c r="BN15" i="74" s="1"/>
  <c r="BF201" i="76"/>
  <c r="BC15" i="74" s="1"/>
  <c r="BH200" i="76"/>
  <c r="BY14" i="74" s="1"/>
  <c r="BG200" i="76"/>
  <c r="BN14" i="74" s="1"/>
  <c r="BF200" i="76"/>
  <c r="BC14" i="74" s="1"/>
  <c r="BH199" i="76"/>
  <c r="BY13" i="74" s="1"/>
  <c r="BG199" i="76"/>
  <c r="BN13" i="74" s="1"/>
  <c r="BF199" i="76"/>
  <c r="BC13" i="74" s="1"/>
  <c r="BH198" i="76"/>
  <c r="BY12" i="74" s="1"/>
  <c r="BG198" i="76"/>
  <c r="BN12" i="74" s="1"/>
  <c r="BF198" i="76"/>
  <c r="BC12" i="74" s="1"/>
  <c r="CE197" i="76"/>
  <c r="CD197" i="76"/>
  <c r="CC197" i="76"/>
  <c r="BH197" i="76"/>
  <c r="BY11" i="74" s="1"/>
  <c r="BG197" i="76"/>
  <c r="BN11" i="74" s="1"/>
  <c r="BF197" i="76"/>
  <c r="BC11" i="74" s="1"/>
  <c r="CE196" i="76"/>
  <c r="CD196" i="76"/>
  <c r="CC196" i="76"/>
  <c r="BH196" i="76"/>
  <c r="BY10" i="74" s="1"/>
  <c r="BG196" i="76"/>
  <c r="BN10" i="74" s="1"/>
  <c r="BF196" i="76"/>
  <c r="BC10" i="74" s="1"/>
  <c r="CE195" i="76"/>
  <c r="CD195" i="76"/>
  <c r="CC195" i="76"/>
  <c r="BH195" i="76"/>
  <c r="BY9" i="74" s="1"/>
  <c r="BG195" i="76"/>
  <c r="BN9" i="74" s="1"/>
  <c r="BF195" i="76"/>
  <c r="BC9" i="74" s="1"/>
  <c r="CE194" i="76"/>
  <c r="CD194" i="76"/>
  <c r="CC194" i="76"/>
  <c r="BH194" i="76"/>
  <c r="BY8" i="74" s="1"/>
  <c r="BG194" i="76"/>
  <c r="BN8" i="74" s="1"/>
  <c r="BF194" i="76"/>
  <c r="BC8" i="74" s="1"/>
  <c r="CE193" i="76"/>
  <c r="CD193" i="76"/>
  <c r="CC193" i="76"/>
  <c r="BH193" i="76"/>
  <c r="BY7" i="74" s="1"/>
  <c r="BG193" i="76"/>
  <c r="BN7" i="74" s="1"/>
  <c r="BF193" i="76"/>
  <c r="BU192" i="76"/>
  <c r="BR192" i="76"/>
  <c r="BQ155" i="76"/>
  <c r="BQ150" i="76"/>
  <c r="BQ149" i="76"/>
  <c r="BQ148" i="76"/>
  <c r="BQ147" i="76"/>
  <c r="BQ146" i="76"/>
  <c r="BQ110" i="76"/>
  <c r="BQ105" i="76"/>
  <c r="BQ104" i="76"/>
  <c r="BQ103" i="76"/>
  <c r="BQ102" i="76"/>
  <c r="BQ101" i="76"/>
  <c r="BQ63" i="76"/>
  <c r="BQ58" i="76"/>
  <c r="BQ57" i="76"/>
  <c r="BQ56" i="76"/>
  <c r="BQ55" i="76"/>
  <c r="BQ54" i="76"/>
  <c r="BU53" i="76"/>
  <c r="BR53" i="76"/>
  <c r="BQ18" i="76"/>
  <c r="BQ13" i="76"/>
  <c r="BQ12" i="76"/>
  <c r="BQ11" i="76"/>
  <c r="BQ10" i="76"/>
  <c r="BQ9" i="76"/>
  <c r="BR8" i="76"/>
  <c r="V238" i="76" l="1"/>
  <c r="J16" i="72"/>
  <c r="J17" i="72"/>
  <c r="J20" i="72"/>
  <c r="J18" i="72"/>
  <c r="J19" i="72"/>
  <c r="V243" i="76"/>
  <c r="FI166" i="76"/>
  <c r="BU166" i="76"/>
  <c r="AK237" i="76" s="1"/>
  <c r="V236" i="76"/>
  <c r="EV166" i="76"/>
  <c r="B243" i="76" s="1"/>
  <c r="V242" i="76"/>
  <c r="I246" i="76"/>
  <c r="BO113" i="76" s="1"/>
  <c r="AA246" i="76"/>
  <c r="AL243" i="76"/>
  <c r="W246" i="76"/>
  <c r="AL241" i="76"/>
  <c r="EX166" i="76"/>
  <c r="D243" i="76" s="1"/>
  <c r="AL242" i="76"/>
  <c r="BE29" i="76"/>
  <c r="BR74" i="76"/>
  <c r="AI239" i="76" s="1"/>
  <c r="FK74" i="76"/>
  <c r="EX121" i="76"/>
  <c r="D242" i="76" s="1"/>
  <c r="BU74" i="76"/>
  <c r="AK239" i="76" s="1"/>
  <c r="T246" i="76"/>
  <c r="FK166" i="76"/>
  <c r="BG29" i="76"/>
  <c r="C240" i="76" s="1"/>
  <c r="FG74" i="76"/>
  <c r="AH241" i="76" s="1"/>
  <c r="FH74" i="76"/>
  <c r="AI241" i="76" s="1"/>
  <c r="V240" i="76"/>
  <c r="EW74" i="76"/>
  <c r="C241" i="76" s="1"/>
  <c r="V55" i="73"/>
  <c r="BE166" i="76"/>
  <c r="FI74" i="76"/>
  <c r="X55" i="73"/>
  <c r="BT74" i="76"/>
  <c r="AJ239" i="76" s="1"/>
  <c r="BT121" i="76"/>
  <c r="AJ238" i="76" s="1"/>
  <c r="FJ166" i="76"/>
  <c r="AJ243" i="76" s="1"/>
  <c r="BS74" i="76"/>
  <c r="BF166" i="76"/>
  <c r="B237" i="76" s="1"/>
  <c r="BR29" i="76"/>
  <c r="AI240" i="76" s="1"/>
  <c r="BQ121" i="76"/>
  <c r="AH238" i="76" s="1"/>
  <c r="FH121" i="76"/>
  <c r="AI242" i="76" s="1"/>
  <c r="BQ74" i="76"/>
  <c r="AH239" i="76" s="1"/>
  <c r="BQ29" i="76"/>
  <c r="AH240" i="76" s="1"/>
  <c r="BQ166" i="76"/>
  <c r="AH237" i="76" s="1"/>
  <c r="BE74" i="76"/>
  <c r="BE121" i="76"/>
  <c r="F41" i="72"/>
  <c r="B41" i="72"/>
  <c r="BU121" i="76"/>
  <c r="AK238" i="76" s="1"/>
  <c r="AL246" i="76"/>
  <c r="FH166" i="76"/>
  <c r="AI243" i="76" s="1"/>
  <c r="FG166" i="76"/>
  <c r="AH243" i="76" s="1"/>
  <c r="AX246" i="76"/>
  <c r="BR166" i="76"/>
  <c r="AI237" i="76" s="1"/>
  <c r="BS121" i="76"/>
  <c r="FG121" i="76"/>
  <c r="AH242" i="76" s="1"/>
  <c r="H246" i="76"/>
  <c r="BN27" i="76" s="1"/>
  <c r="V241" i="76"/>
  <c r="EU74" i="76"/>
  <c r="F246" i="76"/>
  <c r="X246" i="76"/>
  <c r="AD246" i="76"/>
  <c r="Z246" i="76"/>
  <c r="AC246" i="76"/>
  <c r="J246" i="76"/>
  <c r="Y246" i="76"/>
  <c r="BF24" i="74"/>
  <c r="BF74" i="76"/>
  <c r="B239" i="76" s="1"/>
  <c r="U246" i="76"/>
  <c r="V237" i="76"/>
  <c r="U55" i="73"/>
  <c r="BG74" i="76"/>
  <c r="C239" i="76" s="1"/>
  <c r="BG121" i="76"/>
  <c r="C238" i="76" s="1"/>
  <c r="BP7" i="74"/>
  <c r="BE22" i="74"/>
  <c r="BF121" i="76"/>
  <c r="B238" i="76" s="1"/>
  <c r="W55" i="73"/>
  <c r="AB51" i="73" s="1"/>
  <c r="BQ213" i="76"/>
  <c r="AH236" i="76" s="1"/>
  <c r="BG166" i="76"/>
  <c r="C237" i="76" s="1"/>
  <c r="BR213" i="76"/>
  <c r="AI236" i="76" s="1"/>
  <c r="BC7" i="74"/>
  <c r="BF213" i="76"/>
  <c r="B236" i="76" s="1"/>
  <c r="AE246" i="76"/>
  <c r="AB246" i="76"/>
  <c r="BT194" i="76"/>
  <c r="BT213" i="76" s="1"/>
  <c r="AJ236" i="76" s="1"/>
  <c r="BS213" i="76"/>
  <c r="BH166" i="76"/>
  <c r="D237" i="76" s="1"/>
  <c r="BZ10" i="74"/>
  <c r="CB7" i="74"/>
  <c r="BH74" i="76"/>
  <c r="D239" i="76" s="1"/>
  <c r="CC7" i="74"/>
  <c r="BH29" i="76"/>
  <c r="D240" i="76" s="1"/>
  <c r="BT14" i="76"/>
  <c r="BT29" i="76" s="1"/>
  <c r="AJ240" i="76" s="1"/>
  <c r="BS29" i="76"/>
  <c r="FJ106" i="76"/>
  <c r="FJ121" i="76" s="1"/>
  <c r="FI121" i="76"/>
  <c r="S246" i="76"/>
  <c r="E41" i="72"/>
  <c r="E40" i="72"/>
  <c r="EV74" i="76"/>
  <c r="B241" i="76" s="1"/>
  <c r="EW121" i="76"/>
  <c r="C242" i="76" s="1"/>
  <c r="BG213" i="76"/>
  <c r="C236" i="76" s="1"/>
  <c r="BU213" i="76"/>
  <c r="AK236" i="76" s="1"/>
  <c r="BF29" i="76"/>
  <c r="B240" i="76" s="1"/>
  <c r="V239" i="76"/>
  <c r="C41" i="72"/>
  <c r="FJ74" i="76"/>
  <c r="EX74" i="76"/>
  <c r="D241" i="76" s="1"/>
  <c r="BH213" i="76"/>
  <c r="D236" i="76" s="1"/>
  <c r="BH121" i="76"/>
  <c r="D238" i="76" s="1"/>
  <c r="CA8" i="74"/>
  <c r="BT148" i="76"/>
  <c r="BT166" i="76" s="1"/>
  <c r="AJ237" i="76" s="1"/>
  <c r="BS166" i="76"/>
  <c r="BR121" i="76"/>
  <c r="AI238" i="76" s="1"/>
  <c r="BU29" i="76"/>
  <c r="AK240" i="76" s="1"/>
  <c r="FK121" i="76"/>
  <c r="BI18" i="74"/>
  <c r="EV121" i="76"/>
  <c r="B242" i="76" s="1"/>
  <c r="EW166" i="76"/>
  <c r="C243" i="76" s="1"/>
  <c r="D41" i="72"/>
  <c r="AF240" i="76"/>
  <c r="AF246" i="76" s="1"/>
  <c r="R16" i="72" s="1"/>
  <c r="EU166" i="76"/>
  <c r="G73" i="72"/>
  <c r="BE213" i="76"/>
  <c r="EU121" i="76"/>
  <c r="E246" i="76"/>
  <c r="BI27" i="76" s="1"/>
  <c r="G246" i="76"/>
  <c r="L19" i="72" l="1"/>
  <c r="N19" i="72" s="1"/>
  <c r="O19" i="72" s="1"/>
  <c r="L20" i="72"/>
  <c r="N20" i="72" s="1"/>
  <c r="O20" i="72" s="1"/>
  <c r="L16" i="72"/>
  <c r="N16" i="72" s="1"/>
  <c r="O16" i="72" s="1"/>
  <c r="O18" i="72"/>
  <c r="P18" i="72" s="1"/>
  <c r="L18" i="72"/>
  <c r="L17" i="72"/>
  <c r="N17" i="72" s="1"/>
  <c r="O17" i="72" s="1"/>
  <c r="BO18" i="76"/>
  <c r="FE114" i="76"/>
  <c r="FE161" i="76"/>
  <c r="BO19" i="76"/>
  <c r="FE62" i="76"/>
  <c r="BO20" i="76"/>
  <c r="BO148" i="76"/>
  <c r="FE150" i="76"/>
  <c r="FA116" i="76"/>
  <c r="BK27" i="76"/>
  <c r="BM27" i="76"/>
  <c r="BJ27" i="76"/>
  <c r="BL27" i="76"/>
  <c r="FE112" i="76"/>
  <c r="BO27" i="76"/>
  <c r="BP58" i="76"/>
  <c r="BP27" i="76"/>
  <c r="AJ246" i="76"/>
  <c r="AG246" i="76"/>
  <c r="AM249" i="76"/>
  <c r="FE66" i="76"/>
  <c r="FE58" i="76"/>
  <c r="BO146" i="76"/>
  <c r="BO115" i="76"/>
  <c r="BO102" i="76"/>
  <c r="BP197" i="76"/>
  <c r="FE70" i="76"/>
  <c r="FE101" i="76"/>
  <c r="FE116" i="76"/>
  <c r="FE104" i="76"/>
  <c r="FE57" i="76"/>
  <c r="FF105" i="76"/>
  <c r="BO155" i="76"/>
  <c r="BO149" i="76"/>
  <c r="BO25" i="76"/>
  <c r="BO164" i="76"/>
  <c r="FE67" i="76"/>
  <c r="BO107" i="76"/>
  <c r="FE102" i="76"/>
  <c r="BO118" i="76"/>
  <c r="BO112" i="76"/>
  <c r="FE56" i="76"/>
  <c r="FE156" i="76"/>
  <c r="FE69" i="76"/>
  <c r="FE68" i="76"/>
  <c r="BO110" i="76"/>
  <c r="FE162" i="76"/>
  <c r="BO62" i="76"/>
  <c r="FE157" i="76"/>
  <c r="BP69" i="76"/>
  <c r="BP59" i="76"/>
  <c r="BP19" i="76"/>
  <c r="FF150" i="76"/>
  <c r="FF54" i="76"/>
  <c r="AK243" i="76"/>
  <c r="BP156" i="76"/>
  <c r="BP163" i="76"/>
  <c r="BP196" i="76"/>
  <c r="BP157" i="76"/>
  <c r="BO106" i="76"/>
  <c r="FE65" i="76"/>
  <c r="BO104" i="76"/>
  <c r="BO71" i="76"/>
  <c r="BO151" i="76"/>
  <c r="BO150" i="76"/>
  <c r="BO210" i="76"/>
  <c r="FE163" i="76"/>
  <c r="BO161" i="76"/>
  <c r="BK152" i="76"/>
  <c r="FE106" i="76"/>
  <c r="FE113" i="76"/>
  <c r="BO204" i="76"/>
  <c r="BO101" i="76"/>
  <c r="S55" i="74"/>
  <c r="BO147" i="76"/>
  <c r="FE111" i="76"/>
  <c r="BO211" i="76"/>
  <c r="BO154" i="76"/>
  <c r="BO159" i="76"/>
  <c r="BO193" i="76"/>
  <c r="FE152" i="76"/>
  <c r="FE110" i="76"/>
  <c r="FE108" i="76"/>
  <c r="BO14" i="76"/>
  <c r="BO152" i="76"/>
  <c r="BO60" i="76"/>
  <c r="BO160" i="76"/>
  <c r="BO103" i="76"/>
  <c r="FE149" i="76"/>
  <c r="FE153" i="76"/>
  <c r="BO116" i="76"/>
  <c r="FE159" i="76"/>
  <c r="BO203" i="76"/>
  <c r="BO162" i="76"/>
  <c r="FE59" i="76"/>
  <c r="FE147" i="76"/>
  <c r="FE72" i="76"/>
  <c r="FE118" i="76"/>
  <c r="BO158" i="76"/>
  <c r="FE107" i="76"/>
  <c r="BO12" i="76"/>
  <c r="BO59" i="76"/>
  <c r="BO157" i="76"/>
  <c r="BO9" i="76"/>
  <c r="BO119" i="76"/>
  <c r="BK197" i="76"/>
  <c r="FA146" i="76"/>
  <c r="FE160" i="76"/>
  <c r="BO200" i="76"/>
  <c r="BO201" i="76"/>
  <c r="BO64" i="76"/>
  <c r="BO156" i="76"/>
  <c r="BO208" i="76"/>
  <c r="FE109" i="76"/>
  <c r="FE63" i="76"/>
  <c r="FE115" i="76"/>
  <c r="BO10" i="76"/>
  <c r="FE154" i="76"/>
  <c r="BO198" i="76"/>
  <c r="BO57" i="76"/>
  <c r="FE164" i="76"/>
  <c r="FE155" i="76"/>
  <c r="BO209" i="76"/>
  <c r="BO163" i="76"/>
  <c r="BO206" i="76"/>
  <c r="BO65" i="76"/>
  <c r="BO55" i="76"/>
  <c r="BO16" i="76"/>
  <c r="FE71" i="76"/>
  <c r="BO117" i="76"/>
  <c r="BO23" i="76"/>
  <c r="BO24" i="76"/>
  <c r="BO56" i="76"/>
  <c r="BO199" i="76"/>
  <c r="BO207" i="76"/>
  <c r="BO105" i="76"/>
  <c r="BO11" i="76"/>
  <c r="FE55" i="76"/>
  <c r="FE119" i="76"/>
  <c r="FE103" i="76"/>
  <c r="BO70" i="76"/>
  <c r="BO109" i="76"/>
  <c r="FE54" i="76"/>
  <c r="BO68" i="76"/>
  <c r="BO58" i="76"/>
  <c r="BO153" i="76"/>
  <c r="BO197" i="76"/>
  <c r="BK65" i="76"/>
  <c r="FA65" i="76"/>
  <c r="FE60" i="76"/>
  <c r="BO22" i="76"/>
  <c r="FE151" i="76"/>
  <c r="FE148" i="76"/>
  <c r="BO202" i="76"/>
  <c r="FE61" i="76"/>
  <c r="BO195" i="76"/>
  <c r="FE105" i="76"/>
  <c r="FE117" i="76"/>
  <c r="BO17" i="76"/>
  <c r="BO61" i="76"/>
  <c r="BO72" i="76"/>
  <c r="BO15" i="76"/>
  <c r="BO13" i="76"/>
  <c r="BO205" i="76"/>
  <c r="FE64" i="76"/>
  <c r="FE158" i="76"/>
  <c r="BO196" i="76"/>
  <c r="BO63" i="76"/>
  <c r="BO194" i="76"/>
  <c r="BO21" i="76"/>
  <c r="BO66" i="76"/>
  <c r="BO108" i="76"/>
  <c r="BO111" i="76"/>
  <c r="BO67" i="76"/>
  <c r="BO69" i="76"/>
  <c r="BO54" i="76"/>
  <c r="BO26" i="76"/>
  <c r="FE146" i="76"/>
  <c r="BO114" i="76"/>
  <c r="FA110" i="76"/>
  <c r="BP162" i="76"/>
  <c r="FF111" i="76"/>
  <c r="FF109" i="76"/>
  <c r="BP207" i="76"/>
  <c r="FF147" i="76"/>
  <c r="BP11" i="76"/>
  <c r="BP23" i="76"/>
  <c r="FF164" i="76"/>
  <c r="U249" i="76"/>
  <c r="AY27" i="74" s="1"/>
  <c r="BK206" i="76"/>
  <c r="FA72" i="76"/>
  <c r="BK21" i="76"/>
  <c r="BK155" i="76"/>
  <c r="BK10" i="76"/>
  <c r="AK241" i="76"/>
  <c r="BP70" i="76"/>
  <c r="FA60" i="76"/>
  <c r="FA163" i="76"/>
  <c r="BK198" i="76"/>
  <c r="BK68" i="76"/>
  <c r="BK203" i="76"/>
  <c r="BK163" i="76"/>
  <c r="BK204" i="76"/>
  <c r="BK24" i="76"/>
  <c r="BK195" i="76"/>
  <c r="BK56" i="76"/>
  <c r="BK157" i="76"/>
  <c r="BK118" i="76"/>
  <c r="BK116" i="76"/>
  <c r="FA161" i="76"/>
  <c r="FA70" i="76"/>
  <c r="BP111" i="76"/>
  <c r="FF107" i="76"/>
  <c r="BP14" i="76"/>
  <c r="BP203" i="76"/>
  <c r="BP17" i="76"/>
  <c r="BP149" i="76"/>
  <c r="FF146" i="76"/>
  <c r="FF103" i="76"/>
  <c r="FF114" i="76"/>
  <c r="BP154" i="76"/>
  <c r="BP151" i="76"/>
  <c r="FF155" i="76"/>
  <c r="BP164" i="76"/>
  <c r="BP146" i="76"/>
  <c r="FA164" i="76"/>
  <c r="FF162" i="76"/>
  <c r="FF59" i="76"/>
  <c r="BP201" i="76"/>
  <c r="FF153" i="76"/>
  <c r="BP161" i="76"/>
  <c r="BP20" i="76"/>
  <c r="BP147" i="76"/>
  <c r="FF104" i="76"/>
  <c r="BP195" i="76"/>
  <c r="BP202" i="76"/>
  <c r="BP10" i="76"/>
  <c r="FF57" i="76"/>
  <c r="BP104" i="76"/>
  <c r="FF70" i="76"/>
  <c r="FF163" i="76"/>
  <c r="BK109" i="76"/>
  <c r="BK207" i="76"/>
  <c r="FA108" i="76"/>
  <c r="BK59" i="76"/>
  <c r="FA104" i="76"/>
  <c r="BK67" i="76"/>
  <c r="FA61" i="76"/>
  <c r="BK22" i="76"/>
  <c r="FA153" i="76"/>
  <c r="BP9" i="76"/>
  <c r="BP21" i="76"/>
  <c r="BP112" i="76"/>
  <c r="FF154" i="76"/>
  <c r="BP64" i="76"/>
  <c r="BP205" i="76"/>
  <c r="FF160" i="76"/>
  <c r="FF152" i="76"/>
  <c r="BP105" i="76"/>
  <c r="FF106" i="76"/>
  <c r="BP211" i="76"/>
  <c r="FF61" i="76"/>
  <c r="BP13" i="76"/>
  <c r="BP16" i="76"/>
  <c r="FF113" i="76"/>
  <c r="BP108" i="76"/>
  <c r="BP116" i="76"/>
  <c r="BP114" i="76"/>
  <c r="FF72" i="76"/>
  <c r="FF108" i="76"/>
  <c r="BP15" i="76"/>
  <c r="BP160" i="76"/>
  <c r="BP55" i="76"/>
  <c r="FF156" i="76"/>
  <c r="BK61" i="76"/>
  <c r="FA56" i="76"/>
  <c r="BK200" i="76"/>
  <c r="FA119" i="76"/>
  <c r="FA71" i="76"/>
  <c r="BK9" i="76"/>
  <c r="BK150" i="76"/>
  <c r="BK15" i="76"/>
  <c r="BK105" i="76"/>
  <c r="FA112" i="76"/>
  <c r="FA103" i="76"/>
  <c r="FA162" i="76"/>
  <c r="FA69" i="76"/>
  <c r="FA109" i="76"/>
  <c r="BK148" i="76"/>
  <c r="AC249" i="76"/>
  <c r="AY55" i="74" s="1"/>
  <c r="BK62" i="76"/>
  <c r="BK112" i="76"/>
  <c r="BP12" i="76"/>
  <c r="BP150" i="76"/>
  <c r="BP103" i="76"/>
  <c r="BP113" i="76"/>
  <c r="BP148" i="76"/>
  <c r="BP208" i="76"/>
  <c r="FF69" i="76"/>
  <c r="BP25" i="76"/>
  <c r="AC55" i="74"/>
  <c r="BP117" i="76"/>
  <c r="BP102" i="76"/>
  <c r="BP68" i="76"/>
  <c r="FF64" i="76"/>
  <c r="FF67" i="76"/>
  <c r="FF159" i="76"/>
  <c r="BP107" i="76"/>
  <c r="BP152" i="76"/>
  <c r="BP18" i="76"/>
  <c r="FF56" i="76"/>
  <c r="FF62" i="76"/>
  <c r="FF71" i="76"/>
  <c r="BP155" i="76"/>
  <c r="BP200" i="76"/>
  <c r="BP194" i="76"/>
  <c r="BP118" i="76"/>
  <c r="FF65" i="76"/>
  <c r="BK119" i="76"/>
  <c r="BK70" i="76"/>
  <c r="FA101" i="76"/>
  <c r="BK158" i="76"/>
  <c r="BK113" i="76"/>
  <c r="BK72" i="76"/>
  <c r="BK64" i="76"/>
  <c r="BK161" i="76"/>
  <c r="BK58" i="76"/>
  <c r="BK25" i="76"/>
  <c r="FA154" i="76"/>
  <c r="S27" i="74"/>
  <c r="BK23" i="76"/>
  <c r="BK12" i="76"/>
  <c r="FA63" i="76"/>
  <c r="FA118" i="76"/>
  <c r="C246" i="76"/>
  <c r="BP65" i="76"/>
  <c r="BP60" i="76"/>
  <c r="BP159" i="76"/>
  <c r="FF110" i="76"/>
  <c r="FF119" i="76"/>
  <c r="FF157" i="76"/>
  <c r="BP153" i="76"/>
  <c r="BP66" i="76"/>
  <c r="BP101" i="76"/>
  <c r="BP56" i="76"/>
  <c r="BP209" i="76"/>
  <c r="BP199" i="76"/>
  <c r="BP204" i="76"/>
  <c r="FF151" i="76"/>
  <c r="FF112" i="76"/>
  <c r="BK196" i="76"/>
  <c r="FA106" i="76"/>
  <c r="BK19" i="76"/>
  <c r="FA148" i="76"/>
  <c r="BK210" i="76"/>
  <c r="BK208" i="76"/>
  <c r="BK115" i="76"/>
  <c r="FA155" i="76"/>
  <c r="BK209" i="76"/>
  <c r="BK199" i="76"/>
  <c r="BK60" i="76"/>
  <c r="BK69" i="76"/>
  <c r="BK194" i="76"/>
  <c r="BK201" i="76"/>
  <c r="BK102" i="76"/>
  <c r="BK108" i="76"/>
  <c r="BK11" i="76"/>
  <c r="BK20" i="76"/>
  <c r="BK117" i="76"/>
  <c r="FA147" i="76"/>
  <c r="BK111" i="76"/>
  <c r="BK147" i="76"/>
  <c r="BK26" i="76"/>
  <c r="FA54" i="76"/>
  <c r="BK159" i="76"/>
  <c r="BK63" i="76"/>
  <c r="FA115" i="76"/>
  <c r="FA150" i="76"/>
  <c r="BK114" i="76"/>
  <c r="FA102" i="76"/>
  <c r="FA105" i="76"/>
  <c r="BK151" i="76"/>
  <c r="AA51" i="73"/>
  <c r="AA54" i="73"/>
  <c r="AA50" i="73"/>
  <c r="AA53" i="73"/>
  <c r="BK205" i="76"/>
  <c r="BK18" i="76"/>
  <c r="BK14" i="76"/>
  <c r="FA157" i="76"/>
  <c r="BK160" i="76"/>
  <c r="BK66" i="76"/>
  <c r="FA107" i="76"/>
  <c r="BK149" i="76"/>
  <c r="BK202" i="76"/>
  <c r="BK16" i="76"/>
  <c r="AC50" i="73"/>
  <c r="AC51" i="73"/>
  <c r="AC53" i="73"/>
  <c r="AC52" i="73"/>
  <c r="AC54" i="73"/>
  <c r="BP110" i="76"/>
  <c r="BP63" i="76"/>
  <c r="BP210" i="76"/>
  <c r="FF115" i="76"/>
  <c r="FF149" i="76"/>
  <c r="BK154" i="76"/>
  <c r="FA151" i="76"/>
  <c r="FA159" i="76"/>
  <c r="BK153" i="76"/>
  <c r="BK211" i="76"/>
  <c r="FA68" i="76"/>
  <c r="FA156" i="76"/>
  <c r="BK104" i="76"/>
  <c r="FA114" i="76"/>
  <c r="BK146" i="76"/>
  <c r="BK101" i="76"/>
  <c r="FA111" i="76"/>
  <c r="BK13" i="76"/>
  <c r="FA152" i="76"/>
  <c r="BK107" i="76"/>
  <c r="FA113" i="76"/>
  <c r="FA117" i="76"/>
  <c r="BK57" i="76"/>
  <c r="BK17" i="76"/>
  <c r="FA62" i="76"/>
  <c r="FA59" i="76"/>
  <c r="FA160" i="76"/>
  <c r="FA149" i="76"/>
  <c r="FA67" i="76"/>
  <c r="BK193" i="76"/>
  <c r="BK71" i="76"/>
  <c r="FA58" i="76"/>
  <c r="FA66" i="76"/>
  <c r="FA158" i="76"/>
  <c r="BK106" i="76"/>
  <c r="BK164" i="76"/>
  <c r="FA55" i="76"/>
  <c r="BK103" i="76"/>
  <c r="BK156" i="76"/>
  <c r="FA64" i="76"/>
  <c r="AA52" i="73"/>
  <c r="F250" i="76"/>
  <c r="F248" i="76" s="1"/>
  <c r="AH246" i="76"/>
  <c r="BP72" i="76"/>
  <c r="FF55" i="76"/>
  <c r="BP62" i="76"/>
  <c r="BP158" i="76"/>
  <c r="BP61" i="76"/>
  <c r="FF66" i="76"/>
  <c r="FF101" i="76"/>
  <c r="BP119" i="76"/>
  <c r="BP71" i="76"/>
  <c r="BP54" i="76"/>
  <c r="BP109" i="76"/>
  <c r="FF68" i="76"/>
  <c r="FF158" i="76"/>
  <c r="FF161" i="76"/>
  <c r="FF148" i="76"/>
  <c r="FF58" i="76"/>
  <c r="BP193" i="76"/>
  <c r="BP198" i="76"/>
  <c r="BP106" i="76"/>
  <c r="BP26" i="76"/>
  <c r="BP67" i="76"/>
  <c r="BP22" i="76"/>
  <c r="FF63" i="76"/>
  <c r="FF116" i="76"/>
  <c r="BP24" i="76"/>
  <c r="FF102" i="76"/>
  <c r="BP206" i="76"/>
  <c r="BP57" i="76"/>
  <c r="BP115" i="76"/>
  <c r="FD154" i="76"/>
  <c r="FD108" i="76"/>
  <c r="FD69" i="76"/>
  <c r="FD147" i="76"/>
  <c r="FD71" i="76"/>
  <c r="FD107" i="76"/>
  <c r="BN155" i="76"/>
  <c r="BN211" i="76"/>
  <c r="BN72" i="76"/>
  <c r="BN20" i="76"/>
  <c r="BN195" i="76"/>
  <c r="BN25" i="76"/>
  <c r="BN71" i="76"/>
  <c r="FD164" i="76"/>
  <c r="FD149" i="76"/>
  <c r="BN107" i="76"/>
  <c r="BN208" i="76"/>
  <c r="BN109" i="76"/>
  <c r="BN159" i="76"/>
  <c r="BN194" i="76"/>
  <c r="FD112" i="76"/>
  <c r="FD109" i="76"/>
  <c r="BN10" i="76"/>
  <c r="BN19" i="76"/>
  <c r="FD163" i="76"/>
  <c r="FD67" i="76"/>
  <c r="BN65" i="76"/>
  <c r="BN111" i="76"/>
  <c r="BN69" i="76"/>
  <c r="BN15" i="76"/>
  <c r="BN118" i="76"/>
  <c r="BN68" i="76"/>
  <c r="FD151" i="76"/>
  <c r="FD103" i="76"/>
  <c r="FD57" i="76"/>
  <c r="BN18" i="76"/>
  <c r="BN55" i="76"/>
  <c r="FD110" i="76"/>
  <c r="FD72" i="76"/>
  <c r="BN63" i="76"/>
  <c r="FD114" i="76"/>
  <c r="FD104" i="76"/>
  <c r="BN21" i="76"/>
  <c r="BN205" i="76"/>
  <c r="BN150" i="76"/>
  <c r="BN164" i="76"/>
  <c r="BN67" i="76"/>
  <c r="BN59" i="76"/>
  <c r="BN13" i="76"/>
  <c r="BN114" i="76"/>
  <c r="BN26" i="76"/>
  <c r="BN163" i="76"/>
  <c r="FD59" i="76"/>
  <c r="FD102" i="76"/>
  <c r="BN14" i="76"/>
  <c r="BN156" i="76"/>
  <c r="BN61" i="76"/>
  <c r="BN193" i="76"/>
  <c r="FD64" i="76"/>
  <c r="BN207" i="76"/>
  <c r="BN206" i="76"/>
  <c r="I55" i="74"/>
  <c r="FD158" i="76"/>
  <c r="BN56" i="76"/>
  <c r="BN197" i="76"/>
  <c r="BN115" i="76"/>
  <c r="BN62" i="76"/>
  <c r="BN201" i="76"/>
  <c r="BN203" i="76"/>
  <c r="BN196" i="76"/>
  <c r="FD61" i="76"/>
  <c r="FD162" i="76"/>
  <c r="FD156" i="76"/>
  <c r="FD113" i="76"/>
  <c r="FD65" i="76"/>
  <c r="FD55" i="76"/>
  <c r="FD62" i="76"/>
  <c r="FD116" i="76"/>
  <c r="BN110" i="76"/>
  <c r="BN113" i="76"/>
  <c r="BN101" i="76"/>
  <c r="BN146" i="76"/>
  <c r="BN24" i="76"/>
  <c r="BN64" i="76"/>
  <c r="BN209" i="76"/>
  <c r="BN161" i="76"/>
  <c r="FD66" i="76"/>
  <c r="FD148" i="76"/>
  <c r="BN157" i="76"/>
  <c r="BN106" i="76"/>
  <c r="BN198" i="76"/>
  <c r="BN11" i="76"/>
  <c r="BN154" i="76"/>
  <c r="BN160" i="76"/>
  <c r="BN70" i="76"/>
  <c r="FD117" i="76"/>
  <c r="BN103" i="76"/>
  <c r="BN204" i="76"/>
  <c r="FD152" i="76"/>
  <c r="FD155" i="76"/>
  <c r="FD106" i="76"/>
  <c r="BN147" i="76"/>
  <c r="BN119" i="76"/>
  <c r="BN57" i="76"/>
  <c r="BN58" i="76"/>
  <c r="BN60" i="76"/>
  <c r="BN102" i="76"/>
  <c r="BN108" i="76"/>
  <c r="BN117" i="76"/>
  <c r="FD159" i="76"/>
  <c r="FD68" i="76"/>
  <c r="FD70" i="76"/>
  <c r="FD111" i="76"/>
  <c r="FD58" i="76"/>
  <c r="FD101" i="76"/>
  <c r="BN149" i="76"/>
  <c r="FD146" i="76"/>
  <c r="FD153" i="76"/>
  <c r="FD119" i="76"/>
  <c r="BN112" i="76"/>
  <c r="BN22" i="76"/>
  <c r="BN148" i="76"/>
  <c r="BN17" i="76"/>
  <c r="BN66" i="76"/>
  <c r="FD150" i="76"/>
  <c r="BN9" i="76"/>
  <c r="BN200" i="76"/>
  <c r="FD157" i="76"/>
  <c r="FD56" i="76"/>
  <c r="BN12" i="76"/>
  <c r="BN158" i="76"/>
  <c r="BN210" i="76"/>
  <c r="BN151" i="76"/>
  <c r="BN152" i="76"/>
  <c r="FD60" i="76"/>
  <c r="FD160" i="76"/>
  <c r="BN153" i="76"/>
  <c r="BN116" i="76"/>
  <c r="BN202" i="76"/>
  <c r="FD63" i="76"/>
  <c r="BN23" i="76"/>
  <c r="BN162" i="76"/>
  <c r="BN16" i="76"/>
  <c r="BN199" i="76"/>
  <c r="BN54" i="76"/>
  <c r="BN104" i="76"/>
  <c r="FD105" i="76"/>
  <c r="BN105" i="76"/>
  <c r="FD161" i="76"/>
  <c r="FD118" i="76"/>
  <c r="FD54" i="76"/>
  <c r="FD115" i="76"/>
  <c r="FF117" i="76"/>
  <c r="FF60" i="76"/>
  <c r="FF118" i="76"/>
  <c r="FA57" i="76"/>
  <c r="BK55" i="76"/>
  <c r="BK110" i="76"/>
  <c r="BK54" i="76"/>
  <c r="BK162" i="76"/>
  <c r="AJ242" i="76"/>
  <c r="AK246" i="76"/>
  <c r="AK249" i="76" s="1"/>
  <c r="B246" i="76"/>
  <c r="Z50" i="73"/>
  <c r="Z52" i="73"/>
  <c r="Z53" i="73"/>
  <c r="Z54" i="73"/>
  <c r="D246" i="76"/>
  <c r="AI246" i="76" s="1"/>
  <c r="BM193" i="76"/>
  <c r="BM197" i="76"/>
  <c r="BM201" i="76"/>
  <c r="BM206" i="76"/>
  <c r="BM149" i="76"/>
  <c r="BM153" i="76"/>
  <c r="BM157" i="76"/>
  <c r="BM103" i="76"/>
  <c r="BM107" i="76"/>
  <c r="BM111" i="76"/>
  <c r="BM118" i="76"/>
  <c r="BM55" i="76"/>
  <c r="BM59" i="76"/>
  <c r="BM63" i="76"/>
  <c r="BM69" i="76"/>
  <c r="BM9" i="76"/>
  <c r="BM13" i="76"/>
  <c r="BM17" i="76"/>
  <c r="BM22" i="76"/>
  <c r="BM194" i="76"/>
  <c r="BM198" i="76"/>
  <c r="BM202" i="76"/>
  <c r="BM208" i="76"/>
  <c r="BM146" i="76"/>
  <c r="BM150" i="76"/>
  <c r="BM195" i="76"/>
  <c r="BM199" i="76"/>
  <c r="BM203" i="76"/>
  <c r="BM210" i="76"/>
  <c r="BM147" i="76"/>
  <c r="BM151" i="76"/>
  <c r="BM155" i="76"/>
  <c r="BM161" i="76"/>
  <c r="BM101" i="76"/>
  <c r="BM105" i="76"/>
  <c r="BM109" i="76"/>
  <c r="BM114" i="76"/>
  <c r="BM57" i="76"/>
  <c r="BM61" i="76"/>
  <c r="BM65" i="76"/>
  <c r="BM11" i="76"/>
  <c r="BM15" i="76"/>
  <c r="BM19" i="76"/>
  <c r="BM156" i="76"/>
  <c r="BM102" i="76"/>
  <c r="BM110" i="76"/>
  <c r="BM54" i="76"/>
  <c r="BM62" i="76"/>
  <c r="BM16" i="76"/>
  <c r="BM26" i="76"/>
  <c r="BM200" i="76"/>
  <c r="BM152" i="76"/>
  <c r="BM163" i="76"/>
  <c r="BM106" i="76"/>
  <c r="BM116" i="76"/>
  <c r="BM58" i="76"/>
  <c r="BM67" i="76"/>
  <c r="BM12" i="76"/>
  <c r="BM20" i="76"/>
  <c r="BM204" i="76"/>
  <c r="BM71" i="76"/>
  <c r="BM24" i="76"/>
  <c r="BM148" i="76"/>
  <c r="BM104" i="76"/>
  <c r="BM56" i="76"/>
  <c r="BM10" i="76"/>
  <c r="BM159" i="76"/>
  <c r="BM64" i="76"/>
  <c r="BM108" i="76"/>
  <c r="BM14" i="76"/>
  <c r="BL194" i="76"/>
  <c r="FB69" i="76"/>
  <c r="EZ69" i="76"/>
  <c r="FB148" i="76"/>
  <c r="FC157" i="76"/>
  <c r="EZ157" i="76"/>
  <c r="FC117" i="76"/>
  <c r="FB55" i="76"/>
  <c r="FC64" i="76"/>
  <c r="FB154" i="76"/>
  <c r="FC102" i="76"/>
  <c r="FB153" i="76"/>
  <c r="EZ113" i="76"/>
  <c r="EZ70" i="76"/>
  <c r="FB157" i="76"/>
  <c r="EZ102" i="76"/>
  <c r="FB59" i="76"/>
  <c r="FC114" i="76"/>
  <c r="BJ163" i="76"/>
  <c r="BL60" i="76"/>
  <c r="BL208" i="76"/>
  <c r="BJ202" i="76"/>
  <c r="EZ114" i="76"/>
  <c r="EZ160" i="76"/>
  <c r="EZ112" i="76"/>
  <c r="FC105" i="76"/>
  <c r="EZ156" i="76"/>
  <c r="FB158" i="76"/>
  <c r="BL195" i="76"/>
  <c r="BJ158" i="76"/>
  <c r="BJ24" i="76"/>
  <c r="FC159" i="76"/>
  <c r="EZ68" i="76"/>
  <c r="FB66" i="76"/>
  <c r="FB116" i="76"/>
  <c r="FC68" i="76"/>
  <c r="BL163" i="76"/>
  <c r="BJ105" i="76"/>
  <c r="EZ154" i="76"/>
  <c r="EZ151" i="76"/>
  <c r="FB71" i="76"/>
  <c r="FB113" i="76"/>
  <c r="EZ146" i="76"/>
  <c r="FC154" i="76"/>
  <c r="BJ11" i="76"/>
  <c r="BL23" i="76"/>
  <c r="BL162" i="76"/>
  <c r="BL25" i="76"/>
  <c r="BL68" i="76"/>
  <c r="BJ200" i="76"/>
  <c r="FC146" i="76"/>
  <c r="FB58" i="76"/>
  <c r="FB110" i="76"/>
  <c r="BM115" i="76"/>
  <c r="BM158" i="76"/>
  <c r="BL198" i="76"/>
  <c r="BL106" i="76"/>
  <c r="BM68" i="76"/>
  <c r="BJ204" i="76"/>
  <c r="BL62" i="76"/>
  <c r="BL146" i="76"/>
  <c r="FC156" i="76"/>
  <c r="FB107" i="76"/>
  <c r="BM209" i="76"/>
  <c r="BL155" i="76"/>
  <c r="BJ110" i="76"/>
  <c r="BL206" i="76"/>
  <c r="BJ103" i="76"/>
  <c r="BJ58" i="76"/>
  <c r="BL147" i="76"/>
  <c r="BJ196" i="76"/>
  <c r="BJ150" i="76"/>
  <c r="FC69" i="76"/>
  <c r="FC66" i="76"/>
  <c r="BL24" i="76"/>
  <c r="BJ193" i="76"/>
  <c r="BJ194" i="76"/>
  <c r="BL204" i="76"/>
  <c r="BJ71" i="76"/>
  <c r="BJ205" i="76"/>
  <c r="BL115" i="76"/>
  <c r="BJ9" i="76"/>
  <c r="BJ113" i="76"/>
  <c r="BJ65" i="76"/>
  <c r="BL205" i="76"/>
  <c r="FC109" i="76"/>
  <c r="BJ72" i="76"/>
  <c r="BM162" i="76"/>
  <c r="BL19" i="76"/>
  <c r="BL211" i="76"/>
  <c r="BJ54" i="76"/>
  <c r="BL116" i="76"/>
  <c r="FC101" i="76"/>
  <c r="BL14" i="76"/>
  <c r="BJ153" i="76"/>
  <c r="BJ101" i="76"/>
  <c r="BL196" i="76"/>
  <c r="BM196" i="76"/>
  <c r="BM112" i="76"/>
  <c r="BM18" i="76"/>
  <c r="BL207" i="76"/>
  <c r="FB152" i="76"/>
  <c r="FC67" i="76"/>
  <c r="EZ103" i="76"/>
  <c r="FB117" i="76"/>
  <c r="EZ59" i="76"/>
  <c r="EZ118" i="76"/>
  <c r="FB150" i="76"/>
  <c r="FB64" i="76"/>
  <c r="EZ67" i="76"/>
  <c r="BL70" i="76"/>
  <c r="BJ55" i="76"/>
  <c r="FC111" i="76"/>
  <c r="EZ163" i="76"/>
  <c r="EZ159" i="76"/>
  <c r="EZ61" i="76"/>
  <c r="EZ108" i="76"/>
  <c r="BJ14" i="76"/>
  <c r="BM205" i="76"/>
  <c r="EZ65" i="76"/>
  <c r="EZ147" i="76"/>
  <c r="FB101" i="76"/>
  <c r="EZ72" i="76"/>
  <c r="BL156" i="76"/>
  <c r="EZ64" i="76"/>
  <c r="FC119" i="76"/>
  <c r="EZ107" i="76"/>
  <c r="BJ195" i="76"/>
  <c r="BL22" i="76"/>
  <c r="BL9" i="76"/>
  <c r="BL55" i="76"/>
  <c r="BJ197" i="76"/>
  <c r="BL158" i="76"/>
  <c r="EZ104" i="76"/>
  <c r="FB54" i="76"/>
  <c r="FC61" i="76"/>
  <c r="BL11" i="76"/>
  <c r="BL102" i="76"/>
  <c r="BM72" i="76"/>
  <c r="BL202" i="76"/>
  <c r="BJ70" i="76"/>
  <c r="AC27" i="74"/>
  <c r="BM113" i="76"/>
  <c r="EZ115" i="76"/>
  <c r="EZ101" i="76"/>
  <c r="BJ109" i="76"/>
  <c r="BL154" i="76"/>
  <c r="BJ107" i="76"/>
  <c r="BM160" i="76"/>
  <c r="BJ210" i="76"/>
  <c r="BJ211" i="76"/>
  <c r="BJ10" i="76"/>
  <c r="BJ117" i="76"/>
  <c r="BL148" i="76"/>
  <c r="FB67" i="76"/>
  <c r="BJ12" i="76"/>
  <c r="BJ69" i="76"/>
  <c r="BJ16" i="76"/>
  <c r="BJ161" i="76"/>
  <c r="BJ26" i="76"/>
  <c r="FC163" i="76"/>
  <c r="BJ160" i="76"/>
  <c r="BL161" i="76"/>
  <c r="BL64" i="76"/>
  <c r="BJ19" i="76"/>
  <c r="FC71" i="76"/>
  <c r="BL209" i="76"/>
  <c r="BL112" i="76"/>
  <c r="EZ105" i="76"/>
  <c r="BJ15" i="76"/>
  <c r="BL101" i="76"/>
  <c r="BM154" i="76"/>
  <c r="BJ57" i="76"/>
  <c r="EZ66" i="76"/>
  <c r="FB61" i="76"/>
  <c r="EZ58" i="76"/>
  <c r="EZ152" i="76"/>
  <c r="EZ150" i="76"/>
  <c r="FB151" i="76"/>
  <c r="BJ59" i="76"/>
  <c r="FC56" i="76"/>
  <c r="EZ158" i="76"/>
  <c r="FC155" i="76"/>
  <c r="FC151" i="76"/>
  <c r="FC162" i="76"/>
  <c r="FC158" i="76"/>
  <c r="FB112" i="76"/>
  <c r="FC147" i="76"/>
  <c r="BL199" i="76"/>
  <c r="FC108" i="76"/>
  <c r="EZ149" i="76"/>
  <c r="FC112" i="76"/>
  <c r="EZ57" i="76"/>
  <c r="FC63" i="76"/>
  <c r="BJ206" i="76"/>
  <c r="EZ63" i="76"/>
  <c r="FC58" i="76"/>
  <c r="EZ54" i="76"/>
  <c r="FB160" i="76"/>
  <c r="BJ207" i="76"/>
  <c r="BL69" i="76"/>
  <c r="FC59" i="76"/>
  <c r="FB111" i="76"/>
  <c r="FC149" i="76"/>
  <c r="BJ146" i="76"/>
  <c r="BJ56" i="76"/>
  <c r="BL110" i="76"/>
  <c r="BM207" i="76"/>
  <c r="BJ152" i="76"/>
  <c r="FB68" i="76"/>
  <c r="FC115" i="76"/>
  <c r="BJ154" i="76"/>
  <c r="BJ164" i="76"/>
  <c r="BJ106" i="76"/>
  <c r="BL197" i="76"/>
  <c r="BJ201" i="76"/>
  <c r="FC153" i="76"/>
  <c r="BJ20" i="76"/>
  <c r="BJ209" i="76"/>
  <c r="BJ62" i="76"/>
  <c r="BJ17" i="76"/>
  <c r="BJ151" i="76"/>
  <c r="BM119" i="76"/>
  <c r="BL67" i="76"/>
  <c r="BL152" i="76"/>
  <c r="BJ66" i="76"/>
  <c r="BJ114" i="76"/>
  <c r="BL13" i="76"/>
  <c r="BL153" i="76"/>
  <c r="BM23" i="76"/>
  <c r="BJ111" i="76"/>
  <c r="FC116" i="76"/>
  <c r="BJ118" i="76"/>
  <c r="EZ155" i="76"/>
  <c r="BL54" i="76"/>
  <c r="FB146" i="76"/>
  <c r="BM211" i="76"/>
  <c r="BL63" i="76"/>
  <c r="BJ68" i="76"/>
  <c r="BJ63" i="76"/>
  <c r="BJ23" i="76"/>
  <c r="BM60" i="76"/>
  <c r="BL157" i="76"/>
  <c r="FC55" i="76"/>
  <c r="FB115" i="76"/>
  <c r="FC106" i="76"/>
  <c r="FC110" i="76"/>
  <c r="FB155" i="76"/>
  <c r="BL119" i="76"/>
  <c r="EZ161" i="76"/>
  <c r="FB106" i="76"/>
  <c r="EZ55" i="76"/>
  <c r="FB119" i="76"/>
  <c r="FB147" i="76"/>
  <c r="FB72" i="76"/>
  <c r="FB60" i="76"/>
  <c r="BL57" i="76"/>
  <c r="BL150" i="76"/>
  <c r="BJ116" i="76"/>
  <c r="FC164" i="76"/>
  <c r="FB118" i="76"/>
  <c r="EZ109" i="76"/>
  <c r="EZ116" i="76"/>
  <c r="FB109" i="76"/>
  <c r="BL111" i="76"/>
  <c r="BL201" i="76"/>
  <c r="EZ71" i="76"/>
  <c r="EZ111" i="76"/>
  <c r="FB57" i="76"/>
  <c r="EZ117" i="76"/>
  <c r="EZ153" i="76"/>
  <c r="FC104" i="76"/>
  <c r="FB162" i="76"/>
  <c r="FC54" i="76"/>
  <c r="BM70" i="76"/>
  <c r="BJ22" i="76"/>
  <c r="FC160" i="76"/>
  <c r="EZ60" i="76"/>
  <c r="BJ148" i="76"/>
  <c r="EZ56" i="76"/>
  <c r="BM25" i="76"/>
  <c r="FB161" i="76"/>
  <c r="FC65" i="76"/>
  <c r="FC152" i="76"/>
  <c r="BJ61" i="76"/>
  <c r="FB159" i="76"/>
  <c r="BL17" i="76"/>
  <c r="BJ108" i="76"/>
  <c r="EZ162" i="76"/>
  <c r="BL117" i="76"/>
  <c r="BJ21" i="76"/>
  <c r="BM117" i="76"/>
  <c r="BJ147" i="76"/>
  <c r="BL164" i="76"/>
  <c r="BL105" i="76"/>
  <c r="BJ199" i="76"/>
  <c r="FC118" i="76"/>
  <c r="BL113" i="76"/>
  <c r="BL210" i="76"/>
  <c r="BJ203" i="76"/>
  <c r="FC72" i="76"/>
  <c r="BJ208" i="76"/>
  <c r="FB65" i="76"/>
  <c r="FC70" i="76"/>
  <c r="EZ106" i="76"/>
  <c r="FC103" i="76"/>
  <c r="FB164" i="76"/>
  <c r="FB70" i="76"/>
  <c r="BM164" i="76"/>
  <c r="BL200" i="76"/>
  <c r="BL56" i="76"/>
  <c r="BM66" i="76"/>
  <c r="BJ67" i="76"/>
  <c r="BL61" i="76"/>
  <c r="FC60" i="76"/>
  <c r="BL118" i="76"/>
  <c r="BL71" i="76"/>
  <c r="BM21" i="76"/>
  <c r="EZ119" i="76"/>
  <c r="BL203" i="76"/>
  <c r="BJ149" i="76"/>
  <c r="BJ157" i="76"/>
  <c r="FB105" i="76"/>
  <c r="BL193" i="76"/>
  <c r="BJ60" i="76"/>
  <c r="EZ110" i="76"/>
  <c r="BL12" i="76"/>
  <c r="FC107" i="76"/>
  <c r="BL65" i="76"/>
  <c r="EZ164" i="76"/>
  <c r="FB56" i="76"/>
  <c r="FC161" i="76"/>
  <c r="EZ62" i="76"/>
  <c r="FC113" i="76"/>
  <c r="BL20" i="76"/>
  <c r="FB149" i="76"/>
  <c r="BL114" i="76"/>
  <c r="FB62" i="76"/>
  <c r="BL26" i="76"/>
  <c r="BL16" i="76"/>
  <c r="BL104" i="76"/>
  <c r="BJ159" i="76"/>
  <c r="FB104" i="76"/>
  <c r="FB103" i="76"/>
  <c r="EZ148" i="76"/>
  <c r="BL10" i="76"/>
  <c r="BJ25" i="76"/>
  <c r="BJ198" i="76"/>
  <c r="BL21" i="76"/>
  <c r="BL58" i="76"/>
  <c r="BJ104" i="76"/>
  <c r="BJ156" i="76"/>
  <c r="BJ64" i="76"/>
  <c r="BL66" i="76"/>
  <c r="BL72" i="76"/>
  <c r="FC57" i="76"/>
  <c r="FB63" i="76"/>
  <c r="BJ102" i="76"/>
  <c r="FB156" i="76"/>
  <c r="BJ119" i="76"/>
  <c r="BJ18" i="76"/>
  <c r="FB108" i="76"/>
  <c r="BJ162" i="76"/>
  <c r="FC62" i="76"/>
  <c r="BL160" i="76"/>
  <c r="BL107" i="76"/>
  <c r="BL159" i="76"/>
  <c r="BJ155" i="76"/>
  <c r="BL109" i="76"/>
  <c r="BL151" i="76"/>
  <c r="BL15" i="76"/>
  <c r="FC148" i="76"/>
  <c r="BJ13" i="76"/>
  <c r="BL149" i="76"/>
  <c r="BL18" i="76"/>
  <c r="FB163" i="76"/>
  <c r="FB102" i="76"/>
  <c r="FB114" i="76"/>
  <c r="BL103" i="76"/>
  <c r="BJ115" i="76"/>
  <c r="FC150" i="76"/>
  <c r="BJ112" i="76"/>
  <c r="BL108" i="76"/>
  <c r="BL59" i="76"/>
  <c r="AK242" i="76"/>
  <c r="AB54" i="73"/>
  <c r="AB50" i="73"/>
  <c r="AB53" i="73"/>
  <c r="AB52" i="73"/>
  <c r="BI150" i="76"/>
  <c r="BI151" i="76"/>
  <c r="BI65" i="76"/>
  <c r="BI207" i="76"/>
  <c r="BI159" i="76"/>
  <c r="BI198" i="76"/>
  <c r="EY118" i="76"/>
  <c r="EY151" i="76"/>
  <c r="BI58" i="76"/>
  <c r="BI11" i="76"/>
  <c r="EY114" i="76"/>
  <c r="BI9" i="76"/>
  <c r="EY69" i="76"/>
  <c r="EY148" i="76"/>
  <c r="BI153" i="76"/>
  <c r="EY161" i="76"/>
  <c r="EY153" i="76"/>
  <c r="I27" i="74"/>
  <c r="BI17" i="76"/>
  <c r="BI147" i="76"/>
  <c r="EY67" i="76"/>
  <c r="EY65" i="76"/>
  <c r="BI66" i="76"/>
  <c r="BI149" i="76"/>
  <c r="BI193" i="76"/>
  <c r="BI67" i="76"/>
  <c r="BI114" i="76"/>
  <c r="BI55" i="76"/>
  <c r="BI12" i="76"/>
  <c r="BI110" i="76"/>
  <c r="BI112" i="76"/>
  <c r="EY60" i="76"/>
  <c r="EY70" i="76"/>
  <c r="EY117" i="76"/>
  <c r="BI56" i="76"/>
  <c r="EY105" i="76"/>
  <c r="EY164" i="76"/>
  <c r="BI103" i="76"/>
  <c r="BI71" i="76"/>
  <c r="BI26" i="76"/>
  <c r="EY155" i="76"/>
  <c r="BI57" i="76"/>
  <c r="BI69" i="76"/>
  <c r="BI210" i="76"/>
  <c r="EY104" i="76"/>
  <c r="EY159" i="76"/>
  <c r="EY162" i="76"/>
  <c r="BI119" i="76"/>
  <c r="BI62" i="76"/>
  <c r="BI154" i="76"/>
  <c r="BI18" i="76"/>
  <c r="BI63" i="76"/>
  <c r="EY152" i="76"/>
  <c r="BI163" i="76"/>
  <c r="BI61" i="76"/>
  <c r="EY113" i="76"/>
  <c r="T249" i="76"/>
  <c r="AN27" i="74" s="1"/>
  <c r="BI206" i="76"/>
  <c r="BI113" i="76"/>
  <c r="BI15" i="76"/>
  <c r="BI148" i="76"/>
  <c r="BI202" i="76"/>
  <c r="BI157" i="76"/>
  <c r="EY149" i="76"/>
  <c r="EY68" i="76"/>
  <c r="BI200" i="76"/>
  <c r="BI203" i="76"/>
  <c r="EY147" i="76"/>
  <c r="EY58" i="76"/>
  <c r="EY71" i="76"/>
  <c r="EY110" i="76"/>
  <c r="EY62" i="76"/>
  <c r="BI117" i="76"/>
  <c r="BI164" i="76"/>
  <c r="EY163" i="76"/>
  <c r="EY54" i="76"/>
  <c r="BI14" i="76"/>
  <c r="BI196" i="76"/>
  <c r="BI160" i="76"/>
  <c r="BI106" i="76"/>
  <c r="EY61" i="76"/>
  <c r="EY102" i="76"/>
  <c r="BI16" i="76"/>
  <c r="EY112" i="76"/>
  <c r="EY59" i="76"/>
  <c r="BI118" i="76"/>
  <c r="EY101" i="76"/>
  <c r="BI25" i="76"/>
  <c r="BI208" i="76"/>
  <c r="BI64" i="76"/>
  <c r="BI59" i="76"/>
  <c r="BI205" i="76"/>
  <c r="BI22" i="76"/>
  <c r="EY63" i="76"/>
  <c r="BI72" i="76"/>
  <c r="EY111" i="76"/>
  <c r="EY160" i="76"/>
  <c r="BI24" i="76"/>
  <c r="EY72" i="76"/>
  <c r="BI195" i="76"/>
  <c r="BI152" i="76"/>
  <c r="EY55" i="76"/>
  <c r="BI70" i="76"/>
  <c r="BI211" i="76"/>
  <c r="BI105" i="76"/>
  <c r="BI107" i="76"/>
  <c r="EY103" i="76"/>
  <c r="BI111" i="76"/>
  <c r="BI162" i="76"/>
  <c r="EY158" i="76"/>
  <c r="EY64" i="76"/>
  <c r="EY115" i="76"/>
  <c r="EY56" i="76"/>
  <c r="BI204" i="76"/>
  <c r="EY156" i="76"/>
  <c r="BI101" i="76"/>
  <c r="BI20" i="76"/>
  <c r="BI21" i="76"/>
  <c r="BI158" i="76"/>
  <c r="BI108" i="76"/>
  <c r="BI13" i="76"/>
  <c r="BI156" i="76"/>
  <c r="BI10" i="76"/>
  <c r="EY150" i="76"/>
  <c r="BI209" i="76"/>
  <c r="BI68" i="76"/>
  <c r="EY106" i="76"/>
  <c r="BI104" i="76"/>
  <c r="AB249" i="76"/>
  <c r="AN55" i="74" s="1"/>
  <c r="BI23" i="76"/>
  <c r="EY154" i="76"/>
  <c r="EY116" i="76"/>
  <c r="EY109" i="76"/>
  <c r="EY108" i="76"/>
  <c r="BI199" i="76"/>
  <c r="BI201" i="76"/>
  <c r="EY119" i="76"/>
  <c r="EY66" i="76"/>
  <c r="BI194" i="76"/>
  <c r="BI54" i="76"/>
  <c r="EY157" i="76"/>
  <c r="EY146" i="76"/>
  <c r="BI197" i="76"/>
  <c r="BI115" i="76"/>
  <c r="BI161" i="76"/>
  <c r="BI109" i="76"/>
  <c r="BI19" i="76"/>
  <c r="BI102" i="76"/>
  <c r="BI155" i="76"/>
  <c r="BI60" i="76"/>
  <c r="EY57" i="76"/>
  <c r="BI146" i="76"/>
  <c r="BI116" i="76"/>
  <c r="EY107" i="76"/>
  <c r="AJ241" i="76"/>
  <c r="G2" i="76"/>
  <c r="BW27" i="76" s="1"/>
  <c r="BX27" i="76" s="1"/>
  <c r="Z51" i="73"/>
  <c r="V246" i="76"/>
  <c r="T252" i="76" s="1"/>
  <c r="BY27" i="76" l="1"/>
  <c r="BZ27" i="76"/>
  <c r="CA27" i="76" s="1"/>
  <c r="CB27" i="76" s="1"/>
  <c r="FE121" i="76"/>
  <c r="Q242" i="76" s="1"/>
  <c r="FE166" i="76"/>
  <c r="Q243" i="76" s="1"/>
  <c r="BK213" i="76"/>
  <c r="M236" i="76" s="1"/>
  <c r="FA166" i="76"/>
  <c r="M243" i="76" s="1"/>
  <c r="FE74" i="76"/>
  <c r="Q241" i="76" s="1"/>
  <c r="BO166" i="76"/>
  <c r="Q237" i="76" s="1"/>
  <c r="BO29" i="76"/>
  <c r="Q240" i="76" s="1"/>
  <c r="BO74" i="76"/>
  <c r="Q239" i="76" s="1"/>
  <c r="BO213" i="76"/>
  <c r="Q236" i="76" s="1"/>
  <c r="FA74" i="76"/>
  <c r="M241" i="76" s="1"/>
  <c r="BO121" i="76"/>
  <c r="Q238" i="76" s="1"/>
  <c r="FA121" i="76"/>
  <c r="M242" i="76" s="1"/>
  <c r="BP121" i="76"/>
  <c r="R238" i="76" s="1"/>
  <c r="FF166" i="76"/>
  <c r="R243" i="76" s="1"/>
  <c r="BK121" i="76"/>
  <c r="M238" i="76" s="1"/>
  <c r="BP166" i="76"/>
  <c r="R237" i="76" s="1"/>
  <c r="BK166" i="76"/>
  <c r="M237" i="76" s="1"/>
  <c r="BK29" i="76"/>
  <c r="M240" i="76" s="1"/>
  <c r="BN74" i="76"/>
  <c r="P239" i="76" s="1"/>
  <c r="BP29" i="76"/>
  <c r="R240" i="76" s="1"/>
  <c r="BP213" i="76"/>
  <c r="R236" i="76" s="1"/>
  <c r="BK74" i="76"/>
  <c r="M239" i="76" s="1"/>
  <c r="AC55" i="73"/>
  <c r="AA55" i="73"/>
  <c r="AB55" i="73"/>
  <c r="FF121" i="76"/>
  <c r="R242" i="76" s="1"/>
  <c r="FD74" i="76"/>
  <c r="P241" i="76" s="1"/>
  <c r="BN166" i="76"/>
  <c r="P237" i="76" s="1"/>
  <c r="FD121" i="76"/>
  <c r="P242" i="76" s="1"/>
  <c r="FF74" i="76"/>
  <c r="R241" i="76" s="1"/>
  <c r="BL213" i="76"/>
  <c r="N236" i="76" s="1"/>
  <c r="BN29" i="76"/>
  <c r="P240" i="76" s="1"/>
  <c r="BP74" i="76"/>
  <c r="R239" i="76" s="1"/>
  <c r="BN121" i="76"/>
  <c r="P238" i="76" s="1"/>
  <c r="BN213" i="76"/>
  <c r="P236" i="76" s="1"/>
  <c r="FD166" i="76"/>
  <c r="P243" i="76" s="1"/>
  <c r="E15" i="77"/>
  <c r="F15" i="77" s="1"/>
  <c r="E24" i="77"/>
  <c r="F24" i="77" s="1"/>
  <c r="E66" i="77"/>
  <c r="F66" i="77" s="1"/>
  <c r="E114" i="77"/>
  <c r="F114" i="77" s="1"/>
  <c r="E132" i="77"/>
  <c r="F132" i="77" s="1"/>
  <c r="E163" i="77"/>
  <c r="F163" i="77" s="1"/>
  <c r="E172" i="77"/>
  <c r="F172" i="77" s="1"/>
  <c r="E217" i="77"/>
  <c r="F217" i="77" s="1"/>
  <c r="E224" i="77"/>
  <c r="F224" i="77" s="1"/>
  <c r="E11" i="77"/>
  <c r="F11" i="77" s="1"/>
  <c r="E30" i="77"/>
  <c r="F30" i="77" s="1"/>
  <c r="E80" i="77"/>
  <c r="F80" i="77" s="1"/>
  <c r="E125" i="77"/>
  <c r="F125" i="77" s="1"/>
  <c r="E166" i="77"/>
  <c r="F166" i="77" s="1"/>
  <c r="E180" i="77"/>
  <c r="F180" i="77" s="1"/>
  <c r="E213" i="77"/>
  <c r="F213" i="77" s="1"/>
  <c r="E229" i="77"/>
  <c r="F229" i="77" s="1"/>
  <c r="E16" i="77"/>
  <c r="F16" i="77" s="1"/>
  <c r="E25" i="77"/>
  <c r="F25" i="77" s="1"/>
  <c r="E61" i="77"/>
  <c r="F61" i="77" s="1"/>
  <c r="E128" i="77"/>
  <c r="F128" i="77" s="1"/>
  <c r="E167" i="77"/>
  <c r="F167" i="77" s="1"/>
  <c r="E176" i="77"/>
  <c r="F176" i="77" s="1"/>
  <c r="E216" i="77"/>
  <c r="F216" i="77" s="1"/>
  <c r="E228" i="77"/>
  <c r="F228" i="77" s="1"/>
  <c r="E12" i="77"/>
  <c r="F12" i="77" s="1"/>
  <c r="E64" i="77"/>
  <c r="F64" i="77" s="1"/>
  <c r="E72" i="77"/>
  <c r="F72" i="77" s="1"/>
  <c r="E79" i="77"/>
  <c r="F79" i="77" s="1"/>
  <c r="E113" i="77"/>
  <c r="F113" i="77" s="1"/>
  <c r="E123" i="77"/>
  <c r="F123" i="77" s="1"/>
  <c r="E209" i="77"/>
  <c r="F209" i="77" s="1"/>
  <c r="E218" i="77"/>
  <c r="F218" i="77" s="1"/>
  <c r="E230" i="77"/>
  <c r="F230" i="77" s="1"/>
  <c r="E17" i="77"/>
  <c r="F17" i="77" s="1"/>
  <c r="E115" i="77"/>
  <c r="F115" i="77" s="1"/>
  <c r="E159" i="77"/>
  <c r="F159" i="77" s="1"/>
  <c r="E164" i="77"/>
  <c r="F164" i="77" s="1"/>
  <c r="E225" i="77"/>
  <c r="F225" i="77" s="1"/>
  <c r="E14" i="77"/>
  <c r="F14" i="77" s="1"/>
  <c r="E22" i="77"/>
  <c r="F22" i="77" s="1"/>
  <c r="E65" i="77"/>
  <c r="F65" i="77" s="1"/>
  <c r="E74" i="77"/>
  <c r="F74" i="77" s="1"/>
  <c r="E108" i="77"/>
  <c r="F108" i="77" s="1"/>
  <c r="E116" i="77"/>
  <c r="F116" i="77" s="1"/>
  <c r="E208" i="77"/>
  <c r="F208" i="77" s="1"/>
  <c r="E214" i="77"/>
  <c r="F214" i="77" s="1"/>
  <c r="E232" i="77"/>
  <c r="F232" i="77" s="1"/>
  <c r="E18" i="77"/>
  <c r="F18" i="77" s="1"/>
  <c r="E28" i="77"/>
  <c r="F28" i="77" s="1"/>
  <c r="E70" i="77"/>
  <c r="F70" i="77" s="1"/>
  <c r="E118" i="77"/>
  <c r="F118" i="77" s="1"/>
  <c r="E131" i="77"/>
  <c r="F131" i="77" s="1"/>
  <c r="E168" i="77"/>
  <c r="F168" i="77" s="1"/>
  <c r="E212" i="77"/>
  <c r="F212" i="77" s="1"/>
  <c r="E31" i="77"/>
  <c r="F31" i="77" s="1"/>
  <c r="E73" i="77"/>
  <c r="F73" i="77" s="1"/>
  <c r="E81" i="77"/>
  <c r="F81" i="77" s="1"/>
  <c r="E124" i="77"/>
  <c r="F124" i="77" s="1"/>
  <c r="E158" i="77"/>
  <c r="F158" i="77" s="1"/>
  <c r="E169" i="77"/>
  <c r="F169" i="77" s="1"/>
  <c r="E222" i="77"/>
  <c r="F222" i="77" s="1"/>
  <c r="E19" i="77"/>
  <c r="F19" i="77" s="1"/>
  <c r="E29" i="77"/>
  <c r="F29" i="77" s="1"/>
  <c r="E63" i="77"/>
  <c r="F63" i="77" s="1"/>
  <c r="E71" i="77"/>
  <c r="F71" i="77" s="1"/>
  <c r="E111" i="77"/>
  <c r="F111" i="77" s="1"/>
  <c r="E127" i="77"/>
  <c r="F127" i="77" s="1"/>
  <c r="E160" i="77"/>
  <c r="F160" i="77" s="1"/>
  <c r="E177" i="77"/>
  <c r="F177" i="77" s="1"/>
  <c r="E211" i="77"/>
  <c r="F211" i="77" s="1"/>
  <c r="E220" i="77"/>
  <c r="F220" i="77" s="1"/>
  <c r="E231" i="77"/>
  <c r="F231" i="77" s="1"/>
  <c r="E59" i="77"/>
  <c r="F59" i="77" s="1"/>
  <c r="E76" i="77"/>
  <c r="F76" i="77" s="1"/>
  <c r="E110" i="77"/>
  <c r="F110" i="77" s="1"/>
  <c r="E117" i="77"/>
  <c r="F117" i="77" s="1"/>
  <c r="E130" i="77"/>
  <c r="F130" i="77" s="1"/>
  <c r="E210" i="77"/>
  <c r="F210" i="77" s="1"/>
  <c r="E226" i="77"/>
  <c r="F226" i="77" s="1"/>
  <c r="E9" i="77"/>
  <c r="F9" i="77" s="1"/>
  <c r="E20" i="77"/>
  <c r="F20" i="77" s="1"/>
  <c r="E119" i="77"/>
  <c r="F119" i="77" s="1"/>
  <c r="E173" i="77"/>
  <c r="F173" i="77" s="1"/>
  <c r="E221" i="77"/>
  <c r="F221" i="77" s="1"/>
  <c r="E21" i="77"/>
  <c r="F21" i="77" s="1"/>
  <c r="E58" i="77"/>
  <c r="F58" i="77" s="1"/>
  <c r="E69" i="77"/>
  <c r="F69" i="77" s="1"/>
  <c r="E75" i="77"/>
  <c r="F75" i="77" s="1"/>
  <c r="E109" i="77"/>
  <c r="F109" i="77" s="1"/>
  <c r="E120" i="77"/>
  <c r="F120" i="77" s="1"/>
  <c r="E161" i="77"/>
  <c r="F161" i="77" s="1"/>
  <c r="E170" i="77"/>
  <c r="F170" i="77" s="1"/>
  <c r="E179" i="77"/>
  <c r="F179" i="77" s="1"/>
  <c r="E215" i="77"/>
  <c r="F215" i="77" s="1"/>
  <c r="E223" i="77"/>
  <c r="F223" i="77" s="1"/>
  <c r="E32" i="77"/>
  <c r="F32" i="77" s="1"/>
  <c r="E122" i="77"/>
  <c r="F122" i="77" s="1"/>
  <c r="E78" i="77"/>
  <c r="F78" i="77" s="1"/>
  <c r="E165" i="77"/>
  <c r="F165" i="77" s="1"/>
  <c r="E227" i="77"/>
  <c r="F227" i="77" s="1"/>
  <c r="E67" i="77"/>
  <c r="F67" i="77" s="1"/>
  <c r="E129" i="77"/>
  <c r="F129" i="77" s="1"/>
  <c r="E27" i="77"/>
  <c r="F27" i="77" s="1"/>
  <c r="E178" i="77"/>
  <c r="F178" i="77" s="1"/>
  <c r="E13" i="77"/>
  <c r="F13" i="77" s="1"/>
  <c r="E175" i="77"/>
  <c r="F175" i="77" s="1"/>
  <c r="E10" i="77"/>
  <c r="F10" i="77" s="1"/>
  <c r="E77" i="77"/>
  <c r="F77" i="77" s="1"/>
  <c r="E162" i="77"/>
  <c r="F162" i="77" s="1"/>
  <c r="E62" i="77"/>
  <c r="F62" i="77" s="1"/>
  <c r="E23" i="77"/>
  <c r="F23" i="77" s="1"/>
  <c r="E26" i="77"/>
  <c r="F26" i="77" s="1"/>
  <c r="E112" i="77"/>
  <c r="F112" i="77" s="1"/>
  <c r="E174" i="77"/>
  <c r="F174" i="77" s="1"/>
  <c r="E171" i="77"/>
  <c r="F171" i="77" s="1"/>
  <c r="E8" i="77"/>
  <c r="E68" i="77"/>
  <c r="F68" i="77" s="1"/>
  <c r="E157" i="77"/>
  <c r="E219" i="77"/>
  <c r="F219" i="77" s="1"/>
  <c r="E57" i="77"/>
  <c r="E126" i="77"/>
  <c r="F126" i="77" s="1"/>
  <c r="E60" i="77"/>
  <c r="F60" i="77" s="1"/>
  <c r="E121" i="77"/>
  <c r="F121" i="77" s="1"/>
  <c r="E181" i="77"/>
  <c r="F181" i="77" s="1"/>
  <c r="BW202" i="76"/>
  <c r="BW159" i="76"/>
  <c r="FM147" i="76"/>
  <c r="BW65" i="76"/>
  <c r="BW19" i="76"/>
  <c r="BW106" i="76"/>
  <c r="BW155" i="76"/>
  <c r="BW200" i="76"/>
  <c r="BW197" i="76"/>
  <c r="FM68" i="76"/>
  <c r="FN68" i="76" s="1"/>
  <c r="FM54" i="76"/>
  <c r="FN54" i="76" s="1"/>
  <c r="FM162" i="76"/>
  <c r="FN162" i="76" s="1"/>
  <c r="FM62" i="76"/>
  <c r="FN62" i="76" s="1"/>
  <c r="FM65" i="76"/>
  <c r="FN65" i="76" s="1"/>
  <c r="BW208" i="76"/>
  <c r="BW162" i="76"/>
  <c r="BW70" i="76"/>
  <c r="BW164" i="76"/>
  <c r="BX164" i="76" s="1"/>
  <c r="BW111" i="76"/>
  <c r="BW72" i="76"/>
  <c r="BX72" i="76" s="1"/>
  <c r="FM153" i="76"/>
  <c r="FN153" i="76" s="1"/>
  <c r="FM156" i="76"/>
  <c r="FN156" i="76" s="1"/>
  <c r="FM160" i="76"/>
  <c r="FN160" i="76" s="1"/>
  <c r="FM161" i="76"/>
  <c r="FN161" i="76" s="1"/>
  <c r="BW209" i="76"/>
  <c r="BW117" i="76"/>
  <c r="BW103" i="76"/>
  <c r="BW24" i="76"/>
  <c r="BW192" i="76"/>
  <c r="BW107" i="76"/>
  <c r="FM150" i="76"/>
  <c r="FN150" i="76" s="1"/>
  <c r="FM67" i="76"/>
  <c r="FN67" i="76" s="1"/>
  <c r="FM72" i="76"/>
  <c r="FN72" i="76" s="1"/>
  <c r="BW71" i="76"/>
  <c r="BW156" i="76"/>
  <c r="BW26" i="76"/>
  <c r="BW198" i="76"/>
  <c r="BW114" i="76"/>
  <c r="BW17" i="76"/>
  <c r="BW109" i="76"/>
  <c r="FM57" i="76"/>
  <c r="FN57" i="76" s="1"/>
  <c r="FM53" i="76"/>
  <c r="FM146" i="76"/>
  <c r="FN146" i="76" s="1"/>
  <c r="FM56" i="76"/>
  <c r="FN56" i="76" s="1"/>
  <c r="FM59" i="76"/>
  <c r="FN59" i="76" s="1"/>
  <c r="FM103" i="76"/>
  <c r="FN103" i="76" s="1"/>
  <c r="FM151" i="76"/>
  <c r="FN151" i="76" s="1"/>
  <c r="BW63" i="76"/>
  <c r="BW62" i="76"/>
  <c r="BW211" i="76"/>
  <c r="BX211" i="76" s="1"/>
  <c r="BW146" i="76"/>
  <c r="BW23" i="76"/>
  <c r="BW210" i="76"/>
  <c r="BW69" i="76"/>
  <c r="BW59" i="76"/>
  <c r="BW11" i="76"/>
  <c r="BW158" i="76"/>
  <c r="FM61" i="76"/>
  <c r="FN61" i="76" s="1"/>
  <c r="FM148" i="76"/>
  <c r="FN148" i="76" s="1"/>
  <c r="FM149" i="76"/>
  <c r="FN149" i="76" s="1"/>
  <c r="BW193" i="76"/>
  <c r="BW204" i="76"/>
  <c r="FM157" i="76"/>
  <c r="FN157" i="76" s="1"/>
  <c r="FM110" i="76"/>
  <c r="FN110" i="76" s="1"/>
  <c r="FM119" i="76"/>
  <c r="FN119" i="76" s="1"/>
  <c r="BW64" i="76"/>
  <c r="BW153" i="76"/>
  <c r="BW161" i="76"/>
  <c r="BW22" i="76"/>
  <c r="BW196" i="76"/>
  <c r="BW21" i="76"/>
  <c r="BW101" i="76"/>
  <c r="FM70" i="76"/>
  <c r="FN70" i="76" s="1"/>
  <c r="FM107" i="76"/>
  <c r="FN107" i="76" s="1"/>
  <c r="FM112" i="76"/>
  <c r="FN112" i="76" s="1"/>
  <c r="FM104" i="76"/>
  <c r="FN104" i="76" s="1"/>
  <c r="BW110" i="76"/>
  <c r="BW57" i="76"/>
  <c r="BW148" i="76"/>
  <c r="BW58" i="76"/>
  <c r="BW15" i="76"/>
  <c r="BW53" i="76"/>
  <c r="BW56" i="76"/>
  <c r="BW157" i="76"/>
  <c r="FM108" i="76"/>
  <c r="FN108" i="76" s="1"/>
  <c r="FM152" i="76"/>
  <c r="FN152" i="76" s="1"/>
  <c r="BW203" i="76"/>
  <c r="BW194" i="76"/>
  <c r="BW25" i="76"/>
  <c r="FM102" i="76"/>
  <c r="FM114" i="76"/>
  <c r="FN114" i="76" s="1"/>
  <c r="BW108" i="76"/>
  <c r="BW112" i="76"/>
  <c r="BW154" i="76"/>
  <c r="BW116" i="76"/>
  <c r="BW199" i="76"/>
  <c r="FM164" i="76"/>
  <c r="FN164" i="76" s="1"/>
  <c r="FM158" i="76"/>
  <c r="FN158" i="76" s="1"/>
  <c r="BW9" i="76"/>
  <c r="BW14" i="76"/>
  <c r="BW118" i="76"/>
  <c r="BW201" i="76"/>
  <c r="BW105" i="76"/>
  <c r="BW55" i="76"/>
  <c r="BW150" i="76"/>
  <c r="FM58" i="76"/>
  <c r="FN58" i="76" s="1"/>
  <c r="FM64" i="76"/>
  <c r="FN64" i="76" s="1"/>
  <c r="FM106" i="76"/>
  <c r="FN106" i="76" s="1"/>
  <c r="BW66" i="76"/>
  <c r="BW61" i="76"/>
  <c r="BW16" i="76"/>
  <c r="BW151" i="76"/>
  <c r="BW18" i="76"/>
  <c r="FM60" i="76"/>
  <c r="FN60" i="76" s="1"/>
  <c r="FM115" i="76"/>
  <c r="FN115" i="76" s="1"/>
  <c r="FM113" i="76"/>
  <c r="FN113" i="76" s="1"/>
  <c r="FM111" i="76"/>
  <c r="FN111" i="76" s="1"/>
  <c r="BW13" i="76"/>
  <c r="BW207" i="76"/>
  <c r="FM154" i="76"/>
  <c r="FN154" i="76" s="1"/>
  <c r="FM116" i="76"/>
  <c r="FN116" i="76" s="1"/>
  <c r="BW68" i="76"/>
  <c r="BW152" i="76"/>
  <c r="BW104" i="76"/>
  <c r="BW195" i="76"/>
  <c r="FM101" i="76"/>
  <c r="FN101" i="76" s="1"/>
  <c r="BW54" i="76"/>
  <c r="FM117" i="76"/>
  <c r="FN117" i="76" s="1"/>
  <c r="BW12" i="76"/>
  <c r="FM66" i="76"/>
  <c r="FN66" i="76" s="1"/>
  <c r="FM109" i="76"/>
  <c r="FN109" i="76" s="1"/>
  <c r="BW10" i="76"/>
  <c r="BW20" i="76"/>
  <c r="FM155" i="76"/>
  <c r="FN155" i="76" s="1"/>
  <c r="BW205" i="76"/>
  <c r="BW113" i="76"/>
  <c r="FM69" i="76"/>
  <c r="FN69" i="76" s="1"/>
  <c r="BW119" i="76"/>
  <c r="BX119" i="76" s="1"/>
  <c r="BW60" i="76"/>
  <c r="BW206" i="76"/>
  <c r="BW102" i="76"/>
  <c r="BW160" i="76"/>
  <c r="FM163" i="76"/>
  <c r="FN163" i="76" s="1"/>
  <c r="BW115" i="76"/>
  <c r="FM63" i="76"/>
  <c r="FN63" i="76" s="1"/>
  <c r="FM118" i="76"/>
  <c r="FN118" i="76" s="1"/>
  <c r="BW67" i="76"/>
  <c r="BW212" i="76"/>
  <c r="BX212" i="76" s="1"/>
  <c r="BY212" i="76" s="1"/>
  <c r="BW149" i="76"/>
  <c r="FM159" i="76"/>
  <c r="FN159" i="76" s="1"/>
  <c r="BW147" i="76"/>
  <c r="FM71" i="76"/>
  <c r="FN71" i="76" s="1"/>
  <c r="FM55" i="76"/>
  <c r="FN55" i="76" s="1"/>
  <c r="BW163" i="76"/>
  <c r="FM105" i="76"/>
  <c r="FN105" i="76" s="1"/>
  <c r="FB121" i="76"/>
  <c r="N242" i="76" s="1"/>
  <c r="EZ74" i="76"/>
  <c r="L241" i="76" s="1"/>
  <c r="BJ166" i="76"/>
  <c r="L237" i="76" s="1"/>
  <c r="BL121" i="76"/>
  <c r="N238" i="76" s="1"/>
  <c r="EZ166" i="76"/>
  <c r="L243" i="76" s="1"/>
  <c r="BJ74" i="76"/>
  <c r="L239" i="76" s="1"/>
  <c r="BJ213" i="76"/>
  <c r="L236" i="76" s="1"/>
  <c r="FB74" i="76"/>
  <c r="N241" i="76" s="1"/>
  <c r="BM121" i="76"/>
  <c r="O238" i="76" s="1"/>
  <c r="BM166" i="76"/>
  <c r="O237" i="76" s="1"/>
  <c r="EY121" i="76"/>
  <c r="K242" i="76" s="1"/>
  <c r="EY166" i="76"/>
  <c r="K243" i="76" s="1"/>
  <c r="BL74" i="76"/>
  <c r="N239" i="76" s="1"/>
  <c r="BL29" i="76"/>
  <c r="N240" i="76" s="1"/>
  <c r="EZ121" i="76"/>
  <c r="L242" i="76" s="1"/>
  <c r="FC121" i="76"/>
  <c r="O242" i="76" s="1"/>
  <c r="BM213" i="76"/>
  <c r="O236" i="76" s="1"/>
  <c r="BI166" i="76"/>
  <c r="K237" i="76" s="1"/>
  <c r="BI74" i="76"/>
  <c r="K239" i="76" s="1"/>
  <c r="FB166" i="76"/>
  <c r="N243" i="76" s="1"/>
  <c r="FC74" i="76"/>
  <c r="O241" i="76" s="1"/>
  <c r="BJ29" i="76"/>
  <c r="L240" i="76" s="1"/>
  <c r="BM29" i="76"/>
  <c r="O240" i="76" s="1"/>
  <c r="Z55" i="73"/>
  <c r="BI121" i="76"/>
  <c r="K238" i="76" s="1"/>
  <c r="EY74" i="76"/>
  <c r="K241" i="76" s="1"/>
  <c r="BI213" i="76"/>
  <c r="K236" i="76" s="1"/>
  <c r="BI29" i="76"/>
  <c r="K240" i="76" s="1"/>
  <c r="FC166" i="76"/>
  <c r="O243" i="76" s="1"/>
  <c r="BJ121" i="76"/>
  <c r="L238" i="76" s="1"/>
  <c r="BL166" i="76"/>
  <c r="N237" i="76" s="1"/>
  <c r="BM74" i="76"/>
  <c r="O239" i="76" s="1"/>
  <c r="M246" i="76" l="1"/>
  <c r="Q246" i="76"/>
  <c r="R246" i="76"/>
  <c r="N246" i="76"/>
  <c r="H175" i="77"/>
  <c r="I175" i="77" s="1"/>
  <c r="G175" i="77"/>
  <c r="J175" i="77" s="1"/>
  <c r="H120" i="77"/>
  <c r="I120" i="77" s="1"/>
  <c r="G120" i="77"/>
  <c r="J120" i="77" s="1"/>
  <c r="G210" i="77"/>
  <c r="H210" i="77"/>
  <c r="G220" i="77"/>
  <c r="J220" i="77" s="1"/>
  <c r="H220" i="77"/>
  <c r="I220" i="77" s="1"/>
  <c r="G63" i="77"/>
  <c r="J63" i="77" s="1"/>
  <c r="H63" i="77"/>
  <c r="H124" i="77"/>
  <c r="I124" i="77" s="1"/>
  <c r="G124" i="77"/>
  <c r="J124" i="77" s="1"/>
  <c r="G116" i="77"/>
  <c r="J116" i="77" s="1"/>
  <c r="H116" i="77"/>
  <c r="H159" i="77"/>
  <c r="G159" i="77"/>
  <c r="H218" i="77"/>
  <c r="I218" i="77" s="1"/>
  <c r="G218" i="77"/>
  <c r="J218" i="77" s="1"/>
  <c r="G219" i="77"/>
  <c r="J219" i="77" s="1"/>
  <c r="H219" i="77"/>
  <c r="I219" i="77" s="1"/>
  <c r="H171" i="77"/>
  <c r="I171" i="77" s="1"/>
  <c r="G171" i="77"/>
  <c r="J171" i="77" s="1"/>
  <c r="G67" i="77"/>
  <c r="J67" i="77" s="1"/>
  <c r="H67" i="77"/>
  <c r="H13" i="77"/>
  <c r="I13" i="77" s="1"/>
  <c r="G13" i="77"/>
  <c r="J13" i="77" s="1"/>
  <c r="G226" i="77"/>
  <c r="J226" i="77" s="1"/>
  <c r="H226" i="77"/>
  <c r="I226" i="77" s="1"/>
  <c r="G19" i="77"/>
  <c r="J19" i="77" s="1"/>
  <c r="H19" i="77"/>
  <c r="I19" i="77" s="1"/>
  <c r="H114" i="77"/>
  <c r="G114" i="77"/>
  <c r="J114" i="77" s="1"/>
  <c r="H68" i="77"/>
  <c r="I68" i="77" s="1"/>
  <c r="G68" i="77"/>
  <c r="J68" i="77" s="1"/>
  <c r="G174" i="77"/>
  <c r="J174" i="77" s="1"/>
  <c r="H174" i="77"/>
  <c r="I174" i="77" s="1"/>
  <c r="H62" i="77"/>
  <c r="I62" i="77" s="1"/>
  <c r="G62" i="77"/>
  <c r="J62" i="77" s="1"/>
  <c r="G69" i="77"/>
  <c r="J69" i="77" s="1"/>
  <c r="H69" i="77"/>
  <c r="I69" i="77" s="1"/>
  <c r="G71" i="77"/>
  <c r="J71" i="77" s="1"/>
  <c r="H71" i="77"/>
  <c r="I71" i="77" s="1"/>
  <c r="H123" i="77"/>
  <c r="I123" i="77" s="1"/>
  <c r="G123" i="77"/>
  <c r="J123" i="77" s="1"/>
  <c r="G214" i="77"/>
  <c r="J214" i="77" s="1"/>
  <c r="H214" i="77"/>
  <c r="I214" i="77" s="1"/>
  <c r="E182" i="77"/>
  <c r="H112" i="77"/>
  <c r="G112" i="77"/>
  <c r="J112" i="77" s="1"/>
  <c r="F233" i="77"/>
  <c r="G122" i="77"/>
  <c r="J122" i="77" s="1"/>
  <c r="H122" i="77"/>
  <c r="I122" i="77" s="1"/>
  <c r="G215" i="77"/>
  <c r="J215" i="77" s="1"/>
  <c r="H215" i="77"/>
  <c r="I215" i="77" s="1"/>
  <c r="G17" i="77"/>
  <c r="J17" i="77" s="1"/>
  <c r="H17" i="77"/>
  <c r="F157" i="77"/>
  <c r="F182" i="77" s="1"/>
  <c r="G65" i="77"/>
  <c r="J65" i="77" s="1"/>
  <c r="H65" i="77"/>
  <c r="H163" i="77"/>
  <c r="G163" i="77"/>
  <c r="J163" i="77" s="1"/>
  <c r="H15" i="77"/>
  <c r="G15" i="77"/>
  <c r="J15" i="77" s="1"/>
  <c r="G212" i="77"/>
  <c r="J212" i="77" s="1"/>
  <c r="H212" i="77"/>
  <c r="I212" i="77" s="1"/>
  <c r="H224" i="77"/>
  <c r="I224" i="77" s="1"/>
  <c r="G224" i="77"/>
  <c r="J224" i="77" s="1"/>
  <c r="G14" i="77"/>
  <c r="J14" i="77" s="1"/>
  <c r="H14" i="77"/>
  <c r="I14" i="77" s="1"/>
  <c r="H115" i="77"/>
  <c r="G115" i="77"/>
  <c r="J115" i="77" s="1"/>
  <c r="H166" i="77"/>
  <c r="G166" i="77"/>
  <c r="J166" i="77" s="1"/>
  <c r="G110" i="77"/>
  <c r="H110" i="77"/>
  <c r="G221" i="77"/>
  <c r="J221" i="77" s="1"/>
  <c r="H221" i="77"/>
  <c r="I221" i="77" s="1"/>
  <c r="H10" i="77"/>
  <c r="G10" i="77"/>
  <c r="J10" i="77" s="1"/>
  <c r="H70" i="77"/>
  <c r="I70" i="77" s="1"/>
  <c r="G70" i="77"/>
  <c r="J70" i="77" s="1"/>
  <c r="H227" i="77"/>
  <c r="I227" i="77" s="1"/>
  <c r="G227" i="77"/>
  <c r="J227" i="77" s="1"/>
  <c r="H21" i="77"/>
  <c r="I21" i="77" s="1"/>
  <c r="G21" i="77"/>
  <c r="J21" i="77" s="1"/>
  <c r="G213" i="77"/>
  <c r="J213" i="77" s="1"/>
  <c r="H213" i="77"/>
  <c r="I213" i="77" s="1"/>
  <c r="G119" i="77"/>
  <c r="J119" i="77" s="1"/>
  <c r="H119" i="77"/>
  <c r="I119" i="77" s="1"/>
  <c r="G217" i="77"/>
  <c r="J217" i="77" s="1"/>
  <c r="H217" i="77"/>
  <c r="I217" i="77" s="1"/>
  <c r="H66" i="77"/>
  <c r="G66" i="77"/>
  <c r="J66" i="77" s="1"/>
  <c r="H169" i="77"/>
  <c r="I169" i="77" s="1"/>
  <c r="G169" i="77"/>
  <c r="J169" i="77" s="1"/>
  <c r="H118" i="77"/>
  <c r="G118" i="77"/>
  <c r="J118" i="77" s="1"/>
  <c r="H225" i="77"/>
  <c r="I225" i="77" s="1"/>
  <c r="G225" i="77"/>
  <c r="J225" i="77" s="1"/>
  <c r="G164" i="77"/>
  <c r="J164" i="77" s="1"/>
  <c r="H164" i="77"/>
  <c r="G61" i="77"/>
  <c r="J61" i="77" s="1"/>
  <c r="H61" i="77"/>
  <c r="I61" i="77" s="1"/>
  <c r="G121" i="77"/>
  <c r="J121" i="77" s="1"/>
  <c r="H121" i="77"/>
  <c r="I121" i="77" s="1"/>
  <c r="E82" i="77"/>
  <c r="F8" i="77"/>
  <c r="F33" i="77" s="1"/>
  <c r="E33" i="77"/>
  <c r="G23" i="77"/>
  <c r="J23" i="77" s="1"/>
  <c r="H23" i="77"/>
  <c r="I23" i="77" s="1"/>
  <c r="H222" i="77"/>
  <c r="I222" i="77" s="1"/>
  <c r="G222" i="77"/>
  <c r="J222" i="77" s="1"/>
  <c r="G228" i="77"/>
  <c r="J228" i="77" s="1"/>
  <c r="H228" i="77"/>
  <c r="I228" i="77" s="1"/>
  <c r="H72" i="77"/>
  <c r="I72" i="77" s="1"/>
  <c r="G72" i="77"/>
  <c r="J72" i="77" s="1"/>
  <c r="F57" i="77"/>
  <c r="F82" i="77" s="1"/>
  <c r="H170" i="77"/>
  <c r="I170" i="77" s="1"/>
  <c r="G170" i="77"/>
  <c r="J170" i="77" s="1"/>
  <c r="F133" i="77"/>
  <c r="G20" i="77"/>
  <c r="J20" i="77" s="1"/>
  <c r="H20" i="77"/>
  <c r="I20" i="77" s="1"/>
  <c r="H117" i="77"/>
  <c r="G117" i="77"/>
  <c r="J117" i="77" s="1"/>
  <c r="H59" i="77"/>
  <c r="G59" i="77"/>
  <c r="J59" i="77" s="1"/>
  <c r="G18" i="77"/>
  <c r="J18" i="77" s="1"/>
  <c r="H18" i="77"/>
  <c r="E233" i="77"/>
  <c r="H113" i="77"/>
  <c r="G113" i="77"/>
  <c r="J113" i="77" s="1"/>
  <c r="P246" i="76"/>
  <c r="H161" i="77"/>
  <c r="I161" i="77" s="1"/>
  <c r="G161" i="77"/>
  <c r="J161" i="77" s="1"/>
  <c r="H162" i="77"/>
  <c r="G162" i="77"/>
  <c r="J162" i="77" s="1"/>
  <c r="H216" i="77"/>
  <c r="I216" i="77" s="1"/>
  <c r="G216" i="77"/>
  <c r="J216" i="77" s="1"/>
  <c r="G165" i="77"/>
  <c r="J165" i="77" s="1"/>
  <c r="H165" i="77"/>
  <c r="H64" i="77"/>
  <c r="G64" i="77"/>
  <c r="J64" i="77" s="1"/>
  <c r="H223" i="77"/>
  <c r="I223" i="77" s="1"/>
  <c r="G223" i="77"/>
  <c r="J223" i="77" s="1"/>
  <c r="H173" i="77"/>
  <c r="I173" i="77" s="1"/>
  <c r="G173" i="77"/>
  <c r="J173" i="77" s="1"/>
  <c r="H172" i="77"/>
  <c r="I172" i="77" s="1"/>
  <c r="G172" i="77"/>
  <c r="J172" i="77" s="1"/>
  <c r="H168" i="77"/>
  <c r="I168" i="77" s="1"/>
  <c r="G168" i="77"/>
  <c r="J168" i="77" s="1"/>
  <c r="E133" i="77"/>
  <c r="H22" i="77"/>
  <c r="I22" i="77" s="1"/>
  <c r="G22" i="77"/>
  <c r="J22" i="77" s="1"/>
  <c r="H230" i="77"/>
  <c r="I230" i="77" s="1"/>
  <c r="G230" i="77"/>
  <c r="J230" i="77" s="1"/>
  <c r="H167" i="77"/>
  <c r="I167" i="77" s="1"/>
  <c r="G167" i="77"/>
  <c r="J167" i="77" s="1"/>
  <c r="G12" i="77"/>
  <c r="J12" i="77" s="1"/>
  <c r="H12" i="77"/>
  <c r="I12" i="77" s="1"/>
  <c r="G16" i="77"/>
  <c r="J16" i="77" s="1"/>
  <c r="H16" i="77"/>
  <c r="L246" i="76"/>
  <c r="BX149" i="76"/>
  <c r="FP63" i="76"/>
  <c r="FQ63" i="76" s="1"/>
  <c r="FR63" i="76" s="1"/>
  <c r="FO63" i="76"/>
  <c r="FP163" i="76"/>
  <c r="FQ163" i="76" s="1"/>
  <c r="FR163" i="76" s="1"/>
  <c r="FO163" i="76"/>
  <c r="BX60" i="76"/>
  <c r="BX10" i="76"/>
  <c r="FO66" i="76"/>
  <c r="FP66" i="76"/>
  <c r="FQ66" i="76" s="1"/>
  <c r="FR66" i="76" s="1"/>
  <c r="BX104" i="76"/>
  <c r="FP154" i="76"/>
  <c r="FQ154" i="76" s="1"/>
  <c r="FR154" i="76" s="1"/>
  <c r="FO154" i="76"/>
  <c r="FP111" i="76"/>
  <c r="FQ111" i="76" s="1"/>
  <c r="FR111" i="76" s="1"/>
  <c r="FO111" i="76"/>
  <c r="BX16" i="76"/>
  <c r="FP106" i="76"/>
  <c r="FQ106" i="76" s="1"/>
  <c r="FR106" i="76" s="1"/>
  <c r="FO106" i="76"/>
  <c r="BX150" i="76"/>
  <c r="BX118" i="76"/>
  <c r="FP158" i="76"/>
  <c r="FQ158" i="76" s="1"/>
  <c r="FR158" i="76" s="1"/>
  <c r="FO158" i="76"/>
  <c r="BX154" i="76"/>
  <c r="BX56" i="76"/>
  <c r="BX58" i="76"/>
  <c r="FP107" i="76"/>
  <c r="FQ107" i="76" s="1"/>
  <c r="FR107" i="76" s="1"/>
  <c r="FO107" i="76"/>
  <c r="BX196" i="76"/>
  <c r="BX64" i="76"/>
  <c r="BX204" i="76"/>
  <c r="BX11" i="76"/>
  <c r="BX23" i="76"/>
  <c r="BX62" i="76"/>
  <c r="FP59" i="76"/>
  <c r="FQ59" i="76" s="1"/>
  <c r="FR59" i="76" s="1"/>
  <c r="FO59" i="76"/>
  <c r="BX114" i="76"/>
  <c r="BX71" i="76"/>
  <c r="FO150" i="76"/>
  <c r="FP150" i="76"/>
  <c r="FQ150" i="76" s="1"/>
  <c r="FR150" i="76" s="1"/>
  <c r="BX24" i="76"/>
  <c r="FO161" i="76"/>
  <c r="FP161" i="76"/>
  <c r="FQ161" i="76" s="1"/>
  <c r="FR161" i="76" s="1"/>
  <c r="BX70" i="76"/>
  <c r="FO62" i="76"/>
  <c r="FP62" i="76"/>
  <c r="FQ62" i="76" s="1"/>
  <c r="FR62" i="76" s="1"/>
  <c r="BX197" i="76"/>
  <c r="BX19" i="76"/>
  <c r="BY119" i="76"/>
  <c r="BZ119" i="76"/>
  <c r="CA119" i="76" s="1"/>
  <c r="CB119" i="76" s="1"/>
  <c r="BX205" i="76"/>
  <c r="BX54" i="76"/>
  <c r="BX207" i="76"/>
  <c r="BX18" i="76"/>
  <c r="BX61" i="76"/>
  <c r="BX14" i="76"/>
  <c r="FP164" i="76"/>
  <c r="FQ164" i="76" s="1"/>
  <c r="FR164" i="76" s="1"/>
  <c r="FO164" i="76"/>
  <c r="BX112" i="76"/>
  <c r="BX194" i="76"/>
  <c r="FO108" i="76"/>
  <c r="FP108" i="76"/>
  <c r="FQ108" i="76" s="1"/>
  <c r="FR108" i="76" s="1"/>
  <c r="BX148" i="76"/>
  <c r="BX110" i="76"/>
  <c r="FP70" i="76"/>
  <c r="FQ70" i="76" s="1"/>
  <c r="FR70" i="76" s="1"/>
  <c r="FO70" i="76"/>
  <c r="BX22" i="76"/>
  <c r="FP119" i="76"/>
  <c r="FQ119" i="76" s="1"/>
  <c r="FR119" i="76" s="1"/>
  <c r="FO119" i="76"/>
  <c r="BX193" i="76"/>
  <c r="FP148" i="76"/>
  <c r="FQ148" i="76" s="1"/>
  <c r="FR148" i="76" s="1"/>
  <c r="FO148" i="76"/>
  <c r="BX59" i="76"/>
  <c r="BW166" i="76"/>
  <c r="BX146" i="76"/>
  <c r="BX63" i="76"/>
  <c r="FO56" i="76"/>
  <c r="FP56" i="76"/>
  <c r="FQ56" i="76" s="1"/>
  <c r="FR56" i="76" s="1"/>
  <c r="FP57" i="76"/>
  <c r="FQ57" i="76" s="1"/>
  <c r="FR57" i="76" s="1"/>
  <c r="FO57" i="76"/>
  <c r="BX198" i="76"/>
  <c r="FP72" i="76"/>
  <c r="FQ72" i="76" s="1"/>
  <c r="FR72" i="76" s="1"/>
  <c r="FO72" i="76"/>
  <c r="BX107" i="76"/>
  <c r="BX103" i="76"/>
  <c r="FO160" i="76"/>
  <c r="FP160" i="76"/>
  <c r="FQ160" i="76" s="1"/>
  <c r="FR160" i="76" s="1"/>
  <c r="BZ72" i="76"/>
  <c r="CA72" i="76" s="1"/>
  <c r="CB72" i="76" s="1"/>
  <c r="BY72" i="76"/>
  <c r="BX162" i="76"/>
  <c r="FP162" i="76"/>
  <c r="FQ162" i="76" s="1"/>
  <c r="FR162" i="76" s="1"/>
  <c r="FO162" i="76"/>
  <c r="BX200" i="76"/>
  <c r="BX159" i="76"/>
  <c r="FO71" i="76"/>
  <c r="FP71" i="76"/>
  <c r="FQ71" i="76" s="1"/>
  <c r="FR71" i="76" s="1"/>
  <c r="FO105" i="76"/>
  <c r="FP105" i="76"/>
  <c r="FQ105" i="76" s="1"/>
  <c r="FR105" i="76" s="1"/>
  <c r="BX147" i="76"/>
  <c r="FO109" i="76"/>
  <c r="FP109" i="76"/>
  <c r="FQ109" i="76" s="1"/>
  <c r="FR109" i="76" s="1"/>
  <c r="FP113" i="76"/>
  <c r="FQ113" i="76" s="1"/>
  <c r="FR113" i="76" s="1"/>
  <c r="FO113" i="76"/>
  <c r="BX55" i="76"/>
  <c r="O246" i="76"/>
  <c r="BX163" i="76"/>
  <c r="BX67" i="76"/>
  <c r="BX115" i="76"/>
  <c r="BX102" i="76"/>
  <c r="FO69" i="76"/>
  <c r="FP69" i="76"/>
  <c r="FQ69" i="76" s="1"/>
  <c r="FR69" i="76" s="1"/>
  <c r="FP155" i="76"/>
  <c r="FQ155" i="76" s="1"/>
  <c r="FR155" i="76" s="1"/>
  <c r="FO155" i="76"/>
  <c r="BX12" i="76"/>
  <c r="FO101" i="76"/>
  <c r="FP101" i="76"/>
  <c r="FQ101" i="76" s="1"/>
  <c r="FR101" i="76" s="1"/>
  <c r="BX68" i="76"/>
  <c r="FO115" i="76"/>
  <c r="FP115" i="76"/>
  <c r="FQ115" i="76" s="1"/>
  <c r="FR115" i="76" s="1"/>
  <c r="BX66" i="76"/>
  <c r="FO58" i="76"/>
  <c r="FP58" i="76"/>
  <c r="FQ58" i="76" s="1"/>
  <c r="FR58" i="76" s="1"/>
  <c r="BX105" i="76"/>
  <c r="BX199" i="76"/>
  <c r="BX108" i="76"/>
  <c r="FM121" i="76"/>
  <c r="FN102" i="76"/>
  <c r="BX203" i="76"/>
  <c r="BW74" i="76"/>
  <c r="BX53" i="76"/>
  <c r="BX57" i="76"/>
  <c r="FO104" i="76"/>
  <c r="FP104" i="76"/>
  <c r="FQ104" i="76" s="1"/>
  <c r="FR104" i="76" s="1"/>
  <c r="BX101" i="76"/>
  <c r="BW121" i="76"/>
  <c r="BX161" i="76"/>
  <c r="FP110" i="76"/>
  <c r="FQ110" i="76" s="1"/>
  <c r="FR110" i="76" s="1"/>
  <c r="FO110" i="76"/>
  <c r="FP149" i="76"/>
  <c r="FQ149" i="76" s="1"/>
  <c r="FR149" i="76" s="1"/>
  <c r="FO149" i="76"/>
  <c r="FP61" i="76"/>
  <c r="FQ61" i="76" s="1"/>
  <c r="FR61" i="76" s="1"/>
  <c r="FO61" i="76"/>
  <c r="BX69" i="76"/>
  <c r="FP151" i="76"/>
  <c r="FQ151" i="76" s="1"/>
  <c r="FR151" i="76" s="1"/>
  <c r="FO151" i="76"/>
  <c r="FP146" i="76"/>
  <c r="FQ146" i="76" s="1"/>
  <c r="FR146" i="76" s="1"/>
  <c r="FO146" i="76"/>
  <c r="BX109" i="76"/>
  <c r="BX26" i="76"/>
  <c r="BX117" i="76"/>
  <c r="FP156" i="76"/>
  <c r="FQ156" i="76" s="1"/>
  <c r="FR156" i="76" s="1"/>
  <c r="FO156" i="76"/>
  <c r="BX111" i="76"/>
  <c r="BX208" i="76"/>
  <c r="FP54" i="76"/>
  <c r="FQ54" i="76" s="1"/>
  <c r="FR54" i="76" s="1"/>
  <c r="FO54" i="76"/>
  <c r="BX155" i="76"/>
  <c r="BX65" i="76"/>
  <c r="K246" i="76"/>
  <c r="BX160" i="76"/>
  <c r="BX152" i="76"/>
  <c r="FO64" i="76"/>
  <c r="FP64" i="76"/>
  <c r="FQ64" i="76" s="1"/>
  <c r="FR64" i="76" s="1"/>
  <c r="FP55" i="76"/>
  <c r="FO55" i="76"/>
  <c r="FO159" i="76"/>
  <c r="FP159" i="76"/>
  <c r="FQ159" i="76" s="1"/>
  <c r="FR159" i="76" s="1"/>
  <c r="FP118" i="76"/>
  <c r="FQ118" i="76" s="1"/>
  <c r="FR118" i="76" s="1"/>
  <c r="FO118" i="76"/>
  <c r="BX206" i="76"/>
  <c r="BX113" i="76"/>
  <c r="BX20" i="76"/>
  <c r="FP117" i="76"/>
  <c r="FQ117" i="76" s="1"/>
  <c r="FR117" i="76" s="1"/>
  <c r="FO117" i="76"/>
  <c r="BX195" i="76"/>
  <c r="FP116" i="76"/>
  <c r="FQ116" i="76" s="1"/>
  <c r="FR116" i="76" s="1"/>
  <c r="FO116" i="76"/>
  <c r="BX13" i="76"/>
  <c r="FO60" i="76"/>
  <c r="FP60" i="76"/>
  <c r="FQ60" i="76" s="1"/>
  <c r="FR60" i="76" s="1"/>
  <c r="BX151" i="76"/>
  <c r="BX201" i="76"/>
  <c r="BW29" i="76"/>
  <c r="BX9" i="76"/>
  <c r="BX116" i="76"/>
  <c r="FP114" i="76"/>
  <c r="FQ114" i="76" s="1"/>
  <c r="FR114" i="76" s="1"/>
  <c r="FO114" i="76"/>
  <c r="BX25" i="76"/>
  <c r="FO152" i="76"/>
  <c r="FP152" i="76"/>
  <c r="FQ152" i="76" s="1"/>
  <c r="FR152" i="76" s="1"/>
  <c r="BX157" i="76"/>
  <c r="BX15" i="76"/>
  <c r="FP112" i="76"/>
  <c r="FQ112" i="76" s="1"/>
  <c r="FR112" i="76" s="1"/>
  <c r="FO112" i="76"/>
  <c r="BX21" i="76"/>
  <c r="BX153" i="76"/>
  <c r="FP157" i="76"/>
  <c r="FQ157" i="76" s="1"/>
  <c r="FR157" i="76" s="1"/>
  <c r="FO157" i="76"/>
  <c r="BX158" i="76"/>
  <c r="BX210" i="76"/>
  <c r="BY211" i="76"/>
  <c r="BZ211" i="76"/>
  <c r="CA211" i="76" s="1"/>
  <c r="CB211" i="76" s="1"/>
  <c r="FP103" i="76"/>
  <c r="FQ103" i="76" s="1"/>
  <c r="FR103" i="76" s="1"/>
  <c r="FO103" i="76"/>
  <c r="FN53" i="76"/>
  <c r="FM74" i="76"/>
  <c r="BX17" i="76"/>
  <c r="BX156" i="76"/>
  <c r="FP67" i="76"/>
  <c r="FQ67" i="76" s="1"/>
  <c r="FR67" i="76" s="1"/>
  <c r="FO67" i="76"/>
  <c r="BW213" i="76"/>
  <c r="BX192" i="76"/>
  <c r="BX209" i="76"/>
  <c r="FP153" i="76"/>
  <c r="FQ153" i="76" s="1"/>
  <c r="FR153" i="76" s="1"/>
  <c r="FO153" i="76"/>
  <c r="BY164" i="76"/>
  <c r="BZ164" i="76"/>
  <c r="CA164" i="76" s="1"/>
  <c r="CB164" i="76" s="1"/>
  <c r="FO65" i="76"/>
  <c r="FP65" i="76"/>
  <c r="FQ65" i="76" s="1"/>
  <c r="FR65" i="76" s="1"/>
  <c r="FP68" i="76"/>
  <c r="FQ68" i="76" s="1"/>
  <c r="FR68" i="76" s="1"/>
  <c r="FO68" i="76"/>
  <c r="BX106" i="76"/>
  <c r="FM166" i="76"/>
  <c r="FN147" i="76"/>
  <c r="BX202" i="76"/>
  <c r="I64" i="77" l="1"/>
  <c r="I65" i="77"/>
  <c r="I162" i="77"/>
  <c r="I117" i="77"/>
  <c r="I16" i="77"/>
  <c r="I164" i="77"/>
  <c r="I114" i="77"/>
  <c r="I116" i="77"/>
  <c r="I63" i="77"/>
  <c r="I165" i="77"/>
  <c r="I18" i="77"/>
  <c r="I118" i="77"/>
  <c r="I66" i="77"/>
  <c r="I166" i="77"/>
  <c r="I163" i="77"/>
  <c r="I17" i="77"/>
  <c r="I112" i="77"/>
  <c r="I67" i="77"/>
  <c r="J159" i="77"/>
  <c r="J182" i="77" s="1"/>
  <c r="G182" i="77"/>
  <c r="G33" i="77"/>
  <c r="I110" i="77"/>
  <c r="H133" i="77"/>
  <c r="J33" i="77"/>
  <c r="I159" i="77"/>
  <c r="H182" i="77"/>
  <c r="J82" i="77"/>
  <c r="I113" i="77"/>
  <c r="G82" i="77"/>
  <c r="E4" i="77"/>
  <c r="C1" i="77" s="1"/>
  <c r="I10" i="77"/>
  <c r="H33" i="77"/>
  <c r="J110" i="77"/>
  <c r="J133" i="77" s="1"/>
  <c r="G133" i="77"/>
  <c r="I115" i="77"/>
  <c r="I15" i="77"/>
  <c r="F4" i="77"/>
  <c r="I210" i="77"/>
  <c r="I233" i="77" s="1"/>
  <c r="H233" i="77"/>
  <c r="I59" i="77"/>
  <c r="H82" i="77"/>
  <c r="J210" i="77"/>
  <c r="J233" i="77" s="1"/>
  <c r="G233" i="77"/>
  <c r="FP147" i="76"/>
  <c r="FO147" i="76"/>
  <c r="FO166" i="76" s="1"/>
  <c r="AN243" i="76" s="1"/>
  <c r="FN166" i="76"/>
  <c r="AM243" i="76" s="1"/>
  <c r="BZ17" i="76"/>
  <c r="CA17" i="76" s="1"/>
  <c r="CB17" i="76" s="1"/>
  <c r="BY17" i="76"/>
  <c r="BZ210" i="76"/>
  <c r="CA210" i="76" s="1"/>
  <c r="CB210" i="76" s="1"/>
  <c r="BY210" i="76"/>
  <c r="BZ9" i="76"/>
  <c r="BX29" i="76"/>
  <c r="AM240" i="76" s="1"/>
  <c r="BY9" i="76"/>
  <c r="BY201" i="76"/>
  <c r="BZ201" i="76"/>
  <c r="CA201" i="76" s="1"/>
  <c r="CB201" i="76" s="1"/>
  <c r="BZ206" i="76"/>
  <c r="CA206" i="76" s="1"/>
  <c r="CB206" i="76" s="1"/>
  <c r="BY206" i="76"/>
  <c r="FP74" i="76"/>
  <c r="AO241" i="76" s="1"/>
  <c r="FQ55" i="76"/>
  <c r="BZ152" i="76"/>
  <c r="CA152" i="76" s="1"/>
  <c r="CB152" i="76" s="1"/>
  <c r="BY152" i="76"/>
  <c r="BZ160" i="76"/>
  <c r="CA160" i="76" s="1"/>
  <c r="CB160" i="76" s="1"/>
  <c r="BY160" i="76"/>
  <c r="BZ65" i="76"/>
  <c r="CA65" i="76" s="1"/>
  <c r="CB65" i="76" s="1"/>
  <c r="BY65" i="76"/>
  <c r="BZ109" i="76"/>
  <c r="CA109" i="76" s="1"/>
  <c r="CB109" i="76" s="1"/>
  <c r="BY109" i="76"/>
  <c r="BY108" i="76"/>
  <c r="BZ108" i="76"/>
  <c r="CA108" i="76" s="1"/>
  <c r="CB108" i="76" s="1"/>
  <c r="BZ105" i="76"/>
  <c r="CA105" i="76" s="1"/>
  <c r="CB105" i="76" s="1"/>
  <c r="BY105" i="76"/>
  <c r="BZ198" i="76"/>
  <c r="CA198" i="76" s="1"/>
  <c r="CB198" i="76" s="1"/>
  <c r="BY198" i="76"/>
  <c r="BX166" i="76"/>
  <c r="AM237" i="76" s="1"/>
  <c r="BY146" i="76"/>
  <c r="BZ146" i="76"/>
  <c r="BY193" i="76"/>
  <c r="BZ193" i="76"/>
  <c r="BZ110" i="76"/>
  <c r="CA110" i="76" s="1"/>
  <c r="CB110" i="76" s="1"/>
  <c r="BY110" i="76"/>
  <c r="BY194" i="76"/>
  <c r="BZ194" i="76"/>
  <c r="CA194" i="76" s="1"/>
  <c r="CB194" i="76" s="1"/>
  <c r="BY112" i="76"/>
  <c r="BZ112" i="76"/>
  <c r="CA112" i="76" s="1"/>
  <c r="CB112" i="76" s="1"/>
  <c r="BY62" i="76"/>
  <c r="BZ62" i="76"/>
  <c r="CA62" i="76" s="1"/>
  <c r="CB62" i="76" s="1"/>
  <c r="BY11" i="76"/>
  <c r="BZ11" i="76"/>
  <c r="CA11" i="76" s="1"/>
  <c r="CB11" i="76" s="1"/>
  <c r="BZ204" i="76"/>
  <c r="CA204" i="76" s="1"/>
  <c r="CB204" i="76" s="1"/>
  <c r="BY204" i="76"/>
  <c r="BZ196" i="76"/>
  <c r="CA196" i="76" s="1"/>
  <c r="CB196" i="76" s="1"/>
  <c r="BY196" i="76"/>
  <c r="BZ56" i="76"/>
  <c r="CA56" i="76" s="1"/>
  <c r="CB56" i="76" s="1"/>
  <c r="BY56" i="76"/>
  <c r="BY154" i="76"/>
  <c r="BZ154" i="76"/>
  <c r="CA154" i="76" s="1"/>
  <c r="CB154" i="76" s="1"/>
  <c r="BZ60" i="76"/>
  <c r="CA60" i="76" s="1"/>
  <c r="CB60" i="76" s="1"/>
  <c r="BY60" i="76"/>
  <c r="BY209" i="76"/>
  <c r="BZ209" i="76"/>
  <c r="CA209" i="76" s="1"/>
  <c r="CB209" i="76" s="1"/>
  <c r="BY153" i="76"/>
  <c r="BZ153" i="76"/>
  <c r="CA153" i="76" s="1"/>
  <c r="CB153" i="76" s="1"/>
  <c r="BZ15" i="76"/>
  <c r="CA15" i="76" s="1"/>
  <c r="CB15" i="76" s="1"/>
  <c r="BY15" i="76"/>
  <c r="BZ13" i="76"/>
  <c r="CA13" i="76" s="1"/>
  <c r="CB13" i="76" s="1"/>
  <c r="BY13" i="76"/>
  <c r="BZ195" i="76"/>
  <c r="CA195" i="76" s="1"/>
  <c r="CB195" i="76" s="1"/>
  <c r="BY195" i="76"/>
  <c r="BY113" i="76"/>
  <c r="BZ113" i="76"/>
  <c r="CA113" i="76" s="1"/>
  <c r="CB113" i="76" s="1"/>
  <c r="BY111" i="76"/>
  <c r="BZ111" i="76"/>
  <c r="CA111" i="76" s="1"/>
  <c r="CB111" i="76" s="1"/>
  <c r="BY117" i="76"/>
  <c r="BZ117" i="76"/>
  <c r="CA117" i="76" s="1"/>
  <c r="CB117" i="76" s="1"/>
  <c r="FP102" i="76"/>
  <c r="FO102" i="76"/>
  <c r="FO121" i="76" s="1"/>
  <c r="AN242" i="76" s="1"/>
  <c r="FN121" i="76"/>
  <c r="AM242" i="76" s="1"/>
  <c r="BY115" i="76"/>
  <c r="BZ115" i="76"/>
  <c r="CA115" i="76" s="1"/>
  <c r="CB115" i="76" s="1"/>
  <c r="BY159" i="76"/>
  <c r="BZ159" i="76"/>
  <c r="CA159" i="76" s="1"/>
  <c r="CB159" i="76" s="1"/>
  <c r="BY200" i="76"/>
  <c r="BZ200" i="76"/>
  <c r="CA200" i="76" s="1"/>
  <c r="CB200" i="76" s="1"/>
  <c r="BY162" i="76"/>
  <c r="BZ162" i="76"/>
  <c r="CA162" i="76" s="1"/>
  <c r="CB162" i="76" s="1"/>
  <c r="BZ107" i="76"/>
  <c r="CA107" i="76" s="1"/>
  <c r="CB107" i="76" s="1"/>
  <c r="BY107" i="76"/>
  <c r="BY61" i="76"/>
  <c r="BZ61" i="76"/>
  <c r="CA61" i="76" s="1"/>
  <c r="CB61" i="76" s="1"/>
  <c r="BZ70" i="76"/>
  <c r="CA70" i="76" s="1"/>
  <c r="CB70" i="76" s="1"/>
  <c r="BY70" i="76"/>
  <c r="BZ58" i="76"/>
  <c r="CA58" i="76" s="1"/>
  <c r="CB58" i="76" s="1"/>
  <c r="BY58" i="76"/>
  <c r="BZ16" i="76"/>
  <c r="CA16" i="76" s="1"/>
  <c r="CB16" i="76" s="1"/>
  <c r="BY16" i="76"/>
  <c r="BZ202" i="76"/>
  <c r="CA202" i="76" s="1"/>
  <c r="CB202" i="76" s="1"/>
  <c r="BY202" i="76"/>
  <c r="BY192" i="76"/>
  <c r="BX213" i="76"/>
  <c r="AM236" i="76" s="1"/>
  <c r="BY158" i="76"/>
  <c r="BZ158" i="76"/>
  <c r="CA158" i="76" s="1"/>
  <c r="CB158" i="76" s="1"/>
  <c r="BY157" i="76"/>
  <c r="BZ157" i="76"/>
  <c r="CA157" i="76" s="1"/>
  <c r="CB157" i="76" s="1"/>
  <c r="BY25" i="76"/>
  <c r="BZ25" i="76"/>
  <c r="CA25" i="76" s="1"/>
  <c r="CB25" i="76" s="1"/>
  <c r="BZ151" i="76"/>
  <c r="CA151" i="76" s="1"/>
  <c r="CB151" i="76" s="1"/>
  <c r="BY151" i="76"/>
  <c r="BY26" i="76"/>
  <c r="BZ26" i="76"/>
  <c r="CA26" i="76" s="1"/>
  <c r="CB26" i="76" s="1"/>
  <c r="BY101" i="76"/>
  <c r="BZ101" i="76"/>
  <c r="BX121" i="76"/>
  <c r="AM238" i="76" s="1"/>
  <c r="BY57" i="76"/>
  <c r="BZ57" i="76"/>
  <c r="CA57" i="76" s="1"/>
  <c r="CB57" i="76" s="1"/>
  <c r="BY199" i="76"/>
  <c r="BZ199" i="76"/>
  <c r="CA199" i="76" s="1"/>
  <c r="CB199" i="76" s="1"/>
  <c r="BY55" i="76"/>
  <c r="BZ55" i="76"/>
  <c r="CA55" i="76" s="1"/>
  <c r="CB55" i="76" s="1"/>
  <c r="BZ147" i="76"/>
  <c r="CA147" i="76" s="1"/>
  <c r="CB147" i="76" s="1"/>
  <c r="BY147" i="76"/>
  <c r="BY148" i="76"/>
  <c r="BZ148" i="76"/>
  <c r="CA148" i="76" s="1"/>
  <c r="CB148" i="76" s="1"/>
  <c r="BY207" i="76"/>
  <c r="BZ207" i="76"/>
  <c r="CA207" i="76" s="1"/>
  <c r="CB207" i="76" s="1"/>
  <c r="BY205" i="76"/>
  <c r="BZ205" i="76"/>
  <c r="CA205" i="76" s="1"/>
  <c r="CB205" i="76" s="1"/>
  <c r="BZ197" i="76"/>
  <c r="CA197" i="76" s="1"/>
  <c r="CB197" i="76" s="1"/>
  <c r="BY197" i="76"/>
  <c r="BY114" i="76"/>
  <c r="BZ114" i="76"/>
  <c r="CA114" i="76" s="1"/>
  <c r="CB114" i="76" s="1"/>
  <c r="BY23" i="76"/>
  <c r="BZ23" i="76"/>
  <c r="CA23" i="76" s="1"/>
  <c r="CB23" i="76" s="1"/>
  <c r="BY64" i="76"/>
  <c r="BZ64" i="76"/>
  <c r="CA64" i="76" s="1"/>
  <c r="CB64" i="76" s="1"/>
  <c r="BY150" i="76"/>
  <c r="BZ150" i="76"/>
  <c r="CA150" i="76" s="1"/>
  <c r="CB150" i="76" s="1"/>
  <c r="BZ104" i="76"/>
  <c r="CA104" i="76" s="1"/>
  <c r="CB104" i="76" s="1"/>
  <c r="BY104" i="76"/>
  <c r="BY149" i="76"/>
  <c r="BZ149" i="76"/>
  <c r="CA149" i="76" s="1"/>
  <c r="CB149" i="76" s="1"/>
  <c r="BY106" i="76"/>
  <c r="BZ106" i="76"/>
  <c r="CA106" i="76" s="1"/>
  <c r="CB106" i="76" s="1"/>
  <c r="BY156" i="76"/>
  <c r="BZ156" i="76"/>
  <c r="CA156" i="76" s="1"/>
  <c r="CB156" i="76" s="1"/>
  <c r="FO53" i="76"/>
  <c r="FO74" i="76" s="1"/>
  <c r="AN241" i="76" s="1"/>
  <c r="FN74" i="76"/>
  <c r="AM241" i="76" s="1"/>
  <c r="BY21" i="76"/>
  <c r="BZ21" i="76"/>
  <c r="CA21" i="76" s="1"/>
  <c r="CB21" i="76" s="1"/>
  <c r="BZ116" i="76"/>
  <c r="CA116" i="76" s="1"/>
  <c r="CB116" i="76" s="1"/>
  <c r="BY116" i="76"/>
  <c r="BZ20" i="76"/>
  <c r="CA20" i="76" s="1"/>
  <c r="CB20" i="76" s="1"/>
  <c r="BY20" i="76"/>
  <c r="BY155" i="76"/>
  <c r="BZ155" i="76"/>
  <c r="CA155" i="76" s="1"/>
  <c r="CB155" i="76" s="1"/>
  <c r="BY208" i="76"/>
  <c r="BZ208" i="76"/>
  <c r="CA208" i="76" s="1"/>
  <c r="CB208" i="76" s="1"/>
  <c r="BZ69" i="76"/>
  <c r="CA69" i="76" s="1"/>
  <c r="CB69" i="76" s="1"/>
  <c r="BY69" i="76"/>
  <c r="BZ161" i="76"/>
  <c r="CA161" i="76" s="1"/>
  <c r="CB161" i="76" s="1"/>
  <c r="BY161" i="76"/>
  <c r="BX74" i="76"/>
  <c r="AM239" i="76" s="1"/>
  <c r="BY53" i="76"/>
  <c r="BY203" i="76"/>
  <c r="BZ203" i="76"/>
  <c r="CA203" i="76" s="1"/>
  <c r="CB203" i="76" s="1"/>
  <c r="BZ66" i="76"/>
  <c r="CA66" i="76" s="1"/>
  <c r="CB66" i="76" s="1"/>
  <c r="BY66" i="76"/>
  <c r="BZ68" i="76"/>
  <c r="CA68" i="76" s="1"/>
  <c r="CB68" i="76" s="1"/>
  <c r="BY68" i="76"/>
  <c r="BY12" i="76"/>
  <c r="BZ12" i="76"/>
  <c r="CA12" i="76" s="1"/>
  <c r="CB12" i="76" s="1"/>
  <c r="BZ102" i="76"/>
  <c r="CA102" i="76" s="1"/>
  <c r="CB102" i="76" s="1"/>
  <c r="BY102" i="76"/>
  <c r="BY67" i="76"/>
  <c r="BZ67" i="76"/>
  <c r="CA67" i="76" s="1"/>
  <c r="CB67" i="76" s="1"/>
  <c r="BY163" i="76"/>
  <c r="BZ163" i="76"/>
  <c r="CA163" i="76" s="1"/>
  <c r="CB163" i="76" s="1"/>
  <c r="BY103" i="76"/>
  <c r="BZ103" i="76"/>
  <c r="CA103" i="76" s="1"/>
  <c r="CB103" i="76" s="1"/>
  <c r="BY63" i="76"/>
  <c r="BZ63" i="76"/>
  <c r="CA63" i="76" s="1"/>
  <c r="CB63" i="76" s="1"/>
  <c r="BY59" i="76"/>
  <c r="BZ59" i="76"/>
  <c r="CA59" i="76" s="1"/>
  <c r="CB59" i="76" s="1"/>
  <c r="BZ22" i="76"/>
  <c r="CA22" i="76" s="1"/>
  <c r="CB22" i="76" s="1"/>
  <c r="BY22" i="76"/>
  <c r="BY14" i="76"/>
  <c r="BZ14" i="76"/>
  <c r="CA14" i="76" s="1"/>
  <c r="CB14" i="76" s="1"/>
  <c r="BY18" i="76"/>
  <c r="BZ18" i="76"/>
  <c r="CA18" i="76" s="1"/>
  <c r="CB18" i="76" s="1"/>
  <c r="BY54" i="76"/>
  <c r="BZ54" i="76"/>
  <c r="BY19" i="76"/>
  <c r="BZ19" i="76"/>
  <c r="CA19" i="76" s="1"/>
  <c r="CB19" i="76" s="1"/>
  <c r="BZ24" i="76"/>
  <c r="CA24" i="76" s="1"/>
  <c r="CB24" i="76" s="1"/>
  <c r="BY24" i="76"/>
  <c r="BZ71" i="76"/>
  <c r="CA71" i="76" s="1"/>
  <c r="CB71" i="76" s="1"/>
  <c r="BY71" i="76"/>
  <c r="BY118" i="76"/>
  <c r="BZ118" i="76"/>
  <c r="CA118" i="76" s="1"/>
  <c r="CB118" i="76" s="1"/>
  <c r="BY10" i="76"/>
  <c r="BZ10" i="76"/>
  <c r="CA10" i="76" s="1"/>
  <c r="CB10" i="76" s="1"/>
  <c r="I182" i="77" l="1"/>
  <c r="I82" i="77"/>
  <c r="I33" i="77"/>
  <c r="H5" i="77"/>
  <c r="G5" i="77"/>
  <c r="I133" i="77"/>
  <c r="G4" i="77"/>
  <c r="H4" i="77"/>
  <c r="J4" i="77"/>
  <c r="BY213" i="76"/>
  <c r="AN236" i="76" s="1"/>
  <c r="BZ121" i="76"/>
  <c r="AO238" i="76" s="1"/>
  <c r="CA101" i="76"/>
  <c r="CA146" i="76"/>
  <c r="BZ166" i="76"/>
  <c r="AO237" i="76" s="1"/>
  <c r="BY74" i="76"/>
  <c r="AN239" i="76" s="1"/>
  <c r="BY121" i="76"/>
  <c r="AN238" i="76" s="1"/>
  <c r="FP121" i="76"/>
  <c r="AO242" i="76" s="1"/>
  <c r="FQ102" i="76"/>
  <c r="CA193" i="76"/>
  <c r="BZ213" i="76"/>
  <c r="AO236" i="76" s="1"/>
  <c r="BY166" i="76"/>
  <c r="AN237" i="76" s="1"/>
  <c r="BZ29" i="76"/>
  <c r="AO240" i="76" s="1"/>
  <c r="CA9" i="76"/>
  <c r="CA54" i="76"/>
  <c r="BZ74" i="76"/>
  <c r="AO239" i="76" s="1"/>
  <c r="AM246" i="76"/>
  <c r="AV246" i="76"/>
  <c r="FR55" i="76"/>
  <c r="FR74" i="76" s="1"/>
  <c r="AQ241" i="76" s="1"/>
  <c r="FQ74" i="76"/>
  <c r="AP241" i="76" s="1"/>
  <c r="BY29" i="76"/>
  <c r="FQ147" i="76"/>
  <c r="FP166" i="76"/>
  <c r="AO243" i="76" s="1"/>
  <c r="I4" i="77" l="1"/>
  <c r="I2" i="77"/>
  <c r="J2" i="77"/>
  <c r="M3" i="77" s="1"/>
  <c r="AN240" i="76"/>
  <c r="AN246" i="76" s="1"/>
  <c r="AO249" i="76" s="1"/>
  <c r="CA74" i="76"/>
  <c r="AP239" i="76" s="1"/>
  <c r="CB54" i="76"/>
  <c r="CB74" i="76" s="1"/>
  <c r="AQ239" i="76" s="1"/>
  <c r="FR102" i="76"/>
  <c r="FR121" i="76" s="1"/>
  <c r="AQ242" i="76" s="1"/>
  <c r="FQ121" i="76"/>
  <c r="AP242" i="76" s="1"/>
  <c r="CA121" i="76"/>
  <c r="AP238" i="76" s="1"/>
  <c r="CB101" i="76"/>
  <c r="CB121" i="76" s="1"/>
  <c r="AQ238" i="76" s="1"/>
  <c r="CB9" i="76"/>
  <c r="CB29" i="76" s="1"/>
  <c r="AQ240" i="76" s="1"/>
  <c r="CA29" i="76"/>
  <c r="AP240" i="76" s="1"/>
  <c r="CA213" i="76"/>
  <c r="AP236" i="76" s="1"/>
  <c r="CB193" i="76"/>
  <c r="CB213" i="76" s="1"/>
  <c r="AQ236" i="76" s="1"/>
  <c r="FR147" i="76"/>
  <c r="FR166" i="76" s="1"/>
  <c r="AQ243" i="76" s="1"/>
  <c r="FQ166" i="76"/>
  <c r="AP243" i="76" s="1"/>
  <c r="CA166" i="76"/>
  <c r="AP237" i="76" s="1"/>
  <c r="CB146" i="76"/>
  <c r="CB166" i="76" s="1"/>
  <c r="AQ237" i="76" s="1"/>
  <c r="AW246" i="76"/>
  <c r="AU246" i="76"/>
  <c r="L3" i="77" l="1"/>
  <c r="AO246" i="76"/>
  <c r="AQ246" i="76"/>
  <c r="AR246" i="76"/>
  <c r="AP246" i="76"/>
  <c r="AY246" i="76" l="1"/>
  <c r="S16" i="72"/>
  <c r="U16" i="7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Theodore Worosz</author>
  </authors>
  <commentList>
    <comment ref="G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Water conductivity before and after performing  measurements on sheet.</t>
        </r>
      </text>
    </comment>
    <comment ref="E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Electromagnetic flow meter range setting</t>
        </r>
      </text>
    </comment>
    <comment ref="A1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Duration for obtaining single averaged pressure measurement</t>
        </r>
      </text>
    </comment>
    <comment ref="A1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Pressure transducer range setting</t>
        </r>
      </text>
    </comment>
    <comment ref="A1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Pressure transducer range setting</t>
        </r>
      </text>
    </comment>
    <comment ref="A1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Obtain 20 measurements, each representing a time averaged value over the specified acquisition time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Theodore Worosz</author>
    <author>tc={7CE2C496-AAE0-437B-9306-2BBAE2E10ADE}</author>
  </authors>
  <commentList>
    <comment ref="CC6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7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CC5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FS51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52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52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EI52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EU52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CC98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FS98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99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99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EI99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EU99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CC143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FS143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144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144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EI144" authorId="0" shapeId="0" xr:uid="{00000000-0006-0000-0100-000014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EU144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CC190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191" authorId="0" shapeId="0" xr:uid="{00000000-0006-0000-0100-000017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191" authorId="0" shapeId="0" xr:uid="{00000000-0006-0000-0100-000018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AU245" authorId="1" shapeId="0" xr:uid="{7CE2C496-AAE0-437B-9306-2BBAE2E10ADE}">
      <text>
        <t>[Threaded comment]
Your version of Excel allows you to read this threaded comment; however, any edits to it will get removed if the file is opened in a newer version of Excel. Learn more: https://go.microsoft.com/fwlink/?linkid=870924
Comment:
    These four (Vr - F) currently do not work.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Theodore Worosz</author>
  </authors>
  <commentList>
    <comment ref="AS7" authorId="0" shapeId="0" xr:uid="{2BD91428-8AEA-4B0E-8729-4F9894EE0077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AS52" authorId="0" shapeId="0" xr:uid="{71FD9268-F637-41C7-AC12-2B4D0B834B22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AS99" authorId="0" shapeId="0" xr:uid="{EFC994F2-587F-4F16-93AB-5E1DD5685BD3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AS144" authorId="0" shapeId="0" xr:uid="{B004BA5C-E1B6-4777-A8C9-AF8DEDB078C9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AS191" authorId="0" shapeId="0" xr:uid="{272AE14C-C2CF-481F-9164-95DF35A5EBE8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</commentList>
</comments>
</file>

<file path=xl/sharedStrings.xml><?xml version="1.0" encoding="utf-8"?>
<sst xmlns="http://schemas.openxmlformats.org/spreadsheetml/2006/main" count="1596" uniqueCount="312">
  <si>
    <t>Run</t>
  </si>
  <si>
    <t>Port</t>
  </si>
  <si>
    <r>
      <t>j</t>
    </r>
    <r>
      <rPr>
        <b/>
        <vertAlign val="subscript"/>
        <sz val="11"/>
        <color theme="1"/>
        <rFont val="Calibri"/>
        <family val="2"/>
        <scheme val="minor"/>
      </rPr>
      <t>g,atm</t>
    </r>
    <r>
      <rPr>
        <b/>
        <sz val="11"/>
        <color theme="1"/>
        <rFont val="Calibri"/>
        <family val="2"/>
        <scheme val="minor"/>
      </rPr>
      <t xml:space="preserve"> [m/s]</t>
    </r>
  </si>
  <si>
    <r>
      <t>j</t>
    </r>
    <r>
      <rPr>
        <b/>
        <vertAlign val="subscript"/>
        <sz val="11"/>
        <color theme="1"/>
        <rFont val="Calibri"/>
        <family val="2"/>
        <scheme val="minor"/>
      </rPr>
      <t>f</t>
    </r>
    <r>
      <rPr>
        <b/>
        <sz val="11"/>
        <color theme="1"/>
        <rFont val="Calibri"/>
        <family val="2"/>
        <scheme val="minor"/>
      </rPr>
      <t xml:space="preserve"> [m/s]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</si>
  <si>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>g,observed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</si>
  <si>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back</t>
    </r>
    <r>
      <rPr>
        <b/>
        <sz val="11"/>
        <color theme="1"/>
        <rFont val="Calibri"/>
        <family val="2"/>
        <scheme val="minor"/>
      </rPr>
      <t xml:space="preserve"> [psig]</t>
    </r>
  </si>
  <si>
    <r>
      <t>T [</t>
    </r>
    <r>
      <rPr>
        <b/>
        <sz val="11"/>
        <color theme="1"/>
        <rFont val="Calibri"/>
        <family val="2"/>
      </rPr>
      <t>°F</t>
    </r>
    <r>
      <rPr>
        <b/>
        <sz val="11"/>
        <color theme="1"/>
        <rFont val="Calibri"/>
        <family val="2"/>
        <scheme val="minor"/>
      </rPr>
      <t>]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</si>
  <si>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 xml:space="preserve">g,atm </t>
    </r>
    <r>
      <rPr>
        <b/>
        <sz val="11"/>
        <color theme="1"/>
        <rFont val="Calibri"/>
        <family val="2"/>
        <scheme val="minor"/>
      </rPr>
      <t>[scfh]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</si>
  <si>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>f</t>
    </r>
    <r>
      <rPr>
        <b/>
        <sz val="11"/>
        <color theme="1"/>
        <rFont val="Calibri"/>
        <family val="2"/>
        <scheme val="minor"/>
      </rPr>
      <t xml:space="preserve"> [gpm]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</si>
  <si>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 xml:space="preserve">f, range </t>
    </r>
    <r>
      <rPr>
        <b/>
        <sz val="11"/>
        <color theme="1"/>
        <rFont val="Calibri"/>
        <family val="2"/>
        <scheme val="minor"/>
      </rPr>
      <t>[gpm]</t>
    </r>
  </si>
  <si>
    <t>Acquisition Time [s]</t>
  </si>
  <si>
    <t>Date</t>
  </si>
  <si>
    <r>
      <t>Q</t>
    </r>
    <r>
      <rPr>
        <b/>
        <vertAlign val="subscript"/>
        <sz val="11"/>
        <color theme="1"/>
        <rFont val="Calibri"/>
        <family val="2"/>
        <scheme val="minor"/>
      </rPr>
      <t>f,aux.</t>
    </r>
    <r>
      <rPr>
        <b/>
        <sz val="11"/>
        <color theme="1"/>
        <rFont val="Calibri"/>
        <family val="2"/>
        <scheme val="minor"/>
      </rPr>
      <t xml:space="preserve"> [gpm]</t>
    </r>
  </si>
  <si>
    <t>Traverse Orientation:</t>
  </si>
  <si>
    <t>r/R</t>
  </si>
  <si>
    <t>Bubble Number</t>
  </si>
  <si>
    <t>Void Fraction [-]</t>
  </si>
  <si>
    <t>Interfacial Area Concentration [1/m]</t>
  </si>
  <si>
    <t>Velocity Information</t>
  </si>
  <si>
    <t>Spherical</t>
  </si>
  <si>
    <t>Distorted</t>
  </si>
  <si>
    <t>Total</t>
  </si>
  <si>
    <t>Conductivity Probe Measurements</t>
  </si>
  <si>
    <t>r01</t>
  </si>
  <si>
    <t>r02</t>
  </si>
  <si>
    <t>r03</t>
  </si>
  <si>
    <t>r13</t>
  </si>
  <si>
    <t>r23</t>
  </si>
  <si>
    <t>r12</t>
  </si>
  <si>
    <t>Before</t>
  </si>
  <si>
    <t>After</t>
  </si>
  <si>
    <r>
      <t>Water Conductivity [</t>
    </r>
    <r>
      <rPr>
        <b/>
        <sz val="11"/>
        <color theme="1"/>
        <rFont val="Calibri"/>
        <family val="2"/>
      </rPr>
      <t>μ</t>
    </r>
    <r>
      <rPr>
        <b/>
        <sz val="9.35"/>
        <color theme="1"/>
        <rFont val="Calibri"/>
        <family val="2"/>
      </rPr>
      <t>S]</t>
    </r>
  </si>
  <si>
    <t>Trial Information</t>
  </si>
  <si>
    <t>Bubble Pairing</t>
  </si>
  <si>
    <t>Bubble Size</t>
  </si>
  <si>
    <t>Cap</t>
  </si>
  <si>
    <t>Slug</t>
  </si>
  <si>
    <t>Obs. #0</t>
  </si>
  <si>
    <t>Obs. #1</t>
  </si>
  <si>
    <t>Obs. #2</t>
  </si>
  <si>
    <t>Obs. #3</t>
  </si>
  <si>
    <t>Spherical [#]</t>
  </si>
  <si>
    <t>Distorted [#]</t>
  </si>
  <si>
    <t>Cap [#]</t>
  </si>
  <si>
    <t>Slug [#]</t>
  </si>
  <si>
    <t>Tot. Paired [#]</t>
  </si>
  <si>
    <t>Tot. Paired [%]</t>
  </si>
  <si>
    <t>G1</t>
  </si>
  <si>
    <t>G2</t>
  </si>
  <si>
    <t>|r/R|</t>
  </si>
  <si>
    <t>Void Weighted Velocity [m/s]</t>
  </si>
  <si>
    <t>Probe Geometry [mm]</t>
  </si>
  <si>
    <t>Void-Weighted Dsm [mm]</t>
  </si>
  <si>
    <t>Bubbles Observed at Each Sensor</t>
  </si>
  <si>
    <t>±r/R Points</t>
  </si>
  <si>
    <t>Area-Average Values</t>
  </si>
  <si>
    <t xml:space="preserve">Input </t>
  </si>
  <si>
    <t>j [m/s]</t>
  </si>
  <si>
    <r>
      <t>f</t>
    </r>
    <r>
      <rPr>
        <b/>
        <vertAlign val="subscript"/>
        <sz val="11"/>
        <color theme="1"/>
        <rFont val="Times New Roman"/>
        <family val="1"/>
      </rPr>
      <t>sample</t>
    </r>
    <r>
      <rPr>
        <b/>
        <sz val="11"/>
        <color theme="1"/>
        <rFont val="Times New Roman"/>
        <family val="1"/>
      </rPr>
      <t xml:space="preserve"> [Hz]</t>
    </r>
  </si>
  <si>
    <r>
      <t>f</t>
    </r>
    <r>
      <rPr>
        <b/>
        <vertAlign val="subscript"/>
        <sz val="11"/>
        <color theme="1"/>
        <rFont val="Times New Roman"/>
        <family val="1"/>
      </rPr>
      <t xml:space="preserve">bubble </t>
    </r>
    <r>
      <rPr>
        <b/>
        <sz val="11"/>
        <color theme="1"/>
        <rFont val="Times New Roman"/>
        <family val="1"/>
      </rPr>
      <t>[#/s]</t>
    </r>
  </si>
  <si>
    <r>
      <t>D</t>
    </r>
    <r>
      <rPr>
        <b/>
        <vertAlign val="subscript"/>
        <sz val="11"/>
        <color theme="1"/>
        <rFont val="Times New Roman"/>
        <family val="1"/>
      </rPr>
      <t>sm1</t>
    </r>
    <r>
      <rPr>
        <b/>
        <sz val="11"/>
        <color theme="1"/>
        <rFont val="Times New Roman"/>
        <family val="1"/>
      </rPr>
      <t xml:space="preserve"> [mm]</t>
    </r>
  </si>
  <si>
    <r>
      <t>L</t>
    </r>
    <r>
      <rPr>
        <b/>
        <vertAlign val="subscript"/>
        <sz val="11"/>
        <color theme="1"/>
        <rFont val="Times New Roman"/>
        <family val="1"/>
      </rPr>
      <t>CL1</t>
    </r>
    <r>
      <rPr>
        <b/>
        <sz val="11"/>
        <color theme="1"/>
        <rFont val="Times New Roman"/>
        <family val="1"/>
      </rPr>
      <t xml:space="preserve"> [mm]</t>
    </r>
  </si>
  <si>
    <r>
      <t>D</t>
    </r>
    <r>
      <rPr>
        <b/>
        <vertAlign val="subscript"/>
        <sz val="11"/>
        <color theme="1"/>
        <rFont val="Times New Roman"/>
        <family val="1"/>
      </rPr>
      <t>sm2</t>
    </r>
    <r>
      <rPr>
        <b/>
        <sz val="11"/>
        <color theme="1"/>
        <rFont val="Times New Roman"/>
        <family val="1"/>
      </rPr>
      <t xml:space="preserve"> [mm]</t>
    </r>
  </si>
  <si>
    <r>
      <t>L</t>
    </r>
    <r>
      <rPr>
        <b/>
        <vertAlign val="subscript"/>
        <sz val="11"/>
        <color theme="1"/>
        <rFont val="Times New Roman"/>
        <family val="1"/>
      </rPr>
      <t>CL2</t>
    </r>
    <r>
      <rPr>
        <b/>
        <sz val="11"/>
        <color theme="1"/>
        <rFont val="Times New Roman"/>
        <family val="1"/>
      </rPr>
      <t xml:space="preserve"> [mm]</t>
    </r>
  </si>
  <si>
    <r>
      <t>u</t>
    </r>
    <r>
      <rPr>
        <b/>
        <vertAlign val="subscript"/>
        <sz val="11"/>
        <color theme="1"/>
        <rFont val="Times New Roman"/>
        <family val="1"/>
      </rPr>
      <t xml:space="preserve">g1,avg </t>
    </r>
    <r>
      <rPr>
        <b/>
        <sz val="11"/>
        <color theme="1"/>
        <rFont val="Times New Roman"/>
        <family val="1"/>
      </rPr>
      <t>[m/s]</t>
    </r>
  </si>
  <si>
    <r>
      <t>u</t>
    </r>
    <r>
      <rPr>
        <b/>
        <vertAlign val="subscript"/>
        <sz val="11"/>
        <color theme="1"/>
        <rFont val="Times New Roman"/>
        <family val="1"/>
      </rPr>
      <t xml:space="preserve">g2,avg </t>
    </r>
    <r>
      <rPr>
        <b/>
        <sz val="11"/>
        <color theme="1"/>
        <rFont val="Times New Roman"/>
        <family val="1"/>
      </rPr>
      <t>[m/s]</t>
    </r>
  </si>
  <si>
    <r>
      <t>σ</t>
    </r>
    <r>
      <rPr>
        <b/>
        <sz val="12.65"/>
        <color theme="1"/>
        <rFont val="Times New Roman"/>
        <family val="1"/>
      </rPr>
      <t>(</t>
    </r>
    <r>
      <rPr>
        <b/>
        <sz val="11"/>
        <color theme="1"/>
        <rFont val="Times New Roman"/>
        <family val="1"/>
      </rPr>
      <t>u</t>
    </r>
    <r>
      <rPr>
        <b/>
        <vertAlign val="subscript"/>
        <sz val="11"/>
        <color theme="1"/>
        <rFont val="Times New Roman"/>
        <family val="1"/>
      </rPr>
      <t>g1</t>
    </r>
    <r>
      <rPr>
        <b/>
        <sz val="11"/>
        <color theme="1"/>
        <rFont val="Times New Roman"/>
        <family val="1"/>
      </rPr>
      <t>) [m/s]</t>
    </r>
  </si>
  <si>
    <r>
      <t>σ</t>
    </r>
    <r>
      <rPr>
        <b/>
        <sz val="12.65"/>
        <color theme="1"/>
        <rFont val="Times New Roman"/>
        <family val="1"/>
      </rPr>
      <t>(</t>
    </r>
    <r>
      <rPr>
        <b/>
        <sz val="11"/>
        <color theme="1"/>
        <rFont val="Times New Roman"/>
        <family val="1"/>
      </rPr>
      <t>u</t>
    </r>
    <r>
      <rPr>
        <b/>
        <vertAlign val="subscript"/>
        <sz val="11"/>
        <color theme="1"/>
        <rFont val="Times New Roman"/>
        <family val="1"/>
      </rPr>
      <t>g2</t>
    </r>
    <r>
      <rPr>
        <b/>
        <sz val="11"/>
        <color theme="1"/>
        <rFont val="Times New Roman"/>
        <family val="1"/>
      </rPr>
      <t>) [m/s]</t>
    </r>
  </si>
  <si>
    <r>
      <t>u</t>
    </r>
    <r>
      <rPr>
        <b/>
        <vertAlign val="subscript"/>
        <sz val="11"/>
        <color theme="1"/>
        <rFont val="Times New Roman"/>
        <family val="1"/>
      </rPr>
      <t>g</t>
    </r>
    <r>
      <rPr>
        <b/>
        <sz val="11"/>
        <color theme="1"/>
        <rFont val="Times New Roman"/>
        <family val="1"/>
      </rPr>
      <t>'/u</t>
    </r>
    <r>
      <rPr>
        <b/>
        <vertAlign val="subscript"/>
        <sz val="11"/>
        <color theme="1"/>
        <rFont val="Times New Roman"/>
        <family val="1"/>
      </rPr>
      <t>g,avg</t>
    </r>
  </si>
  <si>
    <r>
      <t>αv</t>
    </r>
    <r>
      <rPr>
        <b/>
        <vertAlign val="subscript"/>
        <sz val="11"/>
        <color theme="1"/>
        <rFont val="Times New Roman"/>
        <family val="1"/>
      </rPr>
      <t>g,1</t>
    </r>
  </si>
  <si>
    <r>
      <t>αv</t>
    </r>
    <r>
      <rPr>
        <b/>
        <vertAlign val="subscript"/>
        <sz val="11"/>
        <color theme="1"/>
        <rFont val="Times New Roman"/>
        <family val="1"/>
      </rPr>
      <t>g,2</t>
    </r>
  </si>
  <si>
    <r>
      <t>αv</t>
    </r>
    <r>
      <rPr>
        <b/>
        <vertAlign val="subscript"/>
        <sz val="11"/>
        <color theme="1"/>
        <rFont val="Times New Roman"/>
        <family val="1"/>
      </rPr>
      <t>g</t>
    </r>
  </si>
  <si>
    <r>
      <t>α</t>
    </r>
    <r>
      <rPr>
        <b/>
        <vertAlign val="subscript"/>
        <sz val="11"/>
        <color theme="1"/>
        <rFont val="Times New Roman"/>
        <family val="1"/>
      </rPr>
      <t>1</t>
    </r>
    <r>
      <rPr>
        <b/>
        <sz val="11"/>
        <color theme="1"/>
        <rFont val="Times New Roman"/>
        <family val="1"/>
      </rPr>
      <t>D</t>
    </r>
    <r>
      <rPr>
        <b/>
        <vertAlign val="subscript"/>
        <sz val="11"/>
        <color theme="1"/>
        <rFont val="Times New Roman"/>
        <family val="1"/>
      </rPr>
      <t>sm1</t>
    </r>
  </si>
  <si>
    <r>
      <t>α</t>
    </r>
    <r>
      <rPr>
        <b/>
        <vertAlign val="subscript"/>
        <sz val="11"/>
        <color theme="1"/>
        <rFont val="Times New Roman"/>
        <family val="1"/>
      </rPr>
      <t>2</t>
    </r>
    <r>
      <rPr>
        <b/>
        <sz val="11"/>
        <color theme="1"/>
        <rFont val="Times New Roman"/>
        <family val="1"/>
      </rPr>
      <t>D</t>
    </r>
    <r>
      <rPr>
        <b/>
        <vertAlign val="subscript"/>
        <sz val="11"/>
        <color theme="1"/>
        <rFont val="Times New Roman"/>
        <family val="1"/>
      </rPr>
      <t>sm2</t>
    </r>
  </si>
  <si>
    <r>
      <t>fD</t>
    </r>
    <r>
      <rPr>
        <b/>
        <vertAlign val="subscript"/>
        <sz val="11"/>
        <color theme="1"/>
        <rFont val="Times New Roman"/>
        <family val="1"/>
      </rPr>
      <t>sm</t>
    </r>
    <r>
      <rPr>
        <b/>
        <sz val="11"/>
        <color theme="1"/>
        <rFont val="Times New Roman"/>
        <family val="1"/>
      </rPr>
      <t xml:space="preserve"> [mm/s]</t>
    </r>
  </si>
  <si>
    <r>
      <t>v</t>
    </r>
    <r>
      <rPr>
        <b/>
        <vertAlign val="subscript"/>
        <sz val="10"/>
        <rFont val="Times New Roman"/>
        <family val="1"/>
      </rPr>
      <t>f,pre</t>
    </r>
    <r>
      <rPr>
        <b/>
        <sz val="10"/>
        <rFont val="Times New Roman"/>
        <family val="1"/>
      </rPr>
      <t xml:space="preserve"> [m/s]</t>
    </r>
  </si>
  <si>
    <t>αj [m/s]</t>
  </si>
  <si>
    <r>
      <t>V</t>
    </r>
    <r>
      <rPr>
        <b/>
        <vertAlign val="subscript"/>
        <sz val="11"/>
        <color theme="1"/>
        <rFont val="Times New Roman"/>
        <family val="1"/>
      </rPr>
      <t>2j</t>
    </r>
    <r>
      <rPr>
        <b/>
        <sz val="11"/>
        <color theme="1"/>
        <rFont val="Times New Roman"/>
        <family val="1"/>
      </rPr>
      <t xml:space="preserve"> [m/s]</t>
    </r>
  </si>
  <si>
    <r>
      <t>αV</t>
    </r>
    <r>
      <rPr>
        <b/>
        <vertAlign val="subscript"/>
        <sz val="11"/>
        <color theme="1"/>
        <rFont val="Times New Roman"/>
        <family val="1"/>
      </rPr>
      <t>2j</t>
    </r>
    <r>
      <rPr>
        <b/>
        <sz val="11"/>
        <color theme="1"/>
        <rFont val="Times New Roman"/>
        <family val="1"/>
      </rPr>
      <t xml:space="preserve"> [m/s]</t>
    </r>
  </si>
  <si>
    <r>
      <t>v</t>
    </r>
    <r>
      <rPr>
        <b/>
        <vertAlign val="subscript"/>
        <sz val="11"/>
        <color theme="1"/>
        <rFont val="Times New Roman"/>
        <family val="1"/>
      </rPr>
      <t>r</t>
    </r>
    <r>
      <rPr>
        <b/>
        <sz val="11"/>
        <color theme="1"/>
        <rFont val="Times New Roman"/>
        <family val="1"/>
      </rPr>
      <t xml:space="preserve"> [m/s]</t>
    </r>
  </si>
  <si>
    <t>n</t>
  </si>
  <si>
    <t>Freq. [Hz]=</t>
  </si>
  <si>
    <t>α</t>
  </si>
  <si>
    <r>
      <t>a</t>
    </r>
    <r>
      <rPr>
        <i/>
        <vertAlign val="subscript"/>
        <sz val="11"/>
        <color theme="1"/>
        <rFont val="Calibri"/>
        <family val="2"/>
        <scheme val="minor"/>
      </rPr>
      <t>i</t>
    </r>
  </si>
  <si>
    <r>
      <t>u</t>
    </r>
    <r>
      <rPr>
        <i/>
        <vertAlign val="subscript"/>
        <sz val="11"/>
        <color theme="1"/>
        <rFont val="Calibri"/>
        <family val="2"/>
        <scheme val="minor"/>
      </rPr>
      <t>g1</t>
    </r>
  </si>
  <si>
    <r>
      <t>D</t>
    </r>
    <r>
      <rPr>
        <i/>
        <vertAlign val="subscript"/>
        <sz val="11"/>
        <color theme="1"/>
        <rFont val="Calibri"/>
        <family val="2"/>
        <scheme val="minor"/>
      </rPr>
      <t>sm1</t>
    </r>
  </si>
  <si>
    <t>Percentage Difference [%]</t>
  </si>
  <si>
    <t>Total Area-Averaged Values</t>
  </si>
  <si>
    <t>Freq. [1/s]</t>
  </si>
  <si>
    <r>
      <t>Angle [θ</t>
    </r>
    <r>
      <rPr>
        <sz val="12.65"/>
        <color theme="1"/>
        <rFont val="Times New Roman"/>
        <family val="1"/>
      </rPr>
      <t>]</t>
    </r>
  </si>
  <si>
    <r>
      <t>α</t>
    </r>
    <r>
      <rPr>
        <sz val="12.65"/>
        <color theme="1"/>
        <rFont val="Times New Roman"/>
        <family val="1"/>
      </rPr>
      <t xml:space="preserve"> [%]</t>
    </r>
  </si>
  <si>
    <r>
      <t>a</t>
    </r>
    <r>
      <rPr>
        <vertAlign val="subscript"/>
        <sz val="11"/>
        <color theme="1"/>
        <rFont val="Times New Roman"/>
        <family val="1"/>
      </rPr>
      <t>i</t>
    </r>
    <r>
      <rPr>
        <sz val="11"/>
        <color theme="1"/>
        <rFont val="Times New Roman"/>
        <family val="1"/>
      </rPr>
      <t xml:space="preserve"> [1/m]</t>
    </r>
  </si>
  <si>
    <r>
      <t>D</t>
    </r>
    <r>
      <rPr>
        <vertAlign val="subscript"/>
        <sz val="11"/>
        <color theme="1"/>
        <rFont val="Times New Roman"/>
        <family val="1"/>
      </rPr>
      <t>sm1</t>
    </r>
    <r>
      <rPr>
        <sz val="11"/>
        <color theme="1"/>
        <rFont val="Times New Roman"/>
        <family val="1"/>
      </rPr>
      <t xml:space="preserve"> [mm]</t>
    </r>
  </si>
  <si>
    <r>
      <t>D</t>
    </r>
    <r>
      <rPr>
        <vertAlign val="subscript"/>
        <sz val="11"/>
        <color theme="1"/>
        <rFont val="Times New Roman"/>
        <family val="1"/>
      </rPr>
      <t>sm2</t>
    </r>
    <r>
      <rPr>
        <sz val="11"/>
        <color theme="1"/>
        <rFont val="Times New Roman"/>
        <family val="1"/>
      </rPr>
      <t xml:space="preserve"> [mm]</t>
    </r>
  </si>
  <si>
    <r>
      <t>u</t>
    </r>
    <r>
      <rPr>
        <vertAlign val="subscript"/>
        <sz val="11"/>
        <color theme="1"/>
        <rFont val="Times New Roman"/>
        <family val="1"/>
      </rPr>
      <t xml:space="preserve">g,avg </t>
    </r>
    <r>
      <rPr>
        <sz val="11"/>
        <color theme="1"/>
        <rFont val="Times New Roman"/>
        <family val="1"/>
      </rPr>
      <t>[m/s]</t>
    </r>
  </si>
  <si>
    <r>
      <t>σ</t>
    </r>
    <r>
      <rPr>
        <sz val="12.65"/>
        <color theme="1"/>
        <rFont val="Times New Roman"/>
        <family val="1"/>
      </rPr>
      <t>(</t>
    </r>
    <r>
      <rPr>
        <sz val="11"/>
        <color theme="1"/>
        <rFont val="Times New Roman"/>
        <family val="1"/>
      </rPr>
      <t>u</t>
    </r>
    <r>
      <rPr>
        <vertAlign val="subscript"/>
        <sz val="11"/>
        <color theme="1"/>
        <rFont val="Times New Roman"/>
        <family val="1"/>
      </rPr>
      <t>g1</t>
    </r>
    <r>
      <rPr>
        <sz val="11"/>
        <color theme="1"/>
        <rFont val="Times New Roman"/>
        <family val="1"/>
      </rPr>
      <t>)[m/s]</t>
    </r>
  </si>
  <si>
    <r>
      <t>σ</t>
    </r>
    <r>
      <rPr>
        <sz val="12.65"/>
        <color theme="1"/>
        <rFont val="Times New Roman"/>
        <family val="1"/>
      </rPr>
      <t>(</t>
    </r>
    <r>
      <rPr>
        <sz val="11"/>
        <color theme="1"/>
        <rFont val="Times New Roman"/>
        <family val="1"/>
      </rPr>
      <t>u</t>
    </r>
    <r>
      <rPr>
        <vertAlign val="subscript"/>
        <sz val="11"/>
        <color theme="1"/>
        <rFont val="Times New Roman"/>
        <family val="1"/>
      </rPr>
      <t>g2</t>
    </r>
    <r>
      <rPr>
        <sz val="11"/>
        <color theme="1"/>
        <rFont val="Times New Roman"/>
        <family val="1"/>
      </rPr>
      <t>) [m/s]</t>
    </r>
  </si>
  <si>
    <r>
      <t>u</t>
    </r>
    <r>
      <rPr>
        <vertAlign val="subscript"/>
        <sz val="11"/>
        <color theme="1"/>
        <rFont val="Times New Roman"/>
        <family val="1"/>
      </rPr>
      <t>g</t>
    </r>
    <r>
      <rPr>
        <sz val="11"/>
        <color theme="1"/>
        <rFont val="Times New Roman"/>
        <family val="1"/>
      </rPr>
      <t>'/u</t>
    </r>
    <r>
      <rPr>
        <vertAlign val="subscript"/>
        <sz val="11"/>
        <color theme="1"/>
        <rFont val="Times New Roman"/>
        <family val="1"/>
      </rPr>
      <t>g,avg</t>
    </r>
  </si>
  <si>
    <r>
      <t>α</t>
    </r>
    <r>
      <rPr>
        <sz val="12.65"/>
        <color theme="1"/>
        <rFont val="Times New Roman"/>
        <family val="1"/>
      </rPr>
      <t>u</t>
    </r>
    <r>
      <rPr>
        <vertAlign val="subscript"/>
        <sz val="12.65"/>
        <color theme="1"/>
        <rFont val="Times New Roman"/>
        <family val="1"/>
      </rPr>
      <t>g,avg</t>
    </r>
    <r>
      <rPr>
        <sz val="11"/>
        <color theme="1"/>
        <rFont val="Times New Roman"/>
        <family val="1"/>
      </rPr>
      <t xml:space="preserve"> [m/s]</t>
    </r>
  </si>
  <si>
    <r>
      <t>fD</t>
    </r>
    <r>
      <rPr>
        <vertAlign val="subscript"/>
        <sz val="11"/>
        <color theme="1"/>
        <rFont val="Times New Roman"/>
        <family val="1"/>
      </rPr>
      <t>sm</t>
    </r>
    <r>
      <rPr>
        <sz val="11"/>
        <color theme="1"/>
        <rFont val="Times New Roman"/>
        <family val="1"/>
      </rPr>
      <t xml:space="preserve"> [mm/s]</t>
    </r>
  </si>
  <si>
    <r>
      <t>V</t>
    </r>
    <r>
      <rPr>
        <vertAlign val="subscript"/>
        <sz val="11"/>
        <color theme="1"/>
        <rFont val="Times New Roman"/>
        <family val="1"/>
      </rPr>
      <t>2j</t>
    </r>
    <r>
      <rPr>
        <sz val="11"/>
        <color theme="1"/>
        <rFont val="Times New Roman"/>
        <family val="1"/>
      </rPr>
      <t xml:space="preserve"> [m/s]</t>
    </r>
  </si>
  <si>
    <r>
      <t>αV</t>
    </r>
    <r>
      <rPr>
        <vertAlign val="subscript"/>
        <sz val="11"/>
        <color theme="1"/>
        <rFont val="Times New Roman"/>
        <family val="1"/>
      </rPr>
      <t>2j</t>
    </r>
    <r>
      <rPr>
        <sz val="11"/>
        <color theme="1"/>
        <rFont val="Times New Roman"/>
        <family val="1"/>
      </rPr>
      <t xml:space="preserve"> [m/s]</t>
    </r>
  </si>
  <si>
    <r>
      <t>V</t>
    </r>
    <r>
      <rPr>
        <vertAlign val="subscript"/>
        <sz val="11"/>
        <color theme="1"/>
        <rFont val="Times New Roman"/>
        <family val="1"/>
      </rPr>
      <t>r</t>
    </r>
    <r>
      <rPr>
        <sz val="11"/>
        <color theme="1"/>
        <rFont val="Times New Roman"/>
        <family val="1"/>
      </rPr>
      <t xml:space="preserve"> [m/s]</t>
    </r>
  </si>
  <si>
    <t>Pressure Measurements w/ Probe Installed</t>
  </si>
  <si>
    <t>Pressure Tap Locations</t>
  </si>
  <si>
    <t>Location</t>
  </si>
  <si>
    <t>Height Above Floor</t>
  </si>
  <si>
    <t>Probe r/R Location [-]</t>
  </si>
  <si>
    <t>[in]</t>
  </si>
  <si>
    <t>[m]</t>
  </si>
  <si>
    <t>Tap L/D from Inlet [-]</t>
  </si>
  <si>
    <t>Hydrostatic Correction [psig]</t>
  </si>
  <si>
    <r>
      <t>&lt;j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>&gt;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[m/s]</t>
    </r>
  </si>
  <si>
    <r>
      <t>&lt;</t>
    </r>
    <r>
      <rPr>
        <sz val="11"/>
        <color theme="1"/>
        <rFont val="Calibri"/>
        <family val="2"/>
      </rPr>
      <t>α</t>
    </r>
    <r>
      <rPr>
        <sz val="9.35"/>
        <color theme="1"/>
        <rFont val="Calibri"/>
        <family val="2"/>
      </rPr>
      <t>v</t>
    </r>
    <r>
      <rPr>
        <vertAlign val="subscript"/>
        <sz val="9.35"/>
        <color theme="1"/>
        <rFont val="Calibri"/>
        <family val="2"/>
      </rPr>
      <t>g</t>
    </r>
    <r>
      <rPr>
        <sz val="9.35"/>
        <color theme="1"/>
        <rFont val="Calibri"/>
        <family val="2"/>
      </rPr>
      <t>&gt; [m/s]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</si>
  <si>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 xml:space="preserve">LRV </t>
    </r>
    <r>
      <rPr>
        <b/>
        <sz val="11"/>
        <color theme="1"/>
        <rFont val="Calibri"/>
        <family val="2"/>
        <scheme val="minor"/>
      </rPr>
      <t>[psig]</t>
    </r>
  </si>
  <si>
    <t>Transducer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</si>
  <si>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 xml:space="preserve">URV </t>
    </r>
    <r>
      <rPr>
        <b/>
        <sz val="11"/>
        <color theme="1"/>
        <rFont val="Calibri"/>
        <family val="2"/>
        <scheme val="minor"/>
      </rPr>
      <t>[psig]</t>
    </r>
  </si>
  <si>
    <t>Dial Gauge</t>
  </si>
  <si>
    <t>Measurements</t>
  </si>
  <si>
    <t>Percent of Range</t>
  </si>
  <si>
    <t>Pump Frequency</t>
  </si>
  <si>
    <t>Percentage Observed [%]</t>
  </si>
  <si>
    <t>#1</t>
  </si>
  <si>
    <t>#2</t>
  </si>
  <si>
    <t>#3</t>
  </si>
  <si>
    <r>
      <t>α</t>
    </r>
    <r>
      <rPr>
        <vertAlign val="subscript"/>
        <sz val="11"/>
        <color theme="1"/>
        <rFont val="Times New Roman"/>
        <family val="1"/>
      </rPr>
      <t>1</t>
    </r>
    <r>
      <rPr>
        <sz val="11"/>
        <color theme="1"/>
        <rFont val="Times New Roman"/>
        <family val="1"/>
      </rPr>
      <t>D</t>
    </r>
    <r>
      <rPr>
        <vertAlign val="subscript"/>
        <sz val="11"/>
        <color theme="1"/>
        <rFont val="Times New Roman"/>
        <family val="1"/>
      </rPr>
      <t xml:space="preserve">sm1 </t>
    </r>
    <r>
      <rPr>
        <sz val="11"/>
        <color theme="1"/>
        <rFont val="Times New Roman"/>
        <family val="1"/>
      </rPr>
      <t>[mm]</t>
    </r>
  </si>
  <si>
    <t>Angle</t>
  </si>
  <si>
    <t>Average</t>
  </si>
  <si>
    <r>
      <t>D</t>
    </r>
    <r>
      <rPr>
        <b/>
        <vertAlign val="subscript"/>
        <sz val="11"/>
        <color theme="1"/>
        <rFont val="Times New Roman"/>
        <family val="1"/>
      </rPr>
      <t>sm total</t>
    </r>
  </si>
  <si>
    <r>
      <t>αD</t>
    </r>
    <r>
      <rPr>
        <b/>
        <vertAlign val="subscript"/>
        <sz val="11"/>
        <color theme="1"/>
        <rFont val="Times New Roman"/>
        <family val="1"/>
      </rPr>
      <t>sm total</t>
    </r>
  </si>
  <si>
    <r>
      <t>αD</t>
    </r>
    <r>
      <rPr>
        <vertAlign val="subscript"/>
        <sz val="11"/>
        <color theme="1"/>
        <rFont val="Times New Roman"/>
        <family val="1"/>
      </rPr>
      <t>sm total</t>
    </r>
    <r>
      <rPr>
        <sz val="11"/>
        <color theme="1"/>
        <rFont val="Times New Roman"/>
        <family val="1"/>
      </rPr>
      <t xml:space="preserve"> [mm]</t>
    </r>
  </si>
  <si>
    <r>
      <t>&lt;&lt;D</t>
    </r>
    <r>
      <rPr>
        <vertAlign val="subscript"/>
        <sz val="11"/>
        <color theme="1"/>
        <rFont val="Times New Roman"/>
        <family val="1"/>
      </rPr>
      <t>sm</t>
    </r>
    <r>
      <rPr>
        <sz val="11"/>
        <color theme="1"/>
        <rFont val="Times New Roman"/>
        <family val="1"/>
      </rPr>
      <t>&gt;&gt;</t>
    </r>
    <r>
      <rPr>
        <vertAlign val="subscript"/>
        <sz val="11"/>
        <color theme="1"/>
        <rFont val="Times New Roman"/>
        <family val="1"/>
      </rPr>
      <t xml:space="preserve"> total</t>
    </r>
    <r>
      <rPr>
        <sz val="11"/>
        <color theme="1"/>
        <rFont val="Times New Roman"/>
        <family val="1"/>
      </rPr>
      <t xml:space="preserve"> [mm]</t>
    </r>
  </si>
  <si>
    <r>
      <t>α1</t>
    </r>
    <r>
      <rPr>
        <sz val="12.65"/>
        <color theme="1"/>
        <rFont val="Times New Roman"/>
        <family val="1"/>
      </rPr>
      <t xml:space="preserve"> [%]</t>
    </r>
  </si>
  <si>
    <r>
      <t>α2</t>
    </r>
    <r>
      <rPr>
        <sz val="12.65"/>
        <color theme="1"/>
        <rFont val="Times New Roman"/>
        <family val="1"/>
      </rPr>
      <t xml:space="preserve"> [%]</t>
    </r>
  </si>
  <si>
    <r>
      <rPr>
        <i/>
        <sz val="11"/>
        <color theme="1"/>
        <rFont val="Times New Roman"/>
        <family val="1"/>
      </rPr>
      <t>j</t>
    </r>
    <r>
      <rPr>
        <i/>
        <vertAlign val="subscript"/>
        <sz val="11"/>
        <color theme="1"/>
        <rFont val="Times New Roman"/>
        <family val="1"/>
      </rPr>
      <t>f</t>
    </r>
    <r>
      <rPr>
        <i/>
        <sz val="11"/>
        <color theme="1"/>
        <rFont val="Times New Roman"/>
        <family val="1"/>
      </rPr>
      <t xml:space="preserve"> </t>
    </r>
    <r>
      <rPr>
        <sz val="11"/>
        <color theme="1"/>
        <rFont val="Times New Roman"/>
        <family val="1"/>
      </rPr>
      <t>[m/s]=</t>
    </r>
  </si>
  <si>
    <r>
      <rPr>
        <i/>
        <sz val="11"/>
        <color theme="1"/>
        <rFont val="Times New Roman"/>
        <family val="1"/>
      </rPr>
      <t>Re</t>
    </r>
    <r>
      <rPr>
        <i/>
        <vertAlign val="subscript"/>
        <sz val="11"/>
        <color theme="1"/>
        <rFont val="Times New Roman"/>
        <family val="1"/>
      </rPr>
      <t xml:space="preserve">f </t>
    </r>
    <r>
      <rPr>
        <sz val="11"/>
        <color theme="1"/>
        <rFont val="Times New Roman"/>
        <family val="1"/>
      </rPr>
      <t>=</t>
    </r>
  </si>
  <si>
    <r>
      <rPr>
        <i/>
        <sz val="11"/>
        <color theme="1"/>
        <rFont val="Times New Roman"/>
        <family val="1"/>
      </rPr>
      <t>j</t>
    </r>
    <r>
      <rPr>
        <i/>
        <vertAlign val="subscript"/>
        <sz val="11"/>
        <color theme="1"/>
        <rFont val="Times New Roman"/>
        <family val="1"/>
      </rPr>
      <t>g,atm</t>
    </r>
    <r>
      <rPr>
        <sz val="11"/>
        <color theme="1"/>
        <rFont val="Times New Roman"/>
        <family val="1"/>
      </rPr>
      <t xml:space="preserve"> [m/s]=</t>
    </r>
  </si>
  <si>
    <r>
      <t>v</t>
    </r>
    <r>
      <rPr>
        <vertAlign val="subscript"/>
        <sz val="11"/>
        <color theme="1"/>
        <rFont val="Times New Roman"/>
        <family val="1"/>
      </rPr>
      <t xml:space="preserve">fmax </t>
    </r>
    <r>
      <rPr>
        <sz val="11"/>
        <color theme="1"/>
        <rFont val="Times New Roman"/>
        <family val="1"/>
      </rPr>
      <t>[m/s]</t>
    </r>
  </si>
  <si>
    <r>
      <t>σ</t>
    </r>
    <r>
      <rPr>
        <sz val="12.65"/>
        <color theme="1"/>
        <rFont val="Times New Roman"/>
        <family val="1"/>
      </rPr>
      <t>(</t>
    </r>
    <r>
      <rPr>
        <sz val="11"/>
        <color theme="1"/>
        <rFont val="Times New Roman"/>
        <family val="1"/>
      </rPr>
      <t>u</t>
    </r>
    <r>
      <rPr>
        <vertAlign val="subscript"/>
        <sz val="11"/>
        <color theme="1"/>
        <rFont val="Times New Roman"/>
        <family val="1"/>
      </rPr>
      <t>g1</t>
    </r>
    <r>
      <rPr>
        <sz val="11"/>
        <color theme="1"/>
        <rFont val="Times New Roman"/>
        <family val="1"/>
      </rPr>
      <t>) [m/s]</t>
    </r>
  </si>
  <si>
    <r>
      <t>&lt;&lt;u</t>
    </r>
    <r>
      <rPr>
        <vertAlign val="subscript"/>
        <sz val="11"/>
        <color theme="1"/>
        <rFont val="Times New Roman"/>
        <family val="1"/>
      </rPr>
      <t>g</t>
    </r>
    <r>
      <rPr>
        <sz val="11"/>
        <color theme="1"/>
        <rFont val="Times New Roman"/>
        <family val="1"/>
      </rPr>
      <t>&gt;&gt; [m/s]</t>
    </r>
  </si>
  <si>
    <r>
      <t>D</t>
    </r>
    <r>
      <rPr>
        <vertAlign val="subscript"/>
        <sz val="11"/>
        <color theme="1"/>
        <rFont val="Times New Roman"/>
        <family val="1"/>
      </rPr>
      <t>sm1f</t>
    </r>
    <r>
      <rPr>
        <sz val="11"/>
        <color theme="1"/>
        <rFont val="Times New Roman"/>
        <family val="1"/>
      </rPr>
      <t xml:space="preserve"> [mm]</t>
    </r>
  </si>
  <si>
    <r>
      <t>&lt;&lt;V</t>
    </r>
    <r>
      <rPr>
        <vertAlign val="subscript"/>
        <sz val="11"/>
        <color theme="1"/>
        <rFont val="Times New Roman"/>
        <family val="1"/>
      </rPr>
      <t>2j</t>
    </r>
    <r>
      <rPr>
        <sz val="11"/>
        <color theme="1"/>
        <rFont val="Times New Roman"/>
        <family val="1"/>
      </rPr>
      <t>&gt;&gt; [m/s]</t>
    </r>
  </si>
  <si>
    <r>
      <t>F</t>
    </r>
    <r>
      <rPr>
        <vertAlign val="subscript"/>
        <sz val="11"/>
        <color theme="1"/>
        <rFont val="Times New Roman"/>
        <family val="1"/>
      </rPr>
      <t>T</t>
    </r>
    <r>
      <rPr>
        <sz val="11"/>
        <color theme="1"/>
        <rFont val="Times New Roman"/>
        <family val="1"/>
      </rPr>
      <t>/F</t>
    </r>
    <r>
      <rPr>
        <vertAlign val="subscript"/>
        <sz val="11"/>
        <color theme="1"/>
        <rFont val="Times New Roman"/>
        <family val="1"/>
      </rPr>
      <t>B</t>
    </r>
  </si>
  <si>
    <r>
      <t>F</t>
    </r>
    <r>
      <rPr>
        <vertAlign val="subscript"/>
        <sz val="11"/>
        <color theme="1"/>
        <rFont val="Times New Roman"/>
        <family val="1"/>
      </rPr>
      <t>T</t>
    </r>
  </si>
  <si>
    <r>
      <t>F</t>
    </r>
    <r>
      <rPr>
        <vertAlign val="subscript"/>
        <sz val="11"/>
        <color theme="1"/>
        <rFont val="Times New Roman"/>
        <family val="1"/>
      </rPr>
      <t>B</t>
    </r>
  </si>
  <si>
    <r>
      <t>α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D</t>
    </r>
    <r>
      <rPr>
        <vertAlign val="subscript"/>
        <sz val="11"/>
        <color theme="1"/>
        <rFont val="Times New Roman"/>
        <family val="1"/>
      </rPr>
      <t xml:space="preserve">sm2 </t>
    </r>
    <r>
      <rPr>
        <sz val="11"/>
        <color theme="1"/>
        <rFont val="Times New Roman"/>
        <family val="1"/>
      </rPr>
      <t>[mm]</t>
    </r>
  </si>
  <si>
    <t xml:space="preserve">α1Dsm1 +α2Dsm2 </t>
  </si>
  <si>
    <r>
      <t>α</t>
    </r>
    <r>
      <rPr>
        <sz val="12.65"/>
        <color theme="1"/>
        <rFont val="Times New Roman"/>
        <family val="1"/>
      </rPr>
      <t>u</t>
    </r>
    <r>
      <rPr>
        <vertAlign val="subscript"/>
        <sz val="12.65"/>
        <color theme="1"/>
        <rFont val="Times New Roman"/>
        <family val="1"/>
      </rPr>
      <t>g1,avg</t>
    </r>
    <r>
      <rPr>
        <sz val="11"/>
        <color theme="1"/>
        <rFont val="Times New Roman"/>
        <family val="1"/>
      </rPr>
      <t xml:space="preserve"> [m/s]</t>
    </r>
  </si>
  <si>
    <r>
      <t>α</t>
    </r>
    <r>
      <rPr>
        <sz val="12.65"/>
        <color theme="1"/>
        <rFont val="Times New Roman"/>
        <family val="1"/>
      </rPr>
      <t>u</t>
    </r>
    <r>
      <rPr>
        <vertAlign val="subscript"/>
        <sz val="12.65"/>
        <color theme="1"/>
        <rFont val="Times New Roman"/>
        <family val="1"/>
      </rPr>
      <t>g2,avg</t>
    </r>
    <r>
      <rPr>
        <sz val="11"/>
        <color theme="1"/>
        <rFont val="Times New Roman"/>
        <family val="1"/>
      </rPr>
      <t xml:space="preserve"> [m/s]</t>
    </r>
  </si>
  <si>
    <r>
      <t>&lt;&lt;D</t>
    </r>
    <r>
      <rPr>
        <vertAlign val="subscript"/>
        <sz val="11"/>
        <color theme="1"/>
        <rFont val="Times New Roman"/>
        <family val="1"/>
      </rPr>
      <t>sm1</t>
    </r>
    <r>
      <rPr>
        <sz val="11"/>
        <color theme="1"/>
        <rFont val="Times New Roman"/>
        <family val="1"/>
      </rPr>
      <t>&gt;&gt; [mm]</t>
    </r>
  </si>
  <si>
    <r>
      <t>&lt;&lt;D</t>
    </r>
    <r>
      <rPr>
        <vertAlign val="subscript"/>
        <sz val="11"/>
        <color theme="1"/>
        <rFont val="Times New Roman"/>
        <family val="1"/>
      </rPr>
      <t>sm2</t>
    </r>
    <r>
      <rPr>
        <sz val="11"/>
        <color theme="1"/>
        <rFont val="Times New Roman"/>
        <family val="1"/>
      </rPr>
      <t>&gt;&gt; [mm]</t>
    </r>
  </si>
  <si>
    <r>
      <t>&lt;&lt;u</t>
    </r>
    <r>
      <rPr>
        <vertAlign val="subscript"/>
        <sz val="11"/>
        <color theme="1"/>
        <rFont val="Times New Roman"/>
        <family val="1"/>
      </rPr>
      <t>g1</t>
    </r>
    <r>
      <rPr>
        <sz val="11"/>
        <color theme="1"/>
        <rFont val="Times New Roman"/>
        <family val="1"/>
      </rPr>
      <t>&gt;&gt; [m/s]</t>
    </r>
  </si>
  <si>
    <r>
      <t>&lt;&lt;u</t>
    </r>
    <r>
      <rPr>
        <vertAlign val="subscript"/>
        <sz val="11"/>
        <color theme="1"/>
        <rFont val="Times New Roman"/>
        <family val="1"/>
      </rPr>
      <t>g2</t>
    </r>
    <r>
      <rPr>
        <sz val="11"/>
        <color theme="1"/>
        <rFont val="Times New Roman"/>
        <family val="1"/>
      </rPr>
      <t>&gt;&gt; [m/s]</t>
    </r>
  </si>
  <si>
    <r>
      <t>&lt;&lt;D</t>
    </r>
    <r>
      <rPr>
        <vertAlign val="subscript"/>
        <sz val="11"/>
        <color theme="1"/>
        <rFont val="Times New Roman"/>
        <family val="1"/>
      </rPr>
      <t>sm</t>
    </r>
    <r>
      <rPr>
        <sz val="11"/>
        <color theme="1"/>
        <rFont val="Times New Roman"/>
        <family val="1"/>
      </rPr>
      <t>&gt;&gt; [mm]</t>
    </r>
  </si>
  <si>
    <r>
      <t>a</t>
    </r>
    <r>
      <rPr>
        <vertAlign val="subscript"/>
        <sz val="11"/>
        <color theme="1"/>
        <rFont val="Times New Roman"/>
        <family val="1"/>
      </rPr>
      <t>i,1</t>
    </r>
    <r>
      <rPr>
        <sz val="11"/>
        <color theme="1"/>
        <rFont val="Times New Roman"/>
        <family val="1"/>
      </rPr>
      <t xml:space="preserve"> [1/m]</t>
    </r>
  </si>
  <si>
    <r>
      <t>a</t>
    </r>
    <r>
      <rPr>
        <vertAlign val="subscript"/>
        <sz val="11"/>
        <color theme="1"/>
        <rFont val="Times New Roman"/>
        <family val="1"/>
      </rPr>
      <t>i,2</t>
    </r>
    <r>
      <rPr>
        <sz val="11"/>
        <color theme="1"/>
        <rFont val="Times New Roman"/>
        <family val="1"/>
      </rPr>
      <t xml:space="preserve"> [1/m]</t>
    </r>
  </si>
  <si>
    <t>Void Fraction, α1</t>
  </si>
  <si>
    <t>Void Fraction, α2</t>
  </si>
  <si>
    <t>Void Fraction, α</t>
  </si>
  <si>
    <t>Bubble Frequency, f [1/s]</t>
  </si>
  <si>
    <t>&lt;α1&gt;</t>
  </si>
  <si>
    <t>&lt;α2&gt;</t>
  </si>
  <si>
    <t>&lt;α&gt;</t>
  </si>
  <si>
    <t>&lt;&lt;Dsm1&gt;&gt;</t>
  </si>
  <si>
    <t>&lt;&lt;Dsm2&gt;&gt;</t>
  </si>
  <si>
    <r>
      <t>Sauter Mean Diameter, D</t>
    </r>
    <r>
      <rPr>
        <vertAlign val="subscript"/>
        <sz val="10"/>
        <color theme="1"/>
        <rFont val="Times New Roman"/>
        <family val="1"/>
      </rPr>
      <t>sm,1</t>
    </r>
    <r>
      <rPr>
        <sz val="10"/>
        <color theme="1"/>
        <rFont val="Times New Roman"/>
        <family val="1"/>
      </rPr>
      <t xml:space="preserve"> [mm]</t>
    </r>
  </si>
  <si>
    <r>
      <t>Sauter Mean Diameter, D</t>
    </r>
    <r>
      <rPr>
        <vertAlign val="subscript"/>
        <sz val="10"/>
        <color theme="1"/>
        <rFont val="Times New Roman"/>
        <family val="1"/>
      </rPr>
      <t>sm,2</t>
    </r>
    <r>
      <rPr>
        <sz val="10"/>
        <color theme="1"/>
        <rFont val="Times New Roman"/>
        <family val="1"/>
      </rPr>
      <t xml:space="preserve"> [mm]</t>
    </r>
  </si>
  <si>
    <r>
      <t>Bubble Frequency, f</t>
    </r>
    <r>
      <rPr>
        <vertAlign val="subscript"/>
        <sz val="10"/>
        <color theme="1"/>
        <rFont val="Times New Roman"/>
        <family val="1"/>
      </rPr>
      <t>1</t>
    </r>
    <r>
      <rPr>
        <sz val="10"/>
        <color theme="1"/>
        <rFont val="Times New Roman"/>
        <family val="1"/>
      </rPr>
      <t xml:space="preserve"> [1/s]</t>
    </r>
  </si>
  <si>
    <r>
      <t>Bubble Frequency, f</t>
    </r>
    <r>
      <rPr>
        <vertAlign val="subscript"/>
        <sz val="10"/>
        <color theme="1"/>
        <rFont val="Times New Roman"/>
        <family val="1"/>
      </rPr>
      <t>2</t>
    </r>
    <r>
      <rPr>
        <sz val="10"/>
        <color theme="1"/>
        <rFont val="Times New Roman"/>
        <family val="1"/>
      </rPr>
      <t xml:space="preserve"> [1/s]</t>
    </r>
  </si>
  <si>
    <r>
      <t>Interfacial Area Concentration, a</t>
    </r>
    <r>
      <rPr>
        <vertAlign val="subscript"/>
        <sz val="10"/>
        <color theme="1"/>
        <rFont val="Times New Roman"/>
        <family val="1"/>
      </rPr>
      <t xml:space="preserve">i,1 </t>
    </r>
    <r>
      <rPr>
        <sz val="10"/>
        <color theme="1"/>
        <rFont val="Times New Roman"/>
        <family val="1"/>
      </rPr>
      <t>[1/m]</t>
    </r>
  </si>
  <si>
    <r>
      <t>Interfacial Area Concentration, a</t>
    </r>
    <r>
      <rPr>
        <vertAlign val="subscript"/>
        <sz val="10"/>
        <color theme="1"/>
        <rFont val="Times New Roman"/>
        <family val="1"/>
      </rPr>
      <t xml:space="preserve">i,2 </t>
    </r>
    <r>
      <rPr>
        <sz val="10"/>
        <color theme="1"/>
        <rFont val="Times New Roman"/>
        <family val="1"/>
      </rPr>
      <t>[1/m]</t>
    </r>
  </si>
  <si>
    <r>
      <t>Interfacial Area Concentration, a</t>
    </r>
    <r>
      <rPr>
        <vertAlign val="subscript"/>
        <sz val="10"/>
        <color theme="1"/>
        <rFont val="Times New Roman"/>
        <family val="1"/>
      </rPr>
      <t xml:space="preserve">i </t>
    </r>
    <r>
      <rPr>
        <sz val="10"/>
        <color theme="1"/>
        <rFont val="Times New Roman"/>
        <family val="1"/>
      </rPr>
      <t>[1/m]</t>
    </r>
  </si>
  <si>
    <r>
      <t>Bubble Velocity, u</t>
    </r>
    <r>
      <rPr>
        <vertAlign val="subscript"/>
        <sz val="10"/>
        <color theme="1"/>
        <rFont val="Times New Roman"/>
        <family val="1"/>
      </rPr>
      <t>g,1</t>
    </r>
    <r>
      <rPr>
        <sz val="10"/>
        <color theme="1"/>
        <rFont val="Times New Roman"/>
        <family val="1"/>
      </rPr>
      <t xml:space="preserve"> [m/s]</t>
    </r>
  </si>
  <si>
    <r>
      <t>Bubble Velocity, u</t>
    </r>
    <r>
      <rPr>
        <vertAlign val="subscript"/>
        <sz val="10"/>
        <color theme="1"/>
        <rFont val="Times New Roman"/>
        <family val="1"/>
      </rPr>
      <t>g,2</t>
    </r>
    <r>
      <rPr>
        <sz val="10"/>
        <color theme="1"/>
        <rFont val="Times New Roman"/>
        <family val="1"/>
      </rPr>
      <t xml:space="preserve"> [m/s]</t>
    </r>
  </si>
  <si>
    <r>
      <t>Fluctuation Intensity, u</t>
    </r>
    <r>
      <rPr>
        <vertAlign val="subscript"/>
        <sz val="10"/>
        <color theme="1"/>
        <rFont val="Times New Roman"/>
        <family val="1"/>
      </rPr>
      <t>g</t>
    </r>
    <r>
      <rPr>
        <sz val="10"/>
        <color theme="1"/>
        <rFont val="Times New Roman"/>
        <family val="1"/>
      </rPr>
      <t>'/u</t>
    </r>
    <r>
      <rPr>
        <vertAlign val="subscript"/>
        <sz val="10"/>
        <color theme="1"/>
        <rFont val="Times New Roman"/>
        <family val="1"/>
      </rPr>
      <t>g</t>
    </r>
  </si>
  <si>
    <r>
      <t>L</t>
    </r>
    <r>
      <rPr>
        <vertAlign val="subscript"/>
        <sz val="11"/>
        <color theme="1"/>
        <rFont val="Times New Roman"/>
        <family val="1"/>
      </rPr>
      <t>CL1</t>
    </r>
    <r>
      <rPr>
        <sz val="11"/>
        <color theme="1"/>
        <rFont val="Times New Roman"/>
        <family val="1"/>
      </rPr>
      <t xml:space="preserve"> [mm]</t>
    </r>
  </si>
  <si>
    <r>
      <t>L</t>
    </r>
    <r>
      <rPr>
        <vertAlign val="subscript"/>
        <sz val="11"/>
        <color theme="1"/>
        <rFont val="Times New Roman"/>
        <family val="1"/>
      </rPr>
      <t>CL2</t>
    </r>
    <r>
      <rPr>
        <sz val="11"/>
        <color theme="1"/>
        <rFont val="Times New Roman"/>
        <family val="1"/>
      </rPr>
      <t xml:space="preserve"> [mm]</t>
    </r>
  </si>
  <si>
    <r>
      <t>σ</t>
    </r>
    <r>
      <rPr>
        <b/>
        <vertAlign val="subscript"/>
        <sz val="11"/>
        <color theme="1"/>
        <rFont val="Times New Roman"/>
        <family val="1"/>
      </rPr>
      <t>1</t>
    </r>
  </si>
  <si>
    <r>
      <t>σ</t>
    </r>
    <r>
      <rPr>
        <b/>
        <vertAlign val="subscript"/>
        <sz val="11"/>
        <color theme="1"/>
        <rFont val="Times New Roman"/>
        <family val="1"/>
      </rPr>
      <t>2</t>
    </r>
  </si>
  <si>
    <r>
      <t>σ</t>
    </r>
    <r>
      <rPr>
        <b/>
        <vertAlign val="subscript"/>
        <sz val="11"/>
        <color theme="1"/>
        <rFont val="Times New Roman"/>
        <family val="1"/>
      </rPr>
      <t>TOT</t>
    </r>
  </si>
  <si>
    <r>
      <t xml:space="preserve">Variance </t>
    </r>
    <r>
      <rPr>
        <b/>
        <sz val="11"/>
        <color theme="1"/>
        <rFont val="Calibri"/>
        <family val="2"/>
      </rPr>
      <t>σ</t>
    </r>
    <r>
      <rPr>
        <b/>
        <vertAlign val="subscript"/>
        <sz val="11"/>
        <color theme="1"/>
        <rFont val="Calibri"/>
        <family val="2"/>
      </rPr>
      <t>α</t>
    </r>
    <r>
      <rPr>
        <b/>
        <sz val="9.35"/>
        <color theme="1"/>
        <rFont val="Times New Roman"/>
        <family val="1"/>
      </rPr>
      <t xml:space="preserve"> [-]</t>
    </r>
  </si>
  <si>
    <r>
      <t xml:space="preserve">Variance </t>
    </r>
    <r>
      <rPr>
        <b/>
        <sz val="11"/>
        <color theme="1"/>
        <rFont val="Calibri"/>
        <family val="2"/>
      </rPr>
      <t>σ</t>
    </r>
    <r>
      <rPr>
        <b/>
        <vertAlign val="subscript"/>
        <sz val="11"/>
        <color theme="1"/>
        <rFont val="Calibri"/>
        <family val="2"/>
      </rPr>
      <t>ai</t>
    </r>
    <r>
      <rPr>
        <b/>
        <sz val="9.35"/>
        <color theme="1"/>
        <rFont val="Times New Roman"/>
        <family val="1"/>
      </rPr>
      <t xml:space="preserve"> [-]</t>
    </r>
  </si>
  <si>
    <r>
      <t>σ</t>
    </r>
    <r>
      <rPr>
        <vertAlign val="subscript"/>
        <sz val="11"/>
        <color theme="1"/>
        <rFont val="Times New Roman"/>
        <family val="1"/>
      </rPr>
      <t>2_α</t>
    </r>
    <r>
      <rPr>
        <sz val="11"/>
        <color theme="1"/>
        <rFont val="Times New Roman"/>
        <family val="1"/>
      </rPr>
      <t xml:space="preserve"> [-]</t>
    </r>
  </si>
  <si>
    <r>
      <t>σ</t>
    </r>
    <r>
      <rPr>
        <vertAlign val="subscript"/>
        <sz val="11"/>
        <color theme="1"/>
        <rFont val="Times New Roman"/>
        <family val="1"/>
      </rPr>
      <t>TOT_α</t>
    </r>
    <r>
      <rPr>
        <sz val="11"/>
        <color theme="1"/>
        <rFont val="Times New Roman"/>
        <family val="1"/>
      </rPr>
      <t xml:space="preserve"> [-]</t>
    </r>
  </si>
  <si>
    <r>
      <t>σ</t>
    </r>
    <r>
      <rPr>
        <vertAlign val="subscript"/>
        <sz val="11"/>
        <color theme="1"/>
        <rFont val="Times New Roman"/>
        <family val="1"/>
      </rPr>
      <t>1_ai</t>
    </r>
    <r>
      <rPr>
        <sz val="11"/>
        <color theme="1"/>
        <rFont val="Times New Roman"/>
        <family val="1"/>
      </rPr>
      <t xml:space="preserve"> [-]</t>
    </r>
  </si>
  <si>
    <r>
      <t>σ</t>
    </r>
    <r>
      <rPr>
        <vertAlign val="subscript"/>
        <sz val="11"/>
        <color theme="1"/>
        <rFont val="Times New Roman"/>
        <family val="1"/>
      </rPr>
      <t xml:space="preserve">2_ai </t>
    </r>
    <r>
      <rPr>
        <sz val="11"/>
        <color theme="1"/>
        <rFont val="Times New Roman"/>
        <family val="1"/>
      </rPr>
      <t>[-]</t>
    </r>
  </si>
  <si>
    <r>
      <t>σ</t>
    </r>
    <r>
      <rPr>
        <vertAlign val="subscript"/>
        <sz val="11"/>
        <color theme="1"/>
        <rFont val="Times New Roman"/>
        <family val="1"/>
      </rPr>
      <t xml:space="preserve">TOT_ai </t>
    </r>
    <r>
      <rPr>
        <sz val="11"/>
        <color theme="1"/>
        <rFont val="Times New Roman"/>
        <family val="1"/>
      </rPr>
      <t>[-]</t>
    </r>
  </si>
  <si>
    <t>Bubble Frequency [1/s]</t>
  </si>
  <si>
    <r>
      <t>f</t>
    </r>
    <r>
      <rPr>
        <b/>
        <vertAlign val="subscript"/>
        <sz val="11"/>
        <color theme="1"/>
        <rFont val="Times New Roman"/>
        <family val="1"/>
      </rPr>
      <t>1</t>
    </r>
  </si>
  <si>
    <r>
      <t>f</t>
    </r>
    <r>
      <rPr>
        <b/>
        <vertAlign val="subscript"/>
        <sz val="11"/>
        <color theme="1"/>
        <rFont val="Times New Roman"/>
        <family val="1"/>
      </rPr>
      <t>2</t>
    </r>
  </si>
  <si>
    <r>
      <t>f</t>
    </r>
    <r>
      <rPr>
        <b/>
        <vertAlign val="subscript"/>
        <sz val="11"/>
        <color theme="1"/>
        <rFont val="Times New Roman"/>
        <family val="1"/>
      </rPr>
      <t>TOT</t>
    </r>
  </si>
  <si>
    <r>
      <t>f</t>
    </r>
    <r>
      <rPr>
        <vertAlign val="subscript"/>
        <sz val="11"/>
        <color theme="1"/>
        <rFont val="Times New Roman"/>
        <family val="1"/>
      </rPr>
      <t>1</t>
    </r>
  </si>
  <si>
    <r>
      <t>f</t>
    </r>
    <r>
      <rPr>
        <vertAlign val="subscript"/>
        <sz val="11"/>
        <color theme="1"/>
        <rFont val="Times New Roman"/>
        <family val="1"/>
      </rPr>
      <t>2</t>
    </r>
  </si>
  <si>
    <r>
      <t>f</t>
    </r>
    <r>
      <rPr>
        <vertAlign val="subscript"/>
        <sz val="11"/>
        <color theme="1"/>
        <rFont val="Times New Roman"/>
        <family val="1"/>
      </rPr>
      <t>TOT</t>
    </r>
  </si>
  <si>
    <r>
      <t>N</t>
    </r>
    <r>
      <rPr>
        <b/>
        <vertAlign val="subscript"/>
        <sz val="11"/>
        <color theme="1"/>
        <rFont val="Times New Roman"/>
        <family val="1"/>
      </rPr>
      <t xml:space="preserve">bubbleslug </t>
    </r>
    <r>
      <rPr>
        <b/>
        <sz val="11"/>
        <color theme="1"/>
        <rFont val="Times New Roman"/>
        <family val="1"/>
      </rPr>
      <t>[-]</t>
    </r>
  </si>
  <si>
    <r>
      <t>N</t>
    </r>
    <r>
      <rPr>
        <vertAlign val="subscript"/>
        <sz val="11"/>
        <color theme="1"/>
        <rFont val="Times New Roman"/>
        <family val="1"/>
      </rPr>
      <t xml:space="preserve">bubbleslug </t>
    </r>
    <r>
      <rPr>
        <sz val="11"/>
        <color theme="1"/>
        <rFont val="Times New Roman"/>
        <family val="1"/>
      </rPr>
      <t>[-]</t>
    </r>
  </si>
  <si>
    <r>
      <t>α</t>
    </r>
    <r>
      <rPr>
        <b/>
        <vertAlign val="subscript"/>
        <sz val="11"/>
        <color theme="1"/>
        <rFont val="Times New Roman"/>
        <family val="1"/>
      </rPr>
      <t>2</t>
    </r>
    <r>
      <rPr>
        <b/>
        <sz val="11"/>
        <color theme="1"/>
        <rFont val="Times New Roman"/>
        <family val="1"/>
      </rPr>
      <t>L</t>
    </r>
    <r>
      <rPr>
        <b/>
        <vertAlign val="subscript"/>
        <sz val="11"/>
        <color theme="1"/>
        <rFont val="Times New Roman"/>
        <family val="1"/>
      </rPr>
      <t>CL2</t>
    </r>
  </si>
  <si>
    <r>
      <t>α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L</t>
    </r>
    <r>
      <rPr>
        <vertAlign val="subscript"/>
        <sz val="11"/>
        <color theme="1"/>
        <rFont val="Times New Roman"/>
        <family val="1"/>
      </rPr>
      <t>CL2</t>
    </r>
    <r>
      <rPr>
        <sz val="11"/>
        <color theme="1"/>
        <rFont val="Times New Roman"/>
        <family val="1"/>
      </rPr>
      <t xml:space="preserve"> [mm]</t>
    </r>
  </si>
  <si>
    <r>
      <t>&lt;&lt;L</t>
    </r>
    <r>
      <rPr>
        <vertAlign val="subscript"/>
        <sz val="11"/>
        <color theme="1"/>
        <rFont val="Times New Roman"/>
        <family val="1"/>
      </rPr>
      <t>CL2</t>
    </r>
    <r>
      <rPr>
        <sz val="11"/>
        <color theme="1"/>
        <rFont val="Times New Roman"/>
        <family val="1"/>
      </rPr>
      <t>&gt;&gt; [mm]</t>
    </r>
  </si>
  <si>
    <r>
      <t>L</t>
    </r>
    <r>
      <rPr>
        <b/>
        <vertAlign val="subscript"/>
        <sz val="11"/>
        <color theme="1"/>
        <rFont val="Times New Roman"/>
        <family val="1"/>
      </rPr>
      <t>CL2</t>
    </r>
    <r>
      <rPr>
        <b/>
        <sz val="11"/>
        <color theme="1"/>
        <rFont val="Times New Roman"/>
        <family val="1"/>
      </rPr>
      <t>'/L</t>
    </r>
    <r>
      <rPr>
        <b/>
        <vertAlign val="subscript"/>
        <sz val="11"/>
        <color theme="1"/>
        <rFont val="Times New Roman"/>
        <family val="1"/>
      </rPr>
      <t>CL2,avg</t>
    </r>
  </si>
  <si>
    <r>
      <t>L</t>
    </r>
    <r>
      <rPr>
        <vertAlign val="subscript"/>
        <sz val="11"/>
        <color theme="1"/>
        <rFont val="Times New Roman"/>
        <family val="1"/>
      </rPr>
      <t>CL2</t>
    </r>
    <r>
      <rPr>
        <sz val="11"/>
        <color theme="1"/>
        <rFont val="Times New Roman"/>
        <family val="1"/>
      </rPr>
      <t>'/L</t>
    </r>
    <r>
      <rPr>
        <vertAlign val="subscript"/>
        <sz val="11"/>
        <color theme="1"/>
        <rFont val="Times New Roman"/>
        <family val="1"/>
      </rPr>
      <t>CL2,avg</t>
    </r>
  </si>
  <si>
    <r>
      <t>σ</t>
    </r>
    <r>
      <rPr>
        <vertAlign val="subscript"/>
        <sz val="11"/>
        <color theme="1"/>
        <rFont val="Times New Roman"/>
        <family val="1"/>
      </rPr>
      <t>1_</t>
    </r>
    <r>
      <rPr>
        <vertAlign val="subscript"/>
        <sz val="11"/>
        <color theme="1"/>
        <rFont val="Calibri"/>
        <family val="2"/>
      </rPr>
      <t>α</t>
    </r>
    <r>
      <rPr>
        <vertAlign val="subscript"/>
        <sz val="11"/>
        <color theme="1"/>
        <rFont val="Times New Roman"/>
        <family val="1"/>
      </rPr>
      <t xml:space="preserve"> </t>
    </r>
    <r>
      <rPr>
        <sz val="11"/>
        <color theme="1"/>
        <rFont val="Times New Roman"/>
        <family val="1"/>
      </rPr>
      <t>[-]</t>
    </r>
  </si>
  <si>
    <r>
      <t>σ</t>
    </r>
    <r>
      <rPr>
        <vertAlign val="subscript"/>
        <sz val="11"/>
        <color theme="1"/>
        <rFont val="Times New Roman"/>
        <family val="1"/>
      </rPr>
      <t>1T_</t>
    </r>
    <r>
      <rPr>
        <vertAlign val="subscript"/>
        <sz val="11"/>
        <color theme="1"/>
        <rFont val="Calibri"/>
        <family val="2"/>
      </rPr>
      <t>α</t>
    </r>
    <r>
      <rPr>
        <vertAlign val="subscript"/>
        <sz val="11"/>
        <color theme="1"/>
        <rFont val="Times New Roman"/>
        <family val="1"/>
      </rPr>
      <t xml:space="preserve"> </t>
    </r>
    <r>
      <rPr>
        <sz val="11"/>
        <color theme="1"/>
        <rFont val="Times New Roman"/>
        <family val="1"/>
      </rPr>
      <t>[-]</t>
    </r>
  </si>
  <si>
    <r>
      <t>σ</t>
    </r>
    <r>
      <rPr>
        <vertAlign val="subscript"/>
        <sz val="11"/>
        <color theme="1"/>
        <rFont val="Times New Roman"/>
        <family val="1"/>
      </rPr>
      <t>2T_α</t>
    </r>
    <r>
      <rPr>
        <sz val="11"/>
        <color theme="1"/>
        <rFont val="Times New Roman"/>
        <family val="1"/>
      </rPr>
      <t xml:space="preserve"> [-]</t>
    </r>
  </si>
  <si>
    <r>
      <t>σ</t>
    </r>
    <r>
      <rPr>
        <b/>
        <vertAlign val="subscript"/>
        <sz val="11"/>
        <color theme="1"/>
        <rFont val="Times New Roman"/>
        <family val="1"/>
      </rPr>
      <t>1T</t>
    </r>
  </si>
  <si>
    <r>
      <t>σ</t>
    </r>
    <r>
      <rPr>
        <b/>
        <vertAlign val="subscript"/>
        <sz val="11"/>
        <color theme="1"/>
        <rFont val="Times New Roman"/>
        <family val="1"/>
      </rPr>
      <t>2T</t>
    </r>
  </si>
  <si>
    <t xml:space="preserve">P1 </t>
  </si>
  <si>
    <t>P2</t>
  </si>
  <si>
    <t xml:space="preserve">P3 </t>
  </si>
  <si>
    <t>&lt;ai1&gt;</t>
  </si>
  <si>
    <t>&lt;ai2&gt;</t>
  </si>
  <si>
    <t>&lt;ai&gt;</t>
  </si>
  <si>
    <t>&lt;&lt;vg,2&gt;&gt;</t>
  </si>
  <si>
    <t>&lt;&lt;vg1&gt;&gt;</t>
  </si>
  <si>
    <t>Angle [Degrees]</t>
  </si>
  <si>
    <t>P4</t>
  </si>
  <si>
    <t>P5</t>
  </si>
  <si>
    <t>Tap Height Above Gauge [m]</t>
  </si>
  <si>
    <t>Height</t>
  </si>
  <si>
    <t>Pivot to Floor</t>
  </si>
  <si>
    <t>Port to Support</t>
  </si>
  <si>
    <t>P1 (Vertical)</t>
  </si>
  <si>
    <t>P2 (Vertical)</t>
  </si>
  <si>
    <t>P3 (vertical)</t>
  </si>
  <si>
    <t>P4 (Vertical)</t>
  </si>
  <si>
    <t>P5 (Vertical)</t>
  </si>
  <si>
    <t>Port 1 to 2</t>
  </si>
  <si>
    <t>Port 2 to 3</t>
  </si>
  <si>
    <t>Port 3 to 4</t>
  </si>
  <si>
    <t>Port 4 to 5</t>
  </si>
  <si>
    <t>Port 1 to 3</t>
  </si>
  <si>
    <t>Check:</t>
  </si>
  <si>
    <t>L/D</t>
  </si>
  <si>
    <t>-</t>
  </si>
  <si>
    <t>Reference Heights for Pressure Calculation</t>
  </si>
  <si>
    <t>Corrected</t>
  </si>
  <si>
    <t>Dial Guage (psig)</t>
  </si>
  <si>
    <t>Port Number</t>
  </si>
  <si>
    <t>Probe Number</t>
  </si>
  <si>
    <t xml:space="preserve"> Traversing out (o) towards the traverse is positive r/R, and traversing in (i) away from the traverse is negative. </t>
  </si>
  <si>
    <t>Vgj</t>
  </si>
  <si>
    <t>Symmetric?</t>
  </si>
  <si>
    <r>
      <t>V</t>
    </r>
    <r>
      <rPr>
        <vertAlign val="subscript"/>
        <sz val="11"/>
        <color theme="1"/>
        <rFont val="Times New Roman"/>
        <family val="1"/>
      </rPr>
      <t>gj</t>
    </r>
    <r>
      <rPr>
        <sz val="11"/>
        <color theme="1"/>
        <rFont val="Times New Roman"/>
        <family val="1"/>
      </rPr>
      <t xml:space="preserve"> [m/s]</t>
    </r>
  </si>
  <si>
    <t>COV_TI_Global</t>
  </si>
  <si>
    <t>COV_RC_Global</t>
  </si>
  <si>
    <t>C</t>
  </si>
  <si>
    <t>COV_TI</t>
  </si>
  <si>
    <t>COV_RC</t>
  </si>
  <si>
    <t>We_Crit</t>
  </si>
  <si>
    <t>Rem</t>
  </si>
  <si>
    <t>B</t>
  </si>
  <si>
    <t>ut</t>
  </si>
  <si>
    <t>We</t>
  </si>
  <si>
    <t>&lt;COV_TI_LOC&gt;</t>
  </si>
  <si>
    <t>&lt;COV_RC_LOC&gt;</t>
  </si>
  <si>
    <t>alpha_max</t>
  </si>
  <si>
    <t>Covariance Calculations</t>
  </si>
  <si>
    <t xml:space="preserve">Rem [-] </t>
  </si>
  <si>
    <t>ut [m/s]</t>
  </si>
  <si>
    <t>COV_TI_Loc</t>
  </si>
  <si>
    <t>COV_RC_Loc</t>
  </si>
  <si>
    <t>eps</t>
  </si>
  <si>
    <r>
      <t>C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 xml:space="preserve"> (From Est. J)</t>
    </r>
  </si>
  <si>
    <r>
      <t>C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 xml:space="preserve"> (From Meas. J)</t>
    </r>
  </si>
  <si>
    <t>&lt;j&gt; [m/s]</t>
  </si>
  <si>
    <t>K [-]</t>
  </si>
  <si>
    <r>
      <rPr>
        <sz val="11"/>
        <color theme="1"/>
        <rFont val="Calibri"/>
        <family val="2"/>
      </rPr>
      <t>β</t>
    </r>
    <r>
      <rPr>
        <sz val="11"/>
        <color theme="1"/>
        <rFont val="Times New Roman"/>
        <family val="1"/>
      </rPr>
      <t xml:space="preserve"> [-]</t>
    </r>
  </si>
  <si>
    <t>Gauge Pressure [-]</t>
  </si>
  <si>
    <t>Corrected Gauge Pressure [-]</t>
  </si>
  <si>
    <t>Benchmark  % Diff [%]</t>
  </si>
  <si>
    <r>
      <t>ρ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 xml:space="preserve"> [kg/m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</si>
  <si>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t>SOURCE</t>
  </si>
  <si>
    <t>comp 1</t>
  </si>
  <si>
    <t>comp 2</t>
  </si>
  <si>
    <t>comp 3</t>
  </si>
  <si>
    <t>comp 4</t>
  </si>
  <si>
    <t>comp 5</t>
  </si>
  <si>
    <t>AH</t>
  </si>
  <si>
    <t>AK</t>
  </si>
  <si>
    <t>AM</t>
  </si>
  <si>
    <t>AL</t>
  </si>
  <si>
    <t>AN</t>
  </si>
  <si>
    <t>DW</t>
  </si>
  <si>
    <t>DZ</t>
  </si>
  <si>
    <t>EB</t>
  </si>
  <si>
    <t>EC</t>
  </si>
  <si>
    <t>EA</t>
  </si>
  <si>
    <t>90 deg</t>
  </si>
  <si>
    <t>0 deg</t>
  </si>
  <si>
    <t>22.5 deg</t>
  </si>
  <si>
    <t>45 deg</t>
  </si>
  <si>
    <t>67.5 deg</t>
  </si>
  <si>
    <t>157.5 deg</t>
  </si>
  <si>
    <t>135 deg</t>
  </si>
  <si>
    <t>112.5 deg</t>
  </si>
  <si>
    <t>x</t>
  </si>
  <si>
    <t>Plot off?</t>
  </si>
  <si>
    <t>Δp (psi)</t>
  </si>
  <si>
    <r>
      <t>σ</t>
    </r>
    <r>
      <rPr>
        <b/>
        <vertAlign val="subscript"/>
        <sz val="11"/>
        <color theme="1"/>
        <rFont val="Times New Roman"/>
        <family val="1"/>
      </rPr>
      <t>Δp</t>
    </r>
    <r>
      <rPr>
        <b/>
        <sz val="11"/>
        <color theme="1"/>
        <rFont val="Times New Roman"/>
        <family val="1"/>
      </rPr>
      <t xml:space="preserve"> (psi)</t>
    </r>
  </si>
  <si>
    <r>
      <t>v</t>
    </r>
    <r>
      <rPr>
        <b/>
        <vertAlign val="subscript"/>
        <sz val="11"/>
        <color theme="1"/>
        <rFont val="Times New Roman"/>
        <family val="1"/>
      </rPr>
      <t>time_avg</t>
    </r>
    <r>
      <rPr>
        <b/>
        <sz val="11"/>
        <color theme="1"/>
        <rFont val="Times New Roman"/>
        <family val="1"/>
      </rPr>
      <t xml:space="preserve"> (m/s)</t>
    </r>
  </si>
  <si>
    <r>
      <t>v</t>
    </r>
    <r>
      <rPr>
        <b/>
        <vertAlign val="subscript"/>
        <sz val="11"/>
        <color theme="1"/>
        <rFont val="Times New Roman"/>
        <family val="1"/>
      </rPr>
      <t>naive</t>
    </r>
    <r>
      <rPr>
        <b/>
        <sz val="11"/>
        <color theme="1"/>
        <rFont val="Times New Roman"/>
        <family val="1"/>
      </rPr>
      <t xml:space="preserve">  (m/s)</t>
    </r>
  </si>
  <si>
    <t>K</t>
  </si>
  <si>
    <r>
      <t>ρg [kg/m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</si>
  <si>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r>
      <t>(1-α)v</t>
    </r>
    <r>
      <rPr>
        <b/>
        <vertAlign val="subscript"/>
        <sz val="11"/>
        <color theme="1"/>
        <rFont val="Times New Roman"/>
        <family val="1"/>
      </rPr>
      <t>f</t>
    </r>
    <r>
      <rPr>
        <b/>
        <sz val="11"/>
        <color theme="1"/>
        <rFont val="Times New Roman"/>
        <family val="1"/>
      </rPr>
      <t xml:space="preserve"> (m/s)</t>
    </r>
  </si>
  <si>
    <r>
      <rPr>
        <sz val="11"/>
        <color theme="1"/>
        <rFont val="Calibri"/>
        <family val="2"/>
      </rPr>
      <t>(1-α)v</t>
    </r>
    <r>
      <rPr>
        <sz val="11"/>
        <color theme="1"/>
        <rFont val="Times New Roman"/>
        <family val="1"/>
      </rPr>
      <t>f [m/s]</t>
    </r>
  </si>
  <si>
    <t>&lt;(1-α)vf &gt; [m/s]</t>
  </si>
  <si>
    <r>
      <t>&lt;1-</t>
    </r>
    <r>
      <rPr>
        <sz val="11"/>
        <color theme="1"/>
        <rFont val="Calibri"/>
        <family val="2"/>
      </rPr>
      <t>α</t>
    </r>
    <r>
      <rPr>
        <sz val="9.35"/>
        <color theme="1"/>
        <rFont val="Calibri"/>
        <family val="2"/>
      </rPr>
      <t>v</t>
    </r>
    <r>
      <rPr>
        <vertAlign val="subscript"/>
        <sz val="9.35"/>
        <color theme="1"/>
        <rFont val="Calibri"/>
        <family val="2"/>
      </rPr>
      <t>f</t>
    </r>
    <r>
      <rPr>
        <sz val="9.35"/>
        <color theme="1"/>
        <rFont val="Calibri"/>
        <family val="2"/>
      </rPr>
      <t>&gt; [m/s]</t>
    </r>
  </si>
  <si>
    <r>
      <t>v</t>
    </r>
    <r>
      <rPr>
        <b/>
        <vertAlign val="subscript"/>
        <sz val="11"/>
        <color theme="1"/>
        <rFont val="Times New Roman"/>
        <family val="1"/>
      </rPr>
      <t>r</t>
    </r>
    <r>
      <rPr>
        <b/>
        <sz val="11"/>
        <color theme="1"/>
        <rFont val="Times New Roman"/>
        <family val="1"/>
      </rPr>
      <t xml:space="preserve">  (m/s)</t>
    </r>
  </si>
  <si>
    <r>
      <rPr>
        <sz val="11"/>
        <color theme="1"/>
        <rFont val="Calibri"/>
        <family val="2"/>
      </rPr>
      <t>vr</t>
    </r>
    <r>
      <rPr>
        <sz val="11"/>
        <color theme="1"/>
        <rFont val="Times New Roman"/>
        <family val="1"/>
      </rPr>
      <t xml:space="preserve"> [m/s]</t>
    </r>
  </si>
  <si>
    <t>&lt;vr &gt; [m/s]</t>
  </si>
  <si>
    <t>Error Bars</t>
  </si>
  <si>
    <t>LF1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</si>
</sst>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"/>
    <numFmt numFmtId="167" formatCode="0.00000"/>
    <numFmt numFmtId="168" formatCode="0.0000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9.35"/>
      <color theme="1"/>
      <name val="Calibri"/>
      <family val="2"/>
    </font>
    <font>
      <i/>
      <sz val="11"/>
      <color theme="1"/>
      <name val="Calibri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vertAlign val="subscript"/>
      <sz val="11"/>
      <color theme="1"/>
      <name val="Times New Roman"/>
      <family val="1"/>
    </font>
    <font>
      <b/>
      <sz val="12.65"/>
      <color theme="1"/>
      <name val="Times New Roman"/>
      <family val="1"/>
    </font>
    <font>
      <b/>
      <sz val="10"/>
      <name val="Times New Roman"/>
      <family val="1"/>
    </font>
    <font>
      <b/>
      <vertAlign val="subscript"/>
      <sz val="10"/>
      <name val="Times New Roman"/>
      <family val="1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sz val="12.65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vertAlign val="subscript"/>
      <sz val="12.65"/>
      <color theme="1"/>
      <name val="Times New Roman"/>
      <family val="1"/>
    </font>
    <font>
      <sz val="9.35"/>
      <color theme="1"/>
      <name val="Calibri"/>
      <family val="2"/>
    </font>
    <font>
      <vertAlign val="subscript"/>
      <sz val="9.35"/>
      <color theme="1"/>
      <name val="Calibri"/>
      <family val="2"/>
    </font>
    <font>
      <i/>
      <sz val="11"/>
      <color theme="1"/>
      <name val="Times New Roman"/>
      <family val="1"/>
    </font>
    <font>
      <i/>
      <vertAlign val="subscript"/>
      <sz val="11"/>
      <color theme="1"/>
      <name val="Times New Roman"/>
      <family val="1"/>
    </font>
    <font>
      <sz val="10"/>
      <color theme="1"/>
      <name val="Times New Roman"/>
      <family val="1"/>
    </font>
    <font>
      <vertAlign val="subscript"/>
      <sz val="10"/>
      <color theme="1"/>
      <name val="Times New Roman"/>
      <family val="1"/>
    </font>
    <font>
      <b/>
      <sz val="9.35"/>
      <color theme="1"/>
      <name val="Times New Roman"/>
      <family val="1"/>
    </font>
    <font>
      <b/>
      <vertAlign val="subscript"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Times New Roman"/>
      <family val="2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107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9" fontId="33" fillId="0" borderId="0" applyFont="0" applyFill="0" applyBorder="0" applyAlignment="0" applyProtection="0"/>
  </cellStyleXfs>
  <cellXfs count="264">
    <xf numFmtId="0" fontId="0" fillId="0" borderId="0" xfId="0"/>
    <xf numFmtId="0" fontId="1" fillId="0" borderId="0" xfId="0" applyFont="1" applyAlignment="1">
      <alignment horizontal="center" vertical="center" wrapText="1"/>
    </xf>
    <xf numFmtId="1" fontId="0" fillId="0" borderId="19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9" xfId="0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2" fontId="14" fillId="2" borderId="2" xfId="0" applyNumberFormat="1" applyFont="1" applyFill="1" applyBorder="1" applyAlignment="1">
      <alignment horizontal="center" vertical="center"/>
    </xf>
    <xf numFmtId="2" fontId="14" fillId="2" borderId="24" xfId="0" applyNumberFormat="1" applyFont="1" applyFill="1" applyBorder="1" applyAlignment="1">
      <alignment horizontal="center" vertical="center"/>
    </xf>
    <xf numFmtId="2" fontId="14" fillId="2" borderId="20" xfId="0" applyNumberFormat="1" applyFont="1" applyFill="1" applyBorder="1" applyAlignment="1">
      <alignment horizontal="center" vertical="center"/>
    </xf>
    <xf numFmtId="2" fontId="14" fillId="2" borderId="21" xfId="0" applyNumberFormat="1" applyFont="1" applyFill="1" applyBorder="1" applyAlignment="1">
      <alignment horizontal="center" vertical="center"/>
    </xf>
    <xf numFmtId="2" fontId="14" fillId="2" borderId="32" xfId="0" applyNumberFormat="1" applyFont="1" applyFill="1" applyBorder="1" applyAlignment="1">
      <alignment horizontal="center" vertical="center"/>
    </xf>
    <xf numFmtId="2" fontId="14" fillId="2" borderId="22" xfId="0" applyNumberFormat="1" applyFont="1" applyFill="1" applyBorder="1" applyAlignment="1">
      <alignment horizontal="center" vertical="center"/>
    </xf>
    <xf numFmtId="2" fontId="14" fillId="2" borderId="12" xfId="0" applyNumberFormat="1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  <xf numFmtId="0" fontId="14" fillId="2" borderId="22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30" xfId="0" applyFont="1" applyFill="1" applyBorder="1" applyAlignment="1">
      <alignment horizontal="center" vertical="center"/>
    </xf>
    <xf numFmtId="0" fontId="14" fillId="2" borderId="28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14" fillId="6" borderId="30" xfId="0" applyFont="1" applyFill="1" applyBorder="1" applyAlignment="1">
      <alignment horizontal="center"/>
    </xf>
    <xf numFmtId="0" fontId="17" fillId="6" borderId="30" xfId="0" applyFont="1" applyFill="1" applyBorder="1" applyAlignment="1">
      <alignment horizontal="center"/>
    </xf>
    <xf numFmtId="0" fontId="14" fillId="6" borderId="4" xfId="0" applyFont="1" applyFill="1" applyBorder="1" applyAlignment="1">
      <alignment horizontal="center" vertical="center"/>
    </xf>
    <xf numFmtId="164" fontId="13" fillId="0" borderId="9" xfId="0" applyNumberFormat="1" applyFont="1" applyBorder="1" applyAlignment="1">
      <alignment horizontal="center" vertical="center"/>
    </xf>
    <xf numFmtId="164" fontId="13" fillId="0" borderId="2" xfId="0" applyNumberFormat="1" applyFont="1" applyBorder="1" applyAlignment="1">
      <alignment horizontal="center" vertical="center"/>
    </xf>
    <xf numFmtId="164" fontId="13" fillId="0" borderId="24" xfId="0" applyNumberFormat="1" applyFont="1" applyBorder="1" applyAlignment="1">
      <alignment horizontal="center" vertical="center"/>
    </xf>
    <xf numFmtId="164" fontId="13" fillId="0" borderId="11" xfId="0" applyNumberFormat="1" applyFont="1" applyBorder="1" applyAlignment="1">
      <alignment horizontal="center" vertical="center"/>
    </xf>
    <xf numFmtId="164" fontId="13" fillId="0" borderId="13" xfId="0" applyNumberFormat="1" applyFont="1" applyBorder="1" applyAlignment="1">
      <alignment horizontal="center" vertical="center"/>
    </xf>
    <xf numFmtId="164" fontId="13" fillId="0" borderId="10" xfId="0" applyNumberFormat="1" applyFont="1" applyBorder="1" applyAlignment="1">
      <alignment horizontal="center" vertical="center"/>
    </xf>
    <xf numFmtId="164" fontId="13" fillId="2" borderId="11" xfId="0" applyNumberFormat="1" applyFont="1" applyFill="1" applyBorder="1" applyAlignment="1">
      <alignment horizontal="center" vertical="center"/>
    </xf>
    <xf numFmtId="164" fontId="13" fillId="4" borderId="7" xfId="0" applyNumberFormat="1" applyFont="1" applyFill="1" applyBorder="1" applyAlignment="1">
      <alignment vertical="center" wrapText="1"/>
    </xf>
    <xf numFmtId="0" fontId="0" fillId="0" borderId="9" xfId="0" applyBorder="1"/>
    <xf numFmtId="0" fontId="0" fillId="0" borderId="2" xfId="0" applyBorder="1"/>
    <xf numFmtId="0" fontId="0" fillId="0" borderId="14" xfId="0" applyBorder="1"/>
    <xf numFmtId="0" fontId="0" fillId="0" borderId="15" xfId="0" applyBorder="1"/>
    <xf numFmtId="0" fontId="0" fillId="0" borderId="12" xfId="0" applyBorder="1"/>
    <xf numFmtId="0" fontId="0" fillId="0" borderId="25" xfId="0" applyBorder="1"/>
    <xf numFmtId="0" fontId="0" fillId="0" borderId="26" xfId="0" applyBorder="1"/>
    <xf numFmtId="0" fontId="0" fillId="0" borderId="10" xfId="0" applyBorder="1"/>
    <xf numFmtId="0" fontId="12" fillId="7" borderId="10" xfId="0" applyFont="1" applyFill="1" applyBorder="1" applyAlignment="1">
      <alignment horizontal="center" vertical="center"/>
    </xf>
    <xf numFmtId="0" fontId="19" fillId="7" borderId="10" xfId="0" applyFont="1" applyFill="1" applyBorder="1" applyAlignment="1">
      <alignment horizontal="center" vertical="center"/>
    </xf>
    <xf numFmtId="0" fontId="19" fillId="7" borderId="11" xfId="0" applyFont="1" applyFill="1" applyBorder="1" applyAlignment="1">
      <alignment horizontal="center" vertical="center"/>
    </xf>
    <xf numFmtId="0" fontId="0" fillId="7" borderId="33" xfId="0" applyFill="1" applyBorder="1"/>
    <xf numFmtId="0" fontId="0" fillId="7" borderId="17" xfId="0" applyFill="1" applyBorder="1"/>
    <xf numFmtId="0" fontId="0" fillId="7" borderId="16" xfId="0" applyFill="1" applyBorder="1"/>
    <xf numFmtId="0" fontId="0" fillId="0" borderId="24" xfId="0" applyBorder="1"/>
    <xf numFmtId="0" fontId="0" fillId="7" borderId="7" xfId="0" applyFill="1" applyBorder="1"/>
    <xf numFmtId="0" fontId="13" fillId="0" borderId="0" xfId="0" applyFont="1"/>
    <xf numFmtId="0" fontId="13" fillId="0" borderId="0" xfId="0" applyFont="1" applyAlignment="1">
      <alignment horizontal="center"/>
    </xf>
    <xf numFmtId="0" fontId="13" fillId="6" borderId="37" xfId="0" applyFont="1" applyFill="1" applyBorder="1" applyAlignment="1">
      <alignment horizontal="center"/>
    </xf>
    <xf numFmtId="0" fontId="13" fillId="6" borderId="37" xfId="0" applyFont="1" applyFill="1" applyBorder="1" applyAlignment="1">
      <alignment horizontal="center" vertical="center"/>
    </xf>
    <xf numFmtId="2" fontId="13" fillId="0" borderId="37" xfId="0" applyNumberFormat="1" applyFont="1" applyBorder="1" applyAlignment="1">
      <alignment horizontal="center"/>
    </xf>
    <xf numFmtId="165" fontId="13" fillId="0" borderId="37" xfId="0" applyNumberFormat="1" applyFont="1" applyBorder="1" applyAlignment="1">
      <alignment horizontal="center"/>
    </xf>
    <xf numFmtId="0" fontId="0" fillId="5" borderId="22" xfId="0" applyFill="1" applyBorder="1" applyAlignment="1">
      <alignment horizontal="center" vertical="center"/>
    </xf>
    <xf numFmtId="0" fontId="0" fillId="2" borderId="40" xfId="0" applyFill="1" applyBorder="1" applyAlignment="1">
      <alignment horizontal="center" vertical="center" wrapText="1"/>
    </xf>
    <xf numFmtId="0" fontId="0" fillId="5" borderId="41" xfId="0" quotePrefix="1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 vertical="center" wrapText="1"/>
    </xf>
    <xf numFmtId="0" fontId="0" fillId="2" borderId="39" xfId="0" applyFill="1" applyBorder="1" applyAlignment="1">
      <alignment horizontal="center" vertical="center"/>
    </xf>
    <xf numFmtId="0" fontId="0" fillId="2" borderId="40" xfId="0" applyFill="1" applyBorder="1" applyAlignment="1">
      <alignment horizontal="center" vertical="center"/>
    </xf>
    <xf numFmtId="0" fontId="1" fillId="2" borderId="42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165" fontId="0" fillId="0" borderId="37" xfId="0" applyNumberFormat="1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166" fontId="0" fillId="0" borderId="41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20" xfId="0" applyFont="1" applyFill="1" applyBorder="1" applyAlignment="1">
      <alignment horizontal="center" vertical="center" wrapText="1"/>
    </xf>
    <xf numFmtId="0" fontId="1" fillId="2" borderId="42" xfId="0" applyFont="1" applyFill="1" applyBorder="1" applyAlignment="1">
      <alignment horizontal="center" vertical="center"/>
    </xf>
    <xf numFmtId="164" fontId="1" fillId="0" borderId="44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165" fontId="13" fillId="0" borderId="46" xfId="0" applyNumberFormat="1" applyFont="1" applyBorder="1" applyAlignment="1">
      <alignment horizontal="center"/>
    </xf>
    <xf numFmtId="2" fontId="13" fillId="0" borderId="0" xfId="0" applyNumberFormat="1" applyFont="1" applyAlignment="1">
      <alignment horizontal="center" vertical="center"/>
    </xf>
    <xf numFmtId="1" fontId="13" fillId="0" borderId="0" xfId="0" applyNumberFormat="1" applyFont="1" applyAlignment="1">
      <alignment horizontal="center" vertical="center"/>
    </xf>
    <xf numFmtId="2" fontId="13" fillId="0" borderId="0" xfId="0" applyNumberFormat="1" applyFont="1" applyAlignment="1">
      <alignment horizontal="center"/>
    </xf>
    <xf numFmtId="0" fontId="0" fillId="2" borderId="43" xfId="0" applyFill="1" applyBorder="1" applyAlignment="1">
      <alignment horizontal="center" vertical="center" wrapText="1"/>
    </xf>
    <xf numFmtId="164" fontId="13" fillId="0" borderId="0" xfId="0" applyNumberFormat="1" applyFont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14" fontId="0" fillId="5" borderId="1" xfId="0" applyNumberFormat="1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33" xfId="0" applyFill="1" applyBorder="1" applyAlignment="1">
      <alignment horizontal="center" vertical="center"/>
    </xf>
    <xf numFmtId="164" fontId="0" fillId="5" borderId="33" xfId="0" applyNumberFormat="1" applyFill="1" applyBorder="1" applyAlignment="1">
      <alignment horizontal="center" vertical="center"/>
    </xf>
    <xf numFmtId="164" fontId="0" fillId="5" borderId="17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164" fontId="13" fillId="0" borderId="14" xfId="0" applyNumberFormat="1" applyFont="1" applyBorder="1" applyAlignment="1">
      <alignment horizontal="center" vertical="center"/>
    </xf>
    <xf numFmtId="164" fontId="13" fillId="0" borderId="15" xfId="0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7" borderId="37" xfId="0" applyFont="1" applyFill="1" applyBorder="1" applyAlignment="1">
      <alignment horizontal="center" vertical="center"/>
    </xf>
    <xf numFmtId="0" fontId="28" fillId="7" borderId="36" xfId="0" applyFont="1" applyFill="1" applyBorder="1" applyAlignment="1">
      <alignment horizontal="center" vertical="center"/>
    </xf>
    <xf numFmtId="2" fontId="28" fillId="7" borderId="37" xfId="0" applyNumberFormat="1" applyFont="1" applyFill="1" applyBorder="1" applyAlignment="1">
      <alignment horizontal="center" vertical="center"/>
    </xf>
    <xf numFmtId="164" fontId="28" fillId="0" borderId="37" xfId="0" applyNumberFormat="1" applyFont="1" applyBorder="1" applyAlignment="1">
      <alignment horizontal="center" vertical="center"/>
    </xf>
    <xf numFmtId="164" fontId="28" fillId="0" borderId="0" xfId="0" applyNumberFormat="1" applyFont="1" applyAlignment="1">
      <alignment horizontal="center" vertical="center"/>
    </xf>
    <xf numFmtId="2" fontId="28" fillId="0" borderId="37" xfId="0" applyNumberFormat="1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2" fontId="28" fillId="0" borderId="0" xfId="0" applyNumberFormat="1" applyFont="1" applyAlignment="1">
      <alignment horizontal="center" vertical="center"/>
    </xf>
    <xf numFmtId="1" fontId="28" fillId="0" borderId="0" xfId="0" applyNumberFormat="1" applyFont="1" applyAlignment="1">
      <alignment horizontal="center" vertical="center"/>
    </xf>
    <xf numFmtId="0" fontId="14" fillId="6" borderId="8" xfId="0" applyFont="1" applyFill="1" applyBorder="1" applyAlignment="1">
      <alignment horizontal="center"/>
    </xf>
    <xf numFmtId="0" fontId="14" fillId="2" borderId="47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4" fillId="2" borderId="25" xfId="0" applyFont="1" applyFill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0" fontId="13" fillId="2" borderId="37" xfId="0" applyFont="1" applyFill="1" applyBorder="1" applyAlignment="1">
      <alignment horizontal="center" vertical="center"/>
    </xf>
    <xf numFmtId="0" fontId="13" fillId="2" borderId="37" xfId="0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3" fillId="2" borderId="36" xfId="0" applyFont="1" applyFill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4" fontId="13" fillId="0" borderId="33" xfId="0" applyNumberFormat="1" applyFont="1" applyBorder="1" applyAlignment="1">
      <alignment horizontal="center" vertical="center"/>
    </xf>
    <xf numFmtId="0" fontId="14" fillId="2" borderId="45" xfId="0" applyFont="1" applyFill="1" applyBorder="1" applyAlignment="1">
      <alignment horizontal="center" vertical="center"/>
    </xf>
    <xf numFmtId="0" fontId="14" fillId="2" borderId="41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165" fontId="13" fillId="0" borderId="0" xfId="0" applyNumberFormat="1" applyFont="1" applyAlignment="1">
      <alignment horizontal="center" vertical="center"/>
    </xf>
    <xf numFmtId="164" fontId="6" fillId="0" borderId="14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6" fillId="0" borderId="15" xfId="0" applyNumberFormat="1" applyFont="1" applyBorder="1" applyAlignment="1">
      <alignment horizontal="center" vertical="center"/>
    </xf>
    <xf numFmtId="164" fontId="6" fillId="0" borderId="11" xfId="0" applyNumberFormat="1" applyFont="1" applyBorder="1" applyAlignment="1">
      <alignment horizontal="center" vertical="center"/>
    </xf>
    <xf numFmtId="164" fontId="6" fillId="0" borderId="10" xfId="0" applyNumberFormat="1" applyFont="1" applyBorder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166" fontId="6" fillId="0" borderId="13" xfId="0" applyNumberFormat="1" applyFont="1" applyBorder="1" applyAlignment="1">
      <alignment horizontal="center" vertical="center"/>
    </xf>
    <xf numFmtId="166" fontId="6" fillId="0" borderId="10" xfId="0" applyNumberFormat="1" applyFont="1" applyBorder="1" applyAlignment="1">
      <alignment horizontal="center" vertical="center"/>
    </xf>
    <xf numFmtId="166" fontId="6" fillId="0" borderId="11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14" fillId="2" borderId="16" xfId="0" applyNumberFormat="1" applyFont="1" applyFill="1" applyBorder="1" applyAlignment="1">
      <alignment horizontal="center" vertical="center"/>
    </xf>
    <xf numFmtId="0" fontId="13" fillId="0" borderId="33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165" fontId="0" fillId="0" borderId="21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2" fontId="0" fillId="0" borderId="37" xfId="0" applyNumberFormat="1" applyBorder="1" applyAlignment="1">
      <alignment horizontal="center" vertical="center"/>
    </xf>
    <xf numFmtId="2" fontId="0" fillId="0" borderId="30" xfId="0" applyNumberFormat="1" applyBorder="1" applyAlignment="1">
      <alignment horizontal="center" vertical="center"/>
    </xf>
    <xf numFmtId="0" fontId="1" fillId="2" borderId="12" xfId="0" applyFont="1" applyFill="1" applyBorder="1" applyAlignment="1">
      <alignment vertical="center" wrapText="1"/>
    </xf>
    <xf numFmtId="0" fontId="1" fillId="2" borderId="12" xfId="0" applyFont="1" applyFill="1" applyBorder="1" applyAlignment="1">
      <alignment horizontal="center" wrapText="1"/>
    </xf>
    <xf numFmtId="0" fontId="1" fillId="2" borderId="7" xfId="0" applyFont="1" applyFill="1" applyBorder="1" applyAlignment="1">
      <alignment horizontal="center" wrapText="1"/>
    </xf>
    <xf numFmtId="0" fontId="0" fillId="0" borderId="1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" fillId="2" borderId="38" xfId="0" applyFont="1" applyFill="1" applyBorder="1" applyAlignment="1">
      <alignment horizontal="center" vertical="center" wrapText="1"/>
    </xf>
    <xf numFmtId="0" fontId="1" fillId="2" borderId="48" xfId="0" applyFont="1" applyFill="1" applyBorder="1" applyAlignment="1">
      <alignment horizontal="center" vertical="center" wrapText="1"/>
    </xf>
    <xf numFmtId="1" fontId="0" fillId="5" borderId="4" xfId="0" applyNumberFormat="1" applyFill="1" applyBorder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167" fontId="0" fillId="0" borderId="0" xfId="106" applyNumberFormat="1" applyFont="1" applyFill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34" fillId="2" borderId="37" xfId="0" applyFont="1" applyFill="1" applyBorder="1" applyAlignment="1">
      <alignment horizontal="center"/>
    </xf>
    <xf numFmtId="0" fontId="0" fillId="0" borderId="16" xfId="0" applyBorder="1"/>
    <xf numFmtId="0" fontId="1" fillId="0" borderId="7" xfId="0" applyFont="1" applyBorder="1"/>
    <xf numFmtId="0" fontId="1" fillId="0" borderId="11" xfId="0" applyFont="1" applyBorder="1"/>
    <xf numFmtId="165" fontId="13" fillId="9" borderId="37" xfId="0" applyNumberFormat="1" applyFont="1" applyFill="1" applyBorder="1" applyAlignment="1">
      <alignment horizontal="center"/>
    </xf>
    <xf numFmtId="0" fontId="0" fillId="8" borderId="19" xfId="0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 wrapText="1"/>
    </xf>
    <xf numFmtId="1" fontId="0" fillId="0" borderId="41" xfId="0" applyNumberFormat="1" applyBorder="1" applyAlignment="1">
      <alignment horizontal="center" vertical="center"/>
    </xf>
    <xf numFmtId="164" fontId="0" fillId="0" borderId="41" xfId="0" applyNumberFormat="1" applyBorder="1" applyAlignment="1">
      <alignment horizontal="center" vertical="center"/>
    </xf>
    <xf numFmtId="0" fontId="1" fillId="0" borderId="0" xfId="0" applyFont="1"/>
    <xf numFmtId="166" fontId="0" fillId="5" borderId="33" xfId="0" applyNumberFormat="1" applyFill="1" applyBorder="1" applyAlignment="1">
      <alignment horizontal="center" vertical="center"/>
    </xf>
    <xf numFmtId="0" fontId="0" fillId="0" borderId="0" xfId="0"/>
    <xf numFmtId="164" fontId="13" fillId="0" borderId="25" xfId="0" applyNumberFormat="1" applyFont="1" applyBorder="1" applyAlignment="1">
      <alignment horizontal="center" vertical="center"/>
    </xf>
    <xf numFmtId="164" fontId="13" fillId="0" borderId="26" xfId="0" applyNumberFormat="1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1" fillId="5" borderId="10" xfId="0" applyFont="1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0" fillId="2" borderId="38" xfId="0" applyFill="1" applyBorder="1" applyAlignment="1">
      <alignment horizontal="center" vertical="center"/>
    </xf>
    <xf numFmtId="0" fontId="0" fillId="2" borderId="42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2" borderId="9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0" fillId="0" borderId="0" xfId="0"/>
    <xf numFmtId="164" fontId="1" fillId="5" borderId="39" xfId="0" quotePrefix="1" applyNumberFormat="1" applyFont="1" applyFill="1" applyBorder="1" applyAlignment="1">
      <alignment horizontal="center" vertical="center"/>
    </xf>
    <xf numFmtId="164" fontId="1" fillId="5" borderId="49" xfId="0" quotePrefix="1" applyNumberFormat="1" applyFont="1" applyFill="1" applyBorder="1" applyAlignment="1">
      <alignment horizontal="center" vertical="center"/>
    </xf>
    <xf numFmtId="164" fontId="1" fillId="5" borderId="22" xfId="0" quotePrefix="1" applyNumberFormat="1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center" vertical="center"/>
    </xf>
    <xf numFmtId="0" fontId="14" fillId="2" borderId="25" xfId="0" applyFont="1" applyFill="1" applyBorder="1" applyAlignment="1">
      <alignment horizontal="center" vertical="center"/>
    </xf>
    <xf numFmtId="2" fontId="14" fillId="2" borderId="13" xfId="0" applyNumberFormat="1" applyFont="1" applyFill="1" applyBorder="1" applyAlignment="1">
      <alignment horizontal="center" vertical="center"/>
    </xf>
    <xf numFmtId="2" fontId="14" fillId="2" borderId="10" xfId="0" applyNumberFormat="1" applyFont="1" applyFill="1" applyBorder="1" applyAlignment="1">
      <alignment horizontal="center" vertical="center"/>
    </xf>
    <xf numFmtId="2" fontId="14" fillId="2" borderId="11" xfId="0" applyNumberFormat="1" applyFont="1" applyFill="1" applyBorder="1" applyAlignment="1">
      <alignment horizontal="center" vertical="center"/>
    </xf>
    <xf numFmtId="0" fontId="14" fillId="2" borderId="40" xfId="0" applyFont="1" applyFill="1" applyBorder="1" applyAlignment="1">
      <alignment horizontal="center" vertical="center"/>
    </xf>
    <xf numFmtId="0" fontId="14" fillId="2" borderId="45" xfId="0" applyFont="1" applyFill="1" applyBorder="1" applyAlignment="1">
      <alignment horizontal="center" vertical="center"/>
    </xf>
    <xf numFmtId="0" fontId="14" fillId="2" borderId="41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10" xfId="0" applyFont="1" applyFill="1" applyBorder="1" applyAlignment="1">
      <alignment horizontal="center" vertical="center"/>
    </xf>
    <xf numFmtId="0" fontId="14" fillId="2" borderId="11" xfId="0" applyFont="1" applyFill="1" applyBorder="1" applyAlignment="1">
      <alignment horizontal="center" vertical="center"/>
    </xf>
    <xf numFmtId="164" fontId="13" fillId="4" borderId="13" xfId="0" applyNumberFormat="1" applyFont="1" applyFill="1" applyBorder="1" applyAlignment="1">
      <alignment horizontal="center" vertical="center" wrapText="1"/>
    </xf>
    <xf numFmtId="164" fontId="13" fillId="4" borderId="10" xfId="0" applyNumberFormat="1" applyFont="1" applyFill="1" applyBorder="1" applyAlignment="1">
      <alignment horizontal="center" vertical="center" wrapText="1"/>
    </xf>
    <xf numFmtId="164" fontId="13" fillId="4" borderId="11" xfId="0" applyNumberFormat="1" applyFont="1" applyFill="1" applyBorder="1" applyAlignment="1">
      <alignment horizontal="center" vertical="center" wrapText="1"/>
    </xf>
    <xf numFmtId="0" fontId="14" fillId="2" borderId="16" xfId="0" applyFont="1" applyFill="1" applyBorder="1" applyAlignment="1">
      <alignment horizontal="center" vertical="center"/>
    </xf>
    <xf numFmtId="0" fontId="14" fillId="2" borderId="17" xfId="0" applyFont="1" applyFill="1" applyBorder="1" applyAlignment="1">
      <alignment horizontal="center" vertical="center"/>
    </xf>
    <xf numFmtId="2" fontId="14" fillId="2" borderId="16" xfId="0" applyNumberFormat="1" applyFont="1" applyFill="1" applyBorder="1" applyAlignment="1">
      <alignment horizontal="center" vertical="center" wrapText="1"/>
    </xf>
    <xf numFmtId="2" fontId="14" fillId="2" borderId="17" xfId="0" applyNumberFormat="1" applyFont="1" applyFill="1" applyBorder="1" applyAlignment="1">
      <alignment horizontal="center" vertical="center" wrapText="1"/>
    </xf>
    <xf numFmtId="2" fontId="14" fillId="2" borderId="16" xfId="0" applyNumberFormat="1" applyFont="1" applyFill="1" applyBorder="1" applyAlignment="1">
      <alignment horizontal="center" vertical="center"/>
    </xf>
    <xf numFmtId="2" fontId="14" fillId="2" borderId="17" xfId="0" applyNumberFormat="1" applyFont="1" applyFill="1" applyBorder="1" applyAlignment="1">
      <alignment horizontal="center" vertical="center"/>
    </xf>
    <xf numFmtId="2" fontId="14" fillId="2" borderId="9" xfId="0" applyNumberFormat="1" applyFont="1" applyFill="1" applyBorder="1" applyAlignment="1">
      <alignment horizontal="center" vertical="center"/>
    </xf>
    <xf numFmtId="2" fontId="14" fillId="2" borderId="12" xfId="0" applyNumberFormat="1" applyFont="1" applyFill="1" applyBorder="1" applyAlignment="1">
      <alignment horizontal="center" vertical="center"/>
    </xf>
    <xf numFmtId="2" fontId="14" fillId="2" borderId="23" xfId="0" applyNumberFormat="1" applyFont="1" applyFill="1" applyBorder="1" applyAlignment="1">
      <alignment horizontal="center" vertical="center"/>
    </xf>
    <xf numFmtId="2" fontId="14" fillId="2" borderId="31" xfId="0" applyNumberFormat="1" applyFont="1" applyFill="1" applyBorder="1" applyAlignment="1">
      <alignment horizontal="center" vertical="center"/>
    </xf>
    <xf numFmtId="2" fontId="14" fillId="2" borderId="29" xfId="0" applyNumberFormat="1" applyFont="1" applyFill="1" applyBorder="1" applyAlignment="1">
      <alignment horizontal="center" vertical="center"/>
    </xf>
    <xf numFmtId="2" fontId="14" fillId="2" borderId="34" xfId="0" applyNumberFormat="1" applyFont="1" applyFill="1" applyBorder="1" applyAlignment="1">
      <alignment horizontal="center" vertical="center"/>
    </xf>
    <xf numFmtId="2" fontId="14" fillId="2" borderId="27" xfId="0" applyNumberFormat="1" applyFont="1" applyFill="1" applyBorder="1" applyAlignment="1">
      <alignment horizontal="center" vertical="center"/>
    </xf>
    <xf numFmtId="0" fontId="13" fillId="2" borderId="1" xfId="0" applyFont="1" applyFill="1" applyBorder="1"/>
    <xf numFmtId="0" fontId="13" fillId="2" borderId="35" xfId="0" applyFont="1" applyFill="1" applyBorder="1"/>
    <xf numFmtId="0" fontId="13" fillId="2" borderId="36" xfId="0" applyFont="1" applyFill="1" applyBorder="1"/>
    <xf numFmtId="0" fontId="0" fillId="7" borderId="13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28" fillId="7" borderId="1" xfId="0" applyFont="1" applyFill="1" applyBorder="1" applyAlignment="1">
      <alignment horizontal="center" vertical="center" wrapText="1"/>
    </xf>
    <xf numFmtId="0" fontId="28" fillId="7" borderId="35" xfId="0" applyFont="1" applyFill="1" applyBorder="1" applyAlignment="1">
      <alignment horizontal="center" vertical="center" wrapText="1"/>
    </xf>
    <xf numFmtId="0" fontId="28" fillId="7" borderId="36" xfId="0" applyFont="1" applyFill="1" applyBorder="1" applyAlignment="1">
      <alignment horizontal="center" vertical="center" wrapText="1"/>
    </xf>
    <xf numFmtId="0" fontId="28" fillId="7" borderId="37" xfId="0" applyFont="1" applyFill="1" applyBorder="1" applyAlignment="1">
      <alignment horizontal="center" vertical="center" wrapText="1"/>
    </xf>
    <xf numFmtId="2" fontId="28" fillId="7" borderId="1" xfId="0" applyNumberFormat="1" applyFont="1" applyFill="1" applyBorder="1" applyAlignment="1">
      <alignment horizontal="center" vertical="center" wrapText="1"/>
    </xf>
    <xf numFmtId="2" fontId="28" fillId="0" borderId="35" xfId="0" applyNumberFormat="1" applyFont="1" applyBorder="1" applyAlignment="1">
      <alignment horizontal="center" vertical="center" wrapText="1"/>
    </xf>
    <xf numFmtId="2" fontId="28" fillId="0" borderId="36" xfId="0" applyNumberFormat="1" applyFont="1" applyBorder="1" applyAlignment="1">
      <alignment horizontal="center" vertical="center" wrapText="1"/>
    </xf>
    <xf numFmtId="0" fontId="28" fillId="0" borderId="35" xfId="0" applyFont="1" applyBorder="1" applyAlignment="1">
      <alignment horizontal="center" vertical="center" wrapText="1"/>
    </xf>
    <xf numFmtId="0" fontId="28" fillId="0" borderId="36" xfId="0" applyFont="1" applyBorder="1" applyAlignment="1">
      <alignment horizontal="center" vertical="center" wrapText="1"/>
    </xf>
  </cellXfs>
  <cellStyles count="107"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Normal" xfId="0" builtinId="0"/>
    <cellStyle name="Normal 2" xfId="1" xr:uid="{00000000-0005-0000-0000-000061000000}"/>
    <cellStyle name="Normal 3" xfId="2" xr:uid="{00000000-0005-0000-0000-000062000000}"/>
    <cellStyle name="Normal 4" xfId="3" xr:uid="{00000000-0005-0000-0000-000063000000}"/>
    <cellStyle name="Normal 4 2" xfId="4" xr:uid="{00000000-0005-0000-0000-000064000000}"/>
    <cellStyle name="Normal 5" xfId="5" xr:uid="{00000000-0005-0000-0000-000065000000}"/>
    <cellStyle name="Normal 5 2" xfId="6" xr:uid="{00000000-0005-0000-0000-000066000000}"/>
    <cellStyle name="Normal 6" xfId="7" xr:uid="{00000000-0005-0000-0000-000067000000}"/>
    <cellStyle name="Normal 6 2" xfId="8" xr:uid="{00000000-0005-0000-0000-000068000000}"/>
    <cellStyle name="Normal 7" xfId="9" xr:uid="{00000000-0005-0000-0000-000069000000}"/>
    <cellStyle name="Percent" xfId="106" builtinId="5"/>
  </cellStyles>
  <dxfs count="2"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colors>
    <mruColors>
      <color rgb="FFD55D5D"/>
      <color rgb="FF643232"/>
      <color rgb="FF00FF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'2'!$AC$9:$AC$28</c:f>
              <c:numCache>
                <c:formatCode>0.000</c:formatCode>
                <c:ptCount val="20"/>
                <c:pt idx="0">
                  <c:v>9.1600000000000001E-2</c:v>
                </c:pt>
                <c:pt idx="1">
                  <c:v>0.14549999999999999</c:v>
                </c:pt>
                <c:pt idx="2">
                  <c:v>0.1265</c:v>
                </c:pt>
                <c:pt idx="3">
                  <c:v>9.8100000000000007E-2</c:v>
                </c:pt>
                <c:pt idx="4">
                  <c:v>9.1899999999999996E-2</c:v>
                </c:pt>
                <c:pt idx="5">
                  <c:v>9.69E-2</c:v>
                </c:pt>
                <c:pt idx="6">
                  <c:v>0.105</c:v>
                </c:pt>
                <c:pt idx="7">
                  <c:v>0.1032</c:v>
                </c:pt>
                <c:pt idx="8">
                  <c:v>0.1106</c:v>
                </c:pt>
                <c:pt idx="9">
                  <c:v>0.1143</c:v>
                </c:pt>
              </c:numCache>
            </c:numRef>
          </c:xVal>
          <c:yVal>
            <c:numRef>
              <c:f>'2'!$A$9:$A$28</c:f>
              <c:numCache>
                <c:formatCode>0.000</c:formatCode>
                <c:ptCount val="20"/>
                <c:pt idx="0">
                  <c:v>0.9</c:v>
                </c:pt>
                <c:pt idx="1">
                  <c:v>0.8</c:v>
                </c:pt>
                <c:pt idx="2">
                  <c:v>0.7</c:v>
                </c:pt>
                <c:pt idx="3">
                  <c:v>0.6</c:v>
                </c:pt>
                <c:pt idx="4">
                  <c:v>0.5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0.1</c:v>
                </c:pt>
                <c:pt idx="9">
                  <c:v>0</c:v>
                </c:pt>
                <c:pt idx="10">
                  <c:v>-0.1</c:v>
                </c:pt>
                <c:pt idx="11">
                  <c:v>-0.2</c:v>
                </c:pt>
                <c:pt idx="12">
                  <c:v>-0.3</c:v>
                </c:pt>
                <c:pt idx="13">
                  <c:v>-0.4</c:v>
                </c:pt>
                <c:pt idx="14">
                  <c:v>-0.5</c:v>
                </c:pt>
                <c:pt idx="15">
                  <c:v>-0.6</c:v>
                </c:pt>
                <c:pt idx="16">
                  <c:v>-0.7</c:v>
                </c:pt>
                <c:pt idx="17">
                  <c:v>-0.8</c:v>
                </c:pt>
                <c:pt idx="18">
                  <c:v>-0.9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88-40CE-86BE-4D969F167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2512"/>
        <c:axId val="283142904"/>
      </c:scatterChart>
      <c:valAx>
        <c:axId val="283142512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42904"/>
        <c:crosses val="autoZero"/>
        <c:crossBetween val="midCat"/>
        <c:majorUnit val="0.2"/>
        <c:minorUnit val="0.1"/>
      </c:valAx>
      <c:valAx>
        <c:axId val="28314290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251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x"/>
            <c:errBarType val="both"/>
            <c:errValType val="percentage"/>
            <c:noEndCap val="0"/>
            <c:val val="10"/>
          </c:errBars>
          <c:xVal>
            <c:numRef>
              <c:f>'2'!$AJ$8:$AJ$28</c:f>
              <c:numCache>
                <c:formatCode>General</c:formatCode>
                <c:ptCount val="21"/>
                <c:pt idx="1">
                  <c:v>150.22999999999999</c:v>
                </c:pt>
                <c:pt idx="2">
                  <c:v>198.24</c:v>
                </c:pt>
                <c:pt idx="3">
                  <c:v>197.67</c:v>
                </c:pt>
                <c:pt idx="4">
                  <c:v>159.05000000000001</c:v>
                </c:pt>
                <c:pt idx="5">
                  <c:v>143.13</c:v>
                </c:pt>
                <c:pt idx="6">
                  <c:v>148.88</c:v>
                </c:pt>
                <c:pt idx="7">
                  <c:v>161.6</c:v>
                </c:pt>
                <c:pt idx="8">
                  <c:v>159.19999999999999</c:v>
                </c:pt>
                <c:pt idx="9">
                  <c:v>172.78</c:v>
                </c:pt>
                <c:pt idx="10" formatCode="0.000">
                  <c:v>177.49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CD-4AEB-AA40-8F4430B42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1336"/>
        <c:axId val="283143296"/>
      </c:scatterChart>
      <c:valAx>
        <c:axId val="283141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83143296"/>
        <c:crosses val="autoZero"/>
        <c:crossBetween val="midCat"/>
      </c:valAx>
      <c:valAx>
        <c:axId val="28314329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13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'2'!$AK$8:$AK$28</c:f>
              <c:numCache>
                <c:formatCode>General</c:formatCode>
                <c:ptCount val="21"/>
                <c:pt idx="1">
                  <c:v>3.66</c:v>
                </c:pt>
                <c:pt idx="2">
                  <c:v>4.4000000000000004</c:v>
                </c:pt>
                <c:pt idx="3">
                  <c:v>3.84</c:v>
                </c:pt>
                <c:pt idx="4">
                  <c:v>3.7</c:v>
                </c:pt>
                <c:pt idx="5">
                  <c:v>3.85</c:v>
                </c:pt>
                <c:pt idx="6">
                  <c:v>3.9</c:v>
                </c:pt>
                <c:pt idx="7">
                  <c:v>3.9</c:v>
                </c:pt>
                <c:pt idx="8">
                  <c:v>3.89</c:v>
                </c:pt>
                <c:pt idx="9">
                  <c:v>3.84</c:v>
                </c:pt>
                <c:pt idx="10" formatCode="0.000">
                  <c:v>3.86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DD-4FE1-A354-D0D6637994F6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'2'!$AM$8:$AM$28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DD-4FE1-A354-D0D663799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4080"/>
        <c:axId val="283144472"/>
      </c:scatterChart>
      <c:valAx>
        <c:axId val="283144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83144472"/>
        <c:crosses val="autoZero"/>
        <c:crossBetween val="midCat"/>
      </c:valAx>
      <c:valAx>
        <c:axId val="28314447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408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6844873211074038"/>
          <c:y val="0.67951347079730151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0.68180638083025913</c:v>
                </c:pt>
                <c:pt idx="2">
                  <c:v>0.76384925376347856</c:v>
                </c:pt>
                <c:pt idx="3">
                  <c:v>0.81634468150249617</c:v>
                </c:pt>
                <c:pt idx="4">
                  <c:v>0.85576447930058497</c:v>
                </c:pt>
                <c:pt idx="5">
                  <c:v>0.88764704592069232</c:v>
                </c:pt>
                <c:pt idx="6">
                  <c:v>0.91457676741031746</c:v>
                </c:pt>
                <c:pt idx="7">
                  <c:v>0.93798193514099792</c:v>
                </c:pt>
                <c:pt idx="8">
                  <c:v>0.95874001371920414</c:v>
                </c:pt>
                <c:pt idx="9">
                  <c:v>0.97743092137960175</c:v>
                </c:pt>
                <c:pt idx="10">
                  <c:v>0.9944590615391693</c:v>
                </c:pt>
                <c:pt idx="11">
                  <c:v>0.97743092137960175</c:v>
                </c:pt>
                <c:pt idx="12">
                  <c:v>0.95874001371920414</c:v>
                </c:pt>
                <c:pt idx="13">
                  <c:v>0.93798193514099792</c:v>
                </c:pt>
                <c:pt idx="14">
                  <c:v>0.91457676741031746</c:v>
                </c:pt>
                <c:pt idx="15">
                  <c:v>0.88764704592069232</c:v>
                </c:pt>
                <c:pt idx="16">
                  <c:v>0.85576447930058497</c:v>
                </c:pt>
                <c:pt idx="17">
                  <c:v>0.81634468150249617</c:v>
                </c:pt>
                <c:pt idx="18">
                  <c:v>0.76384925376347856</c:v>
                </c:pt>
                <c:pt idx="19">
                  <c:v>0.68180638083025913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F7-47C3-B03D-00C9566F394E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'2'!$AO$8:$AO$28</c:f>
              <c:numCache>
                <c:formatCode>General</c:formatCode>
                <c:ptCount val="21"/>
                <c:pt idx="1">
                  <c:v>0.98499999999999999</c:v>
                </c:pt>
                <c:pt idx="2">
                  <c:v>0.995</c:v>
                </c:pt>
                <c:pt idx="3">
                  <c:v>1.016</c:v>
                </c:pt>
                <c:pt idx="4">
                  <c:v>1.08</c:v>
                </c:pt>
                <c:pt idx="5">
                  <c:v>1.111</c:v>
                </c:pt>
                <c:pt idx="6">
                  <c:v>1.125</c:v>
                </c:pt>
                <c:pt idx="7">
                  <c:v>1.1539999999999999</c:v>
                </c:pt>
                <c:pt idx="8">
                  <c:v>1.1639999999999999</c:v>
                </c:pt>
                <c:pt idx="9">
                  <c:v>1.139</c:v>
                </c:pt>
                <c:pt idx="10" formatCode="0.000">
                  <c:v>1.1379999999999999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F7-47C3-B03D-00C9566F394E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'2'!$AP$8:$AP$28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F7-47C3-B03D-00C9566F3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5256"/>
        <c:axId val="283145648"/>
      </c:scatterChart>
      <c:valAx>
        <c:axId val="283145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83145648"/>
        <c:crosses val="autoZero"/>
        <c:crossBetween val="midCat"/>
      </c:valAx>
      <c:valAx>
        <c:axId val="28314564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525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'2'!$AS$8:$AS$28</c:f>
              <c:numCache>
                <c:formatCode>General</c:formatCode>
                <c:ptCount val="21"/>
                <c:pt idx="1">
                  <c:v>0.223</c:v>
                </c:pt>
                <c:pt idx="2">
                  <c:v>0.248</c:v>
                </c:pt>
                <c:pt idx="3">
                  <c:v>0.28699999999999998</c:v>
                </c:pt>
                <c:pt idx="4">
                  <c:v>0.214</c:v>
                </c:pt>
                <c:pt idx="5">
                  <c:v>0.19600000000000001</c:v>
                </c:pt>
                <c:pt idx="6">
                  <c:v>0.19600000000000001</c:v>
                </c:pt>
                <c:pt idx="7">
                  <c:v>0.191</c:v>
                </c:pt>
                <c:pt idx="8">
                  <c:v>0.20699999999999999</c:v>
                </c:pt>
                <c:pt idx="9">
                  <c:v>0.193</c:v>
                </c:pt>
                <c:pt idx="10" formatCode="0.000">
                  <c:v>0.192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5-401E-BA0A-CAE21940C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6432"/>
        <c:axId val="283146824"/>
      </c:scatterChart>
      <c:valAx>
        <c:axId val="28314643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46824"/>
        <c:crosses val="autoZero"/>
        <c:crossBetween val="midCat"/>
        <c:majorUnit val="0.2"/>
        <c:minorUnit val="0.2"/>
      </c:valAx>
      <c:valAx>
        <c:axId val="28314682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643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'2'!$AQ$8:$AQ$28</c:f>
              <c:numCache>
                <c:formatCode>General</c:formatCode>
                <c:ptCount val="21"/>
                <c:pt idx="1">
                  <c:v>0.20300000000000001</c:v>
                </c:pt>
                <c:pt idx="2">
                  <c:v>0.21099999999999999</c:v>
                </c:pt>
                <c:pt idx="3">
                  <c:v>0.221</c:v>
                </c:pt>
                <c:pt idx="4">
                  <c:v>0.20200000000000001</c:v>
                </c:pt>
                <c:pt idx="5">
                  <c:v>0.17499999999999999</c:v>
                </c:pt>
                <c:pt idx="6">
                  <c:v>0.17699999999999999</c:v>
                </c:pt>
                <c:pt idx="7">
                  <c:v>0.18</c:v>
                </c:pt>
                <c:pt idx="8">
                  <c:v>0.189</c:v>
                </c:pt>
                <c:pt idx="9">
                  <c:v>0.17299999999999999</c:v>
                </c:pt>
                <c:pt idx="10" formatCode="0.000">
                  <c:v>0.17299999999999999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2-4E04-84B9-37CE1387A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7608"/>
        <c:axId val="283148000"/>
      </c:scatterChart>
      <c:valAx>
        <c:axId val="283147608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48000"/>
        <c:crosses val="autoZero"/>
        <c:crossBetween val="midCat"/>
        <c:majorUnit val="0.5"/>
        <c:minorUnit val="0.25"/>
      </c:valAx>
      <c:valAx>
        <c:axId val="28314800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760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x"/>
            <c:errBarType val="both"/>
            <c:errValType val="percentage"/>
            <c:noEndCap val="0"/>
            <c:val val="10"/>
          </c:errBars>
          <c:xVal>
            <c:numRef>
              <c:f>'2'!$AA$8:$AA$28</c:f>
              <c:numCache>
                <c:formatCode>0.000</c:formatCode>
                <c:ptCount val="21"/>
                <c:pt idx="1">
                  <c:v>9.1600000000000001E-2</c:v>
                </c:pt>
                <c:pt idx="2">
                  <c:v>0.14549999999999999</c:v>
                </c:pt>
                <c:pt idx="3">
                  <c:v>0.1265</c:v>
                </c:pt>
                <c:pt idx="4">
                  <c:v>9.8100000000000007E-2</c:v>
                </c:pt>
                <c:pt idx="5">
                  <c:v>9.1899999999999996E-2</c:v>
                </c:pt>
                <c:pt idx="6">
                  <c:v>9.69E-2</c:v>
                </c:pt>
                <c:pt idx="7">
                  <c:v>0.105</c:v>
                </c:pt>
                <c:pt idx="8">
                  <c:v>0.1032</c:v>
                </c:pt>
                <c:pt idx="9">
                  <c:v>0.1106</c:v>
                </c:pt>
                <c:pt idx="10">
                  <c:v>0.1143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79-4218-A991-93302630D910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'2'!$AB$8:$AB$28</c:f>
              <c:numCache>
                <c:formatCode>0.000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79-4218-A991-93302630D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9568"/>
        <c:axId val="283148784"/>
      </c:scatterChart>
      <c:valAx>
        <c:axId val="283149568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48784"/>
        <c:crosses val="autoZero"/>
        <c:crossBetween val="midCat"/>
        <c:majorUnit val="2.0000000000000004E-2"/>
        <c:minorUnit val="1.0000000000000002E-2"/>
      </c:valAx>
      <c:valAx>
        <c:axId val="28314878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956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'2'!$AH$8:$AH$28</c:f>
              <c:numCache>
                <c:formatCode>General</c:formatCode>
                <c:ptCount val="21"/>
                <c:pt idx="1">
                  <c:v>150.22999999999999</c:v>
                </c:pt>
                <c:pt idx="2">
                  <c:v>198.24</c:v>
                </c:pt>
                <c:pt idx="3">
                  <c:v>197.67</c:v>
                </c:pt>
                <c:pt idx="4">
                  <c:v>159.05000000000001</c:v>
                </c:pt>
                <c:pt idx="5">
                  <c:v>143.13</c:v>
                </c:pt>
                <c:pt idx="6">
                  <c:v>148.88</c:v>
                </c:pt>
                <c:pt idx="7">
                  <c:v>161.6</c:v>
                </c:pt>
                <c:pt idx="8">
                  <c:v>159.19999999999999</c:v>
                </c:pt>
                <c:pt idx="9">
                  <c:v>172.78</c:v>
                </c:pt>
                <c:pt idx="10">
                  <c:v>177.49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416-8E6E-EFC5BF754F50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'2'!$AI$8:$AI$28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05-4416-8E6E-EFC5BF754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9960"/>
        <c:axId val="283150352"/>
      </c:scatterChart>
      <c:valAx>
        <c:axId val="283149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83150352"/>
        <c:crosses val="autoZero"/>
        <c:crossBetween val="midCat"/>
      </c:valAx>
      <c:valAx>
        <c:axId val="28315035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996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701394251267816"/>
          <c:y val="0.7007256071984006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'2'!$AC$53:$AC$73</c:f>
              <c:numCache>
                <c:formatCode>0.000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EB-4CE5-AB2C-C501ACFA7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51136"/>
        <c:axId val="283151528"/>
      </c:scatterChart>
      <c:valAx>
        <c:axId val="283151136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51528"/>
        <c:crosses val="autoZero"/>
        <c:crossBetween val="midCat"/>
        <c:majorUnit val="0.2"/>
        <c:minorUnit val="0.1"/>
      </c:valAx>
      <c:valAx>
        <c:axId val="28315152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511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'2'!$AJ$53:$AJ$73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BE-4BE6-AB06-DE185EEF4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52312"/>
        <c:axId val="208541272"/>
      </c:scatterChart>
      <c:valAx>
        <c:axId val="283152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8541272"/>
        <c:crosses val="autoZero"/>
        <c:crossBetween val="midCat"/>
      </c:valAx>
      <c:valAx>
        <c:axId val="20854127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5231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'2'!$AK$53:$AK$73</c:f>
              <c:numCache>
                <c:formatCode>General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90-46F1-8EDC-91E4F3AA84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'2'!$AM$53:$AM$73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90-46F1-8EDC-91E4F3AA8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4800"/>
        <c:axId val="208544408"/>
      </c:scatterChart>
      <c:valAx>
        <c:axId val="208544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8544408"/>
        <c:crosses val="autoZero"/>
        <c:crossBetween val="midCat"/>
      </c:valAx>
      <c:valAx>
        <c:axId val="20854440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480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0.68180638083025913</c:v>
                </c:pt>
                <c:pt idx="2">
                  <c:v>0.76384925376347856</c:v>
                </c:pt>
                <c:pt idx="3">
                  <c:v>0.81634468150249617</c:v>
                </c:pt>
                <c:pt idx="4">
                  <c:v>0.85576447930058497</c:v>
                </c:pt>
                <c:pt idx="5">
                  <c:v>0.88764704592069232</c:v>
                </c:pt>
                <c:pt idx="6">
                  <c:v>0.91457676741031746</c:v>
                </c:pt>
                <c:pt idx="7">
                  <c:v>0.93798193514099792</c:v>
                </c:pt>
                <c:pt idx="8">
                  <c:v>0.95874001371920414</c:v>
                </c:pt>
                <c:pt idx="9">
                  <c:v>0.97743092137960175</c:v>
                </c:pt>
                <c:pt idx="10">
                  <c:v>0.9944590615391693</c:v>
                </c:pt>
                <c:pt idx="11">
                  <c:v>0.97743092137960175</c:v>
                </c:pt>
                <c:pt idx="12">
                  <c:v>0.95874001371920414</c:v>
                </c:pt>
                <c:pt idx="13">
                  <c:v>0.93798193514099792</c:v>
                </c:pt>
                <c:pt idx="14">
                  <c:v>0.91457676741031746</c:v>
                </c:pt>
                <c:pt idx="15">
                  <c:v>0.88764704592069232</c:v>
                </c:pt>
                <c:pt idx="16">
                  <c:v>0.85576447930058497</c:v>
                </c:pt>
                <c:pt idx="17">
                  <c:v>0.81634468150249617</c:v>
                </c:pt>
                <c:pt idx="18">
                  <c:v>0.76384925376347856</c:v>
                </c:pt>
                <c:pt idx="19">
                  <c:v>0.68180638083025913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E-498E-9DA6-9EED119F10B5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'2'!$AO$53:$AO$73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4E-498E-9DA6-9EED119F10B5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'2'!$AP$53:$AP$73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4E-498E-9DA6-9EED119F1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3624"/>
        <c:axId val="208543232"/>
      </c:scatterChart>
      <c:valAx>
        <c:axId val="208543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8543232"/>
        <c:crosses val="autoZero"/>
        <c:crossBetween val="midCat"/>
      </c:valAx>
      <c:valAx>
        <c:axId val="20854323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362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'2'!$AS$53:$AS$73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03-4500-8D01-6A8365BE6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2448"/>
        <c:axId val="208542056"/>
      </c:scatterChart>
      <c:valAx>
        <c:axId val="20854244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42056"/>
        <c:crosses val="autoZero"/>
        <c:crossBetween val="midCat"/>
        <c:majorUnit val="0.2"/>
        <c:minorUnit val="0.2"/>
      </c:valAx>
      <c:valAx>
        <c:axId val="20854205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244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'2'!$AQ$53:$AQ$73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F9-4429-8049-961A9FA0C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5584"/>
        <c:axId val="208548720"/>
      </c:scatterChart>
      <c:valAx>
        <c:axId val="208545584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48720"/>
        <c:crosses val="autoZero"/>
        <c:crossBetween val="midCat"/>
        <c:majorUnit val="0.5"/>
        <c:minorUnit val="0.25"/>
      </c:valAx>
      <c:valAx>
        <c:axId val="20854872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558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'2'!$AA$53:$AA$73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1F-4869-B9D6-6E946C59F10B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'2'!$AB$53:$AB$73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1F-4869-B9D6-6E946C59F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7936"/>
        <c:axId val="208547544"/>
      </c:scatterChart>
      <c:valAx>
        <c:axId val="208547936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47544"/>
        <c:crosses val="autoZero"/>
        <c:crossBetween val="midCat"/>
        <c:majorUnit val="0.2"/>
        <c:minorUnit val="0.1"/>
      </c:valAx>
      <c:valAx>
        <c:axId val="20854754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79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'2'!$AH$53:$AH$73</c:f>
              <c:numCache>
                <c:formatCode>General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CE-4B4D-A2BC-80FECE34F9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'2'!$AI$53:$AI$73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CE-4B4D-A2BC-80FECE34F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6760"/>
        <c:axId val="208546368"/>
      </c:scatterChart>
      <c:valAx>
        <c:axId val="208546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8546368"/>
        <c:crosses val="autoZero"/>
        <c:crossBetween val="midCat"/>
      </c:valAx>
      <c:valAx>
        <c:axId val="20854636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676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'2'!$AC$100:$AC$120</c:f>
              <c:numCache>
                <c:formatCode>0.000</c:formatCode>
                <c:ptCount val="21"/>
              </c:numCache>
            </c:numRef>
          </c:xVal>
          <c:y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F2-4483-BC4C-1F651F1129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9112"/>
        <c:axId val="208549504"/>
      </c:scatterChart>
      <c:valAx>
        <c:axId val="208549112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49504"/>
        <c:crosses val="autoZero"/>
        <c:crossBetween val="midCat"/>
        <c:majorUnit val="0.2"/>
        <c:minorUnit val="0.1"/>
      </c:valAx>
      <c:valAx>
        <c:axId val="20854950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911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'2'!$AJ$100:$AJ$120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1F-4C80-9DE7-694ED60CE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6952"/>
        <c:axId val="208556560"/>
      </c:scatterChart>
      <c:valAx>
        <c:axId val="208556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8556560"/>
        <c:crosses val="autoZero"/>
        <c:crossBetween val="midCat"/>
      </c:valAx>
      <c:valAx>
        <c:axId val="20855656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695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'2'!$AK$100:$AK$120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89-4E1E-8FB6-844C38A4C6CC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'2'!$AM$100:$AM$120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89-4E1E-8FB6-844C38A4C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5776"/>
        <c:axId val="208555384"/>
      </c:scatterChart>
      <c:valAx>
        <c:axId val="208555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8555384"/>
        <c:crosses val="autoZero"/>
        <c:crossBetween val="midCat"/>
      </c:valAx>
      <c:valAx>
        <c:axId val="20855538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577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0.68180638083025913</c:v>
                </c:pt>
                <c:pt idx="2">
                  <c:v>0.76384925376347856</c:v>
                </c:pt>
                <c:pt idx="3">
                  <c:v>0.81634468150249617</c:v>
                </c:pt>
                <c:pt idx="4">
                  <c:v>0.85576447930058497</c:v>
                </c:pt>
                <c:pt idx="5">
                  <c:v>0.88764704592069232</c:v>
                </c:pt>
                <c:pt idx="6">
                  <c:v>0.91457676741031746</c:v>
                </c:pt>
                <c:pt idx="7">
                  <c:v>0.93798193514099792</c:v>
                </c:pt>
                <c:pt idx="8">
                  <c:v>0.95874001371920414</c:v>
                </c:pt>
                <c:pt idx="9">
                  <c:v>0.97743092137960175</c:v>
                </c:pt>
                <c:pt idx="10">
                  <c:v>0.9944590615391693</c:v>
                </c:pt>
                <c:pt idx="11">
                  <c:v>0.97743092137960175</c:v>
                </c:pt>
                <c:pt idx="12">
                  <c:v>0.95874001371920414</c:v>
                </c:pt>
                <c:pt idx="13">
                  <c:v>0.93798193514099792</c:v>
                </c:pt>
                <c:pt idx="14">
                  <c:v>0.91457676741031746</c:v>
                </c:pt>
                <c:pt idx="15">
                  <c:v>0.88764704592069232</c:v>
                </c:pt>
                <c:pt idx="16">
                  <c:v>0.85576447930058497</c:v>
                </c:pt>
                <c:pt idx="17">
                  <c:v>0.81634468150249617</c:v>
                </c:pt>
                <c:pt idx="18">
                  <c:v>0.76384925376347856</c:v>
                </c:pt>
                <c:pt idx="19">
                  <c:v>0.68180638083025913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82-4FF6-989A-FB0D1303DB1C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'2'!$AO$100:$AO$120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82-4FF6-989A-FB0D1303DB1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'2'!$AP$100:$AP$120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82-4FF6-989A-FB0D1303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4208"/>
        <c:axId val="208553816"/>
      </c:scatterChart>
      <c:valAx>
        <c:axId val="208554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8553816"/>
        <c:crosses val="autoZero"/>
        <c:crossBetween val="midCat"/>
      </c:valAx>
      <c:valAx>
        <c:axId val="20855381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420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'2'!$AS$100:$AS$120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8-4402-92FD-ED8A7E61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3424"/>
        <c:axId val="208553032"/>
      </c:scatterChart>
      <c:valAx>
        <c:axId val="208553424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53032"/>
        <c:crosses val="autoZero"/>
        <c:crossBetween val="midCat"/>
        <c:majorUnit val="0.2"/>
        <c:minorUnit val="0.2"/>
      </c:valAx>
      <c:valAx>
        <c:axId val="20855303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342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'2'!$AQ$100:$AQ$120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DF-4594-B52F-94111105E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0288"/>
        <c:axId val="208551464"/>
      </c:scatterChart>
      <c:valAx>
        <c:axId val="208550288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51464"/>
        <c:crosses val="autoZero"/>
        <c:crossBetween val="midCat"/>
        <c:majorUnit val="0.5"/>
        <c:minorUnit val="0.25"/>
      </c:valAx>
      <c:valAx>
        <c:axId val="20855146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028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'2'!$AA$100:$AA$120</c:f>
              <c:numCache>
                <c:formatCode>0.000</c:formatCode>
                <c:ptCount val="21"/>
              </c:numCache>
            </c:numRef>
          </c:xVal>
          <c:y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34-4CFD-A4DE-A5C49046E98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'2'!$AB$100:$AB$120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34-4CFD-A4DE-A5C49046E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1856"/>
        <c:axId val="208551072"/>
      </c:scatterChart>
      <c:valAx>
        <c:axId val="208551856"/>
        <c:scaling>
          <c:orientation val="minMax"/>
          <c:max val="0.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51072"/>
        <c:crosses val="autoZero"/>
        <c:crossBetween val="midCat"/>
        <c:majorUnit val="2.0000000000000004E-2"/>
      </c:valAx>
      <c:valAx>
        <c:axId val="20855107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185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'2'!$AH$100:$AH$120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8AF-9282-113124DB60D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'2'!$AI$100:$AI$120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47-48AF-9282-113124DB6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535400"/>
        <c:axId val="417535008"/>
      </c:scatterChart>
      <c:valAx>
        <c:axId val="41753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17535008"/>
        <c:crosses val="autoZero"/>
        <c:crossBetween val="midCat"/>
      </c:valAx>
      <c:valAx>
        <c:axId val="41753500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1753540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'2'!$AC$145:$AC$165</c:f>
              <c:numCache>
                <c:formatCode>0.000</c:formatCode>
                <c:ptCount val="21"/>
              </c:numCache>
            </c:numRef>
          </c:xVal>
          <c:y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1-4144-A810-7FABA4B8A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534224"/>
        <c:axId val="417532264"/>
      </c:scatterChart>
      <c:valAx>
        <c:axId val="417534224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417532264"/>
        <c:crosses val="autoZero"/>
        <c:crossBetween val="midCat"/>
        <c:majorUnit val="0.2"/>
        <c:minorUnit val="0.1"/>
      </c:valAx>
      <c:valAx>
        <c:axId val="41753226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1753422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'2'!$AJ$145:$AJ$165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36-4052-BB4B-BE74C5723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533440"/>
        <c:axId val="417533048"/>
      </c:scatterChart>
      <c:valAx>
        <c:axId val="417533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17533048"/>
        <c:crosses val="autoZero"/>
        <c:crossBetween val="midCat"/>
      </c:valAx>
      <c:valAx>
        <c:axId val="41753304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1753344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'2'!$AK$145:$AK$165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88-45FC-88F0-DD6D5D1A3768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'2'!$AM$145:$AM$165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88-45FC-88F0-DD6D5D1A3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6008"/>
        <c:axId val="209596400"/>
      </c:scatterChart>
      <c:valAx>
        <c:axId val="209596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9596400"/>
        <c:crosses val="autoZero"/>
        <c:crossBetween val="midCat"/>
      </c:valAx>
      <c:valAx>
        <c:axId val="20959640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59600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315399015860955"/>
          <c:y val="0.69336921036467503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0.68180638083025913</c:v>
                </c:pt>
                <c:pt idx="2">
                  <c:v>0.76384925376347856</c:v>
                </c:pt>
                <c:pt idx="3">
                  <c:v>0.81634468150249617</c:v>
                </c:pt>
                <c:pt idx="4">
                  <c:v>0.85576447930058497</c:v>
                </c:pt>
                <c:pt idx="5">
                  <c:v>0.88764704592069232</c:v>
                </c:pt>
                <c:pt idx="6">
                  <c:v>0.91457676741031746</c:v>
                </c:pt>
                <c:pt idx="7">
                  <c:v>0.93798193514099792</c:v>
                </c:pt>
                <c:pt idx="8">
                  <c:v>0.95874001371920414</c:v>
                </c:pt>
                <c:pt idx="9">
                  <c:v>0.97743092137960175</c:v>
                </c:pt>
                <c:pt idx="10">
                  <c:v>0.9944590615391693</c:v>
                </c:pt>
                <c:pt idx="11">
                  <c:v>0.97743092137960175</c:v>
                </c:pt>
                <c:pt idx="12">
                  <c:v>0.95874001371920414</c:v>
                </c:pt>
                <c:pt idx="13">
                  <c:v>0.93798193514099792</c:v>
                </c:pt>
                <c:pt idx="14">
                  <c:v>0.91457676741031746</c:v>
                </c:pt>
                <c:pt idx="15">
                  <c:v>0.88764704592069232</c:v>
                </c:pt>
                <c:pt idx="16">
                  <c:v>0.85576447930058497</c:v>
                </c:pt>
                <c:pt idx="17">
                  <c:v>0.81634468150249617</c:v>
                </c:pt>
                <c:pt idx="18">
                  <c:v>0.76384925376347856</c:v>
                </c:pt>
                <c:pt idx="19">
                  <c:v>0.68180638083025913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D-41DE-9DA2-F3A722016243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'2'!$AO$145:$AO$165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4D-41DE-9DA2-F3A722016243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'2'!$AP$145:$AP$165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4D-41DE-9DA2-F3A722016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7184"/>
        <c:axId val="209597576"/>
      </c:scatterChart>
      <c:valAx>
        <c:axId val="20959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9597576"/>
        <c:crosses val="autoZero"/>
        <c:crossBetween val="midCat"/>
      </c:valAx>
      <c:valAx>
        <c:axId val="20959757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59718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'2'!$AS$145:$AS$165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A-4706-88A2-095C75E01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8360"/>
        <c:axId val="209598752"/>
      </c:scatterChart>
      <c:valAx>
        <c:axId val="209598360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598752"/>
        <c:crosses val="autoZero"/>
        <c:crossBetween val="midCat"/>
        <c:majorUnit val="0.2"/>
        <c:minorUnit val="0.2"/>
      </c:valAx>
      <c:valAx>
        <c:axId val="20959875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59836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'2'!$AQ$145:$AQ$165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A3-4C7F-8EE4-C1A5FFA62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9536"/>
        <c:axId val="209599928"/>
      </c:scatterChart>
      <c:valAx>
        <c:axId val="209599536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599928"/>
        <c:crosses val="autoZero"/>
        <c:crossBetween val="midCat"/>
        <c:majorUnit val="0.5"/>
        <c:minorUnit val="0.25"/>
      </c:valAx>
      <c:valAx>
        <c:axId val="20959992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5995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'2'!$AA$145:$AA$165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89-45C7-A5CB-A4604DA15B73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'2'!$AB$145:$AB$165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89-45C7-A5CB-A4604DA15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0712"/>
        <c:axId val="209601104"/>
      </c:scatterChart>
      <c:valAx>
        <c:axId val="209600712"/>
        <c:scaling>
          <c:orientation val="minMax"/>
          <c:max val="0.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01104"/>
        <c:crosses val="autoZero"/>
        <c:crossBetween val="midCat"/>
        <c:majorUnit val="1.0000000000000002E-2"/>
      </c:valAx>
      <c:valAx>
        <c:axId val="20960110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071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'2'!$AH$145:$AH$165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7A-4DD2-860A-516340B2887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'2'!$AI$145:$AI$165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7A-4DD2-860A-516340B28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1888"/>
        <c:axId val="209602280"/>
      </c:scatterChart>
      <c:valAx>
        <c:axId val="209601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9602280"/>
        <c:crosses val="autoZero"/>
        <c:crossBetween val="midCat"/>
      </c:valAx>
      <c:valAx>
        <c:axId val="20960228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188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'2'!$AC$192:$AC$212</c:f>
              <c:numCache>
                <c:formatCode>0.000</c:formatCode>
                <c:ptCount val="21"/>
              </c:numCache>
            </c:numRef>
          </c:xVal>
          <c:y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9D-432F-9D3D-819277FF5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3064"/>
        <c:axId val="209603456"/>
      </c:scatterChart>
      <c:valAx>
        <c:axId val="209603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03456"/>
        <c:crosses val="autoZero"/>
        <c:crossBetween val="midCat"/>
        <c:majorUnit val="0.2"/>
        <c:minorUnit val="0.1"/>
      </c:valAx>
      <c:valAx>
        <c:axId val="20960345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306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'2'!$AJ$192:$AJ$212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B5-4174-9BFD-B6AA66D41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4240"/>
        <c:axId val="209604632"/>
      </c:scatterChart>
      <c:valAx>
        <c:axId val="209604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9604632"/>
        <c:crosses val="autoZero"/>
        <c:crossBetween val="midCat"/>
      </c:valAx>
      <c:valAx>
        <c:axId val="20960463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424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'2'!$AK$192:$AK$212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EE-402B-A6B6-786C2B51DA67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'2'!$AM$192:$AM$212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EE-402B-A6B6-786C2B51D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5416"/>
        <c:axId val="209605808"/>
      </c:scatterChart>
      <c:valAx>
        <c:axId val="209605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9605808"/>
        <c:crosses val="autoZero"/>
        <c:crossBetween val="midCat"/>
      </c:valAx>
      <c:valAx>
        <c:axId val="20960580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541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0346682182067903"/>
          <c:y val="0.59176045353726847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0.68180638083025913</c:v>
                </c:pt>
                <c:pt idx="2">
                  <c:v>0.76384925376347856</c:v>
                </c:pt>
                <c:pt idx="3">
                  <c:v>0.81634468150249617</c:v>
                </c:pt>
                <c:pt idx="4">
                  <c:v>0.85576447930058497</c:v>
                </c:pt>
                <c:pt idx="5">
                  <c:v>0.88764704592069232</c:v>
                </c:pt>
                <c:pt idx="6">
                  <c:v>0.91457676741031746</c:v>
                </c:pt>
                <c:pt idx="7">
                  <c:v>0.93798193514099792</c:v>
                </c:pt>
                <c:pt idx="8">
                  <c:v>0.95874001371920414</c:v>
                </c:pt>
                <c:pt idx="9">
                  <c:v>0.97743092137960175</c:v>
                </c:pt>
                <c:pt idx="10">
                  <c:v>0.9944590615391693</c:v>
                </c:pt>
                <c:pt idx="11">
                  <c:v>0.97743092137960175</c:v>
                </c:pt>
                <c:pt idx="12">
                  <c:v>0.95874001371920414</c:v>
                </c:pt>
                <c:pt idx="13">
                  <c:v>0.93798193514099792</c:v>
                </c:pt>
                <c:pt idx="14">
                  <c:v>0.91457676741031746</c:v>
                </c:pt>
                <c:pt idx="15">
                  <c:v>0.88764704592069232</c:v>
                </c:pt>
                <c:pt idx="16">
                  <c:v>0.85576447930058497</c:v>
                </c:pt>
                <c:pt idx="17">
                  <c:v>0.81634468150249617</c:v>
                </c:pt>
                <c:pt idx="18">
                  <c:v>0.76384925376347856</c:v>
                </c:pt>
                <c:pt idx="19">
                  <c:v>0.68180638083025913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23-408D-85BF-818808896A51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'2'!$AO$192:$AO$212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23-408D-85BF-818808896A51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'2'!$AP$192:$AP$212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23-408D-85BF-818808896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6592"/>
        <c:axId val="209606984"/>
      </c:scatterChart>
      <c:valAx>
        <c:axId val="209606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9606984"/>
        <c:crosses val="autoZero"/>
        <c:crossBetween val="midCat"/>
      </c:valAx>
      <c:valAx>
        <c:axId val="20960698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659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'2'!$AS$192:$AS$212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FA-47BA-AF74-5E22B9BDD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7768"/>
        <c:axId val="209608160"/>
      </c:scatterChart>
      <c:valAx>
        <c:axId val="20960776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08160"/>
        <c:crosses val="autoZero"/>
        <c:crossBetween val="midCat"/>
        <c:majorUnit val="0.2"/>
        <c:minorUnit val="0.2"/>
      </c:valAx>
      <c:valAx>
        <c:axId val="20960816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776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'2'!$AQ$192:$AQ$212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EC-4DF6-93C9-48B113794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8944"/>
        <c:axId val="209609336"/>
      </c:scatterChart>
      <c:valAx>
        <c:axId val="209608944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09336"/>
        <c:crosses val="autoZero"/>
        <c:crossBetween val="midCat"/>
        <c:majorUnit val="0.5"/>
        <c:minorUnit val="0.25"/>
      </c:valAx>
      <c:valAx>
        <c:axId val="20960933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894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'2'!$AA$192:$AA$212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1E-448B-A425-3D56AFAE0034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'2'!$AB$192:$AB$212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1E-448B-A425-3D56AFAE0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10120"/>
        <c:axId val="209610512"/>
      </c:scatterChart>
      <c:valAx>
        <c:axId val="209610120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10512"/>
        <c:crosses val="autoZero"/>
        <c:crossBetween val="midCat"/>
        <c:majorUnit val="5.000000000000001E-2"/>
      </c:valAx>
      <c:valAx>
        <c:axId val="20961051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1012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'2'!$AH$192:$AH$212</c:f>
              <c:numCache>
                <c:formatCode>General</c:formatCode>
                <c:ptCount val="21"/>
              </c:numCache>
            </c:numRef>
          </c:xVal>
          <c:y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B5-44A9-ADAF-A9A0E269B3D2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'2'!$AI$192:$AI$212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B5-44A9-ADAF-A9A0E269B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11296"/>
        <c:axId val="279891008"/>
      </c:scatterChart>
      <c:valAx>
        <c:axId val="209611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891008"/>
        <c:crosses val="autoZero"/>
        <c:crossBetween val="midCat"/>
      </c:valAx>
      <c:valAx>
        <c:axId val="27989100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1129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'2'!$DS$53:$DS$73</c:f>
              <c:numCache>
                <c:formatCode>0.000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0D-43B2-B939-641B8B54C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1792"/>
        <c:axId val="279892184"/>
      </c:scatterChart>
      <c:valAx>
        <c:axId val="279891792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892184"/>
        <c:crosses val="autoZero"/>
        <c:crossBetween val="midCat"/>
        <c:majorUnit val="0.2"/>
        <c:minorUnit val="0.1"/>
      </c:valAx>
      <c:valAx>
        <c:axId val="27989218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179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'2'!$DZ$53:$DZ$73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01-4CF5-B59A-C90F0F6FA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2968"/>
        <c:axId val="279893360"/>
      </c:scatterChart>
      <c:valAx>
        <c:axId val="279892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893360"/>
        <c:crosses val="autoZero"/>
        <c:crossBetween val="midCat"/>
      </c:valAx>
      <c:valAx>
        <c:axId val="27989336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296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'2'!$EA$53:$EA$73</c:f>
              <c:numCache>
                <c:formatCode>General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DC-4DF4-B467-EE50C19C3655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'2'!$EC$53:$EC$73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DC-4DF4-B467-EE50C19C3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4144"/>
        <c:axId val="279894536"/>
      </c:scatterChart>
      <c:valAx>
        <c:axId val="279894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894536"/>
        <c:crosses val="autoZero"/>
        <c:crossBetween val="midCat"/>
      </c:valAx>
      <c:valAx>
        <c:axId val="27989453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414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0.68180638083025913</c:v>
                </c:pt>
                <c:pt idx="2">
                  <c:v>0.76384925376347856</c:v>
                </c:pt>
                <c:pt idx="3">
                  <c:v>0.81634468150249617</c:v>
                </c:pt>
                <c:pt idx="4">
                  <c:v>0.85576447930058497</c:v>
                </c:pt>
                <c:pt idx="5">
                  <c:v>0.88764704592069232</c:v>
                </c:pt>
                <c:pt idx="6">
                  <c:v>0.91457676741031746</c:v>
                </c:pt>
                <c:pt idx="7">
                  <c:v>0.93798193514099792</c:v>
                </c:pt>
                <c:pt idx="8">
                  <c:v>0.95874001371920414</c:v>
                </c:pt>
                <c:pt idx="9">
                  <c:v>0.97743092137960175</c:v>
                </c:pt>
                <c:pt idx="10">
                  <c:v>0.9944590615391693</c:v>
                </c:pt>
                <c:pt idx="11">
                  <c:v>0.97743092137960175</c:v>
                </c:pt>
                <c:pt idx="12">
                  <c:v>0.95874001371920414</c:v>
                </c:pt>
                <c:pt idx="13">
                  <c:v>0.93798193514099792</c:v>
                </c:pt>
                <c:pt idx="14">
                  <c:v>0.91457676741031746</c:v>
                </c:pt>
                <c:pt idx="15">
                  <c:v>0.88764704592069232</c:v>
                </c:pt>
                <c:pt idx="16">
                  <c:v>0.85576447930058497</c:v>
                </c:pt>
                <c:pt idx="17">
                  <c:v>0.81634468150249617</c:v>
                </c:pt>
                <c:pt idx="18">
                  <c:v>0.76384925376347856</c:v>
                </c:pt>
                <c:pt idx="19">
                  <c:v>0.68180638083025913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2B-4235-84C7-4CC2C2EC9BDF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'2'!$EE$53:$EE$73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2B-4235-84C7-4CC2C2EC9BDF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'2'!$EF$53:$EF$73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32B-4235-84C7-4CC2C2EC9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5320"/>
        <c:axId val="279895712"/>
      </c:scatterChart>
      <c:valAx>
        <c:axId val="279895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79895712"/>
        <c:crosses val="autoZero"/>
        <c:crossBetween val="midCat"/>
      </c:valAx>
      <c:valAx>
        <c:axId val="27989571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532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'2'!$EI$53:$EI$73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A5-41DE-9EB1-FED6D681A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6496"/>
        <c:axId val="279896888"/>
      </c:scatterChart>
      <c:valAx>
        <c:axId val="279896496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896888"/>
        <c:crosses val="autoZero"/>
        <c:crossBetween val="midCat"/>
        <c:majorUnit val="0.2"/>
        <c:minorUnit val="0.2"/>
      </c:valAx>
      <c:valAx>
        <c:axId val="27989688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649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'2'!$EG$53:$EG$73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2F-4F15-A237-A374CF9AB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7672"/>
        <c:axId val="279898064"/>
      </c:scatterChart>
      <c:valAx>
        <c:axId val="279897672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898064"/>
        <c:crosses val="autoZero"/>
        <c:crossBetween val="midCat"/>
        <c:majorUnit val="0.5"/>
        <c:minorUnit val="0.25"/>
      </c:valAx>
      <c:valAx>
        <c:axId val="27989806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767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'2'!$DQ$53:$DQ$73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E7-47CB-8C16-1D21AFF273C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'2'!$DR$53:$DR$73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E7-47CB-8C16-1D21AFF27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8848"/>
        <c:axId val="279899240"/>
      </c:scatterChart>
      <c:valAx>
        <c:axId val="279898848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899240"/>
        <c:crosses val="autoZero"/>
        <c:crossBetween val="midCat"/>
        <c:majorUnit val="0.2"/>
        <c:minorUnit val="0.1"/>
      </c:valAx>
      <c:valAx>
        <c:axId val="27989924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884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'2'!$DX$53:$DX$73</c:f>
              <c:numCache>
                <c:formatCode>General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6C-4FCF-A6F3-332152BDE8B5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'2'!$DY$53:$DY$73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6C-4FCF-A6F3-332152BDE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0024"/>
        <c:axId val="279900416"/>
      </c:scatterChart>
      <c:valAx>
        <c:axId val="279900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900416"/>
        <c:crosses val="autoZero"/>
        <c:crossBetween val="midCat"/>
      </c:valAx>
      <c:valAx>
        <c:axId val="27990041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002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'2'!$DS$100:$DS$120</c:f>
              <c:numCache>
                <c:formatCode>0.000</c:formatCode>
                <c:ptCount val="21"/>
              </c:numCache>
            </c:numRef>
          </c:xVal>
          <c:y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61-45C4-AB17-01E6CFEDC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1200"/>
        <c:axId val="279901592"/>
      </c:scatterChart>
      <c:valAx>
        <c:axId val="279901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901592"/>
        <c:crosses val="autoZero"/>
        <c:crossBetween val="midCat"/>
        <c:majorUnit val="0.2"/>
        <c:minorUnit val="0.1"/>
      </c:valAx>
      <c:valAx>
        <c:axId val="27990159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120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'2'!$DZ$100:$DZ$120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7E-4F3A-8F47-53777BD2E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2376"/>
        <c:axId val="279902768"/>
      </c:scatterChart>
      <c:valAx>
        <c:axId val="279902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902768"/>
        <c:crosses val="autoZero"/>
        <c:crossBetween val="midCat"/>
      </c:valAx>
      <c:valAx>
        <c:axId val="27990276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237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'2'!$EA$100:$EA$120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A1-4F31-BF94-A18C84ABB459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'2'!$EC$100:$EC$120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A1-4F31-BF94-A18C84ABB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3552"/>
        <c:axId val="279903944"/>
      </c:scatterChart>
      <c:valAx>
        <c:axId val="279903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903944"/>
        <c:crosses val="autoZero"/>
        <c:crossBetween val="midCat"/>
      </c:valAx>
      <c:valAx>
        <c:axId val="27990394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355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0.68180638083025913</c:v>
                </c:pt>
                <c:pt idx="2">
                  <c:v>0.76384925376347856</c:v>
                </c:pt>
                <c:pt idx="3">
                  <c:v>0.81634468150249617</c:v>
                </c:pt>
                <c:pt idx="4">
                  <c:v>0.85576447930058497</c:v>
                </c:pt>
                <c:pt idx="5">
                  <c:v>0.88764704592069232</c:v>
                </c:pt>
                <c:pt idx="6">
                  <c:v>0.91457676741031746</c:v>
                </c:pt>
                <c:pt idx="7">
                  <c:v>0.93798193514099792</c:v>
                </c:pt>
                <c:pt idx="8">
                  <c:v>0.95874001371920414</c:v>
                </c:pt>
                <c:pt idx="9">
                  <c:v>0.97743092137960175</c:v>
                </c:pt>
                <c:pt idx="10">
                  <c:v>0.9944590615391693</c:v>
                </c:pt>
                <c:pt idx="11">
                  <c:v>0.97743092137960175</c:v>
                </c:pt>
                <c:pt idx="12">
                  <c:v>0.95874001371920414</c:v>
                </c:pt>
                <c:pt idx="13">
                  <c:v>0.93798193514099792</c:v>
                </c:pt>
                <c:pt idx="14">
                  <c:v>0.91457676741031746</c:v>
                </c:pt>
                <c:pt idx="15">
                  <c:v>0.88764704592069232</c:v>
                </c:pt>
                <c:pt idx="16">
                  <c:v>0.85576447930058497</c:v>
                </c:pt>
                <c:pt idx="17">
                  <c:v>0.81634468150249617</c:v>
                </c:pt>
                <c:pt idx="18">
                  <c:v>0.76384925376347856</c:v>
                </c:pt>
                <c:pt idx="19">
                  <c:v>0.68180638083025913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9D-40E5-91DD-161E83DE55F0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'2'!$EE$100:$EE$120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9D-40E5-91DD-161E83DE55F0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'2'!$EF$100:$EF$120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9D-40E5-91DD-161E83DE5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4728"/>
        <c:axId val="279905120"/>
      </c:scatterChart>
      <c:valAx>
        <c:axId val="279904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79905120"/>
        <c:crosses val="autoZero"/>
        <c:crossBetween val="midCat"/>
      </c:valAx>
      <c:valAx>
        <c:axId val="27990512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472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'2'!$EI$100:$EI$120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1D-40C3-95BF-74440350C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5904"/>
        <c:axId val="279906296"/>
      </c:scatterChart>
      <c:valAx>
        <c:axId val="279905904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906296"/>
        <c:crosses val="autoZero"/>
        <c:crossBetween val="midCat"/>
        <c:majorUnit val="0.2"/>
        <c:minorUnit val="0.2"/>
      </c:valAx>
      <c:valAx>
        <c:axId val="27990629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590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'2'!$EG$100:$EG$120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0E-4D45-8710-C755ADB6B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69576"/>
        <c:axId val="264669968"/>
      </c:scatterChart>
      <c:valAx>
        <c:axId val="264669576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69968"/>
        <c:crosses val="autoZero"/>
        <c:crossBetween val="midCat"/>
        <c:majorUnit val="0.5"/>
        <c:minorUnit val="0.25"/>
      </c:valAx>
      <c:valAx>
        <c:axId val="26466996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6957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'2'!$DQ$100:$DQ$120</c:f>
              <c:numCache>
                <c:formatCode>0.000</c:formatCode>
                <c:ptCount val="21"/>
              </c:numCache>
            </c:numRef>
          </c:xVal>
          <c:y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D3-4479-9782-16121C7DAC0E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'2'!$DR$100:$DR$120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D3-4479-9782-16121C7DA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0752"/>
        <c:axId val="264671144"/>
      </c:scatterChart>
      <c:valAx>
        <c:axId val="26467075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71144"/>
        <c:crosses val="autoZero"/>
        <c:crossBetween val="midCat"/>
        <c:majorUnit val="0.2"/>
        <c:minorUnit val="0.1"/>
      </c:valAx>
      <c:valAx>
        <c:axId val="26467114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075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'2'!$DX$100:$DX$120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CA-422F-B283-DEC6F13D6601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'2'!$DY$100:$DY$120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CA-422F-B283-DEC6F13D6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1928"/>
        <c:axId val="264672320"/>
      </c:scatterChart>
      <c:valAx>
        <c:axId val="264671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64672320"/>
        <c:crosses val="autoZero"/>
        <c:crossBetween val="midCat"/>
      </c:valAx>
      <c:valAx>
        <c:axId val="26467232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192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'2'!$DS$145:$DS$165</c:f>
              <c:numCache>
                <c:formatCode>0.000</c:formatCode>
                <c:ptCount val="21"/>
              </c:numCache>
            </c:numRef>
          </c:xVal>
          <c:y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61-4919-8C1C-5C4F235A6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3104"/>
        <c:axId val="264673496"/>
      </c:scatterChart>
      <c:valAx>
        <c:axId val="264673104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73496"/>
        <c:crosses val="autoZero"/>
        <c:crossBetween val="midCat"/>
        <c:majorUnit val="0.2"/>
        <c:minorUnit val="0.1"/>
      </c:valAx>
      <c:valAx>
        <c:axId val="26467349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310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'2'!$DZ$145:$DZ$165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2F-43E9-B174-3BFFDC460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4280"/>
        <c:axId val="264674672"/>
      </c:scatterChart>
      <c:valAx>
        <c:axId val="264674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64674672"/>
        <c:crosses val="autoZero"/>
        <c:crossBetween val="midCat"/>
      </c:valAx>
      <c:valAx>
        <c:axId val="26467467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428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'2'!$EA$145:$EA$165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88-473C-BF87-8C121A6F5A41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'2'!$EC$145:$EC$165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88-473C-BF87-8C121A6F5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5456"/>
        <c:axId val="264675848"/>
      </c:scatterChart>
      <c:valAx>
        <c:axId val="264675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64675848"/>
        <c:crosses val="autoZero"/>
        <c:crossBetween val="midCat"/>
      </c:valAx>
      <c:valAx>
        <c:axId val="26467584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545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0.68180638083025913</c:v>
                </c:pt>
                <c:pt idx="2">
                  <c:v>0.76384925376347856</c:v>
                </c:pt>
                <c:pt idx="3">
                  <c:v>0.81634468150249617</c:v>
                </c:pt>
                <c:pt idx="4">
                  <c:v>0.85576447930058497</c:v>
                </c:pt>
                <c:pt idx="5">
                  <c:v>0.88764704592069232</c:v>
                </c:pt>
                <c:pt idx="6">
                  <c:v>0.91457676741031746</c:v>
                </c:pt>
                <c:pt idx="7">
                  <c:v>0.93798193514099792</c:v>
                </c:pt>
                <c:pt idx="8">
                  <c:v>0.95874001371920414</c:v>
                </c:pt>
                <c:pt idx="9">
                  <c:v>0.97743092137960175</c:v>
                </c:pt>
                <c:pt idx="10">
                  <c:v>0.9944590615391693</c:v>
                </c:pt>
                <c:pt idx="11">
                  <c:v>0.97743092137960175</c:v>
                </c:pt>
                <c:pt idx="12">
                  <c:v>0.95874001371920414</c:v>
                </c:pt>
                <c:pt idx="13">
                  <c:v>0.93798193514099792</c:v>
                </c:pt>
                <c:pt idx="14">
                  <c:v>0.91457676741031746</c:v>
                </c:pt>
                <c:pt idx="15">
                  <c:v>0.88764704592069232</c:v>
                </c:pt>
                <c:pt idx="16">
                  <c:v>0.85576447930058497</c:v>
                </c:pt>
                <c:pt idx="17">
                  <c:v>0.81634468150249617</c:v>
                </c:pt>
                <c:pt idx="18">
                  <c:v>0.76384925376347856</c:v>
                </c:pt>
                <c:pt idx="19">
                  <c:v>0.68180638083025913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E8-484E-853A-2EAF8D730173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'2'!$EE$145:$EE$165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E8-484E-853A-2EAF8D730173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'2'!$EF$145:$EF$165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E8-484E-853A-2EAF8D7301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6632"/>
        <c:axId val="264677024"/>
      </c:scatterChart>
      <c:valAx>
        <c:axId val="264676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64677024"/>
        <c:crosses val="autoZero"/>
        <c:crossBetween val="midCat"/>
      </c:valAx>
      <c:valAx>
        <c:axId val="26467702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663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'2'!$EI$145:$EI$165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8C-4EAC-A707-ABD2C93EF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7808"/>
        <c:axId val="264678200"/>
      </c:scatterChart>
      <c:valAx>
        <c:axId val="26467780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78200"/>
        <c:crosses val="autoZero"/>
        <c:crossBetween val="midCat"/>
        <c:majorUnit val="0.2"/>
        <c:minorUnit val="0.2"/>
      </c:valAx>
      <c:valAx>
        <c:axId val="26467820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780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'2'!$EG$145:$EG$165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D1-4763-90CB-0FF5A0186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8984"/>
        <c:axId val="264679376"/>
      </c:scatterChart>
      <c:valAx>
        <c:axId val="264678984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79376"/>
        <c:crosses val="autoZero"/>
        <c:crossBetween val="midCat"/>
        <c:majorUnit val="0.5"/>
        <c:minorUnit val="0.25"/>
      </c:valAx>
      <c:valAx>
        <c:axId val="26467937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898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'2'!$DQ$145:$DQ$165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30-4A65-AF83-8E4E6A87B1A5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'2'!$DR$145:$DR$165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30-4A65-AF83-8E4E6A87B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0160"/>
        <c:axId val="264680552"/>
      </c:scatterChart>
      <c:valAx>
        <c:axId val="264680160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80552"/>
        <c:crosses val="autoZero"/>
        <c:crossBetween val="midCat"/>
        <c:majorUnit val="0.2"/>
        <c:minorUnit val="0.1"/>
      </c:valAx>
      <c:valAx>
        <c:axId val="26468055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8016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'2'!$DX$145:$DX$165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CD-4128-BED1-B8EBB81122AD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'2'!$DY$145:$DY$165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CD-4128-BED1-B8EBB8112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1336"/>
        <c:axId val="264681728"/>
      </c:scatterChart>
      <c:valAx>
        <c:axId val="264681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64681728"/>
        <c:crosses val="autoZero"/>
        <c:crossBetween val="midCat"/>
      </c:valAx>
      <c:valAx>
        <c:axId val="26468172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813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'2'!$AA$8:$AA$28</c:f>
              <c:numCache>
                <c:formatCode>0.000</c:formatCode>
                <c:ptCount val="21"/>
                <c:pt idx="1">
                  <c:v>9.1600000000000001E-2</c:v>
                </c:pt>
                <c:pt idx="2">
                  <c:v>0.14549999999999999</c:v>
                </c:pt>
                <c:pt idx="3">
                  <c:v>0.1265</c:v>
                </c:pt>
                <c:pt idx="4">
                  <c:v>9.8100000000000007E-2</c:v>
                </c:pt>
                <c:pt idx="5">
                  <c:v>9.1899999999999996E-2</c:v>
                </c:pt>
                <c:pt idx="6">
                  <c:v>9.69E-2</c:v>
                </c:pt>
                <c:pt idx="7">
                  <c:v>0.105</c:v>
                </c:pt>
                <c:pt idx="8">
                  <c:v>0.1032</c:v>
                </c:pt>
                <c:pt idx="9">
                  <c:v>0.1106</c:v>
                </c:pt>
                <c:pt idx="10">
                  <c:v>0.1143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4A-495C-B247-B42025978D6C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'2'!$AA$53:$AA$73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4A-495C-B247-B42025978D6C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'2'!$AA$100:$AA$120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4A-495C-B247-B42025978D6C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'2'!$AA$145:$AA$165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4A-495C-B247-B42025978D6C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'2'!$AA$192:$AA$212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F4A-495C-B247-B42025978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'2'!$DQ$145:$DQ$165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DF4A-495C-B247-B42025978D6C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'2'!$DQ$100:$DQ$120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F4A-495C-B247-B42025978D6C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'2'!$DQ$53:$DQ$73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F4A-495C-B247-B42025978D6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'6'!$AA$8:$AA$28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2CC-4DA0-8A8F-D1E5677F66F4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'6'!$AA$53:$AA$73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2CC-4DA0-8A8F-D1E5677F66F4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'6'!$AA$100:$AA$120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2CC-4DA0-8A8F-D1E5677F66F4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'6'!$AA$145:$AA$165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2CC-4DA0-8A8F-D1E5677F66F4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'6'!$AA$192:$AA$212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2CC-4DA0-8A8F-D1E5677F66F4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l-GR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α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l"/>
      <c:layout>
        <c:manualLayout>
          <c:xMode val="edge"/>
          <c:yMode val="edge"/>
          <c:x val="0.1621621523021827"/>
          <c:y val="6.3426553461973748E-2"/>
          <c:w val="0.1666563605231289"/>
          <c:h val="0.38014960720785324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'2'!$AB$8:$AB$28</c:f>
              <c:numCache>
                <c:formatCode>0.000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60-414B-8FDB-2FCA0B4EBC99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'2'!$AB$53:$AB$73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A60-414B-8FDB-2FCA0B4EBC99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'2'!$AB$100:$AB$120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A60-414B-8FDB-2FCA0B4EBC99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'2'!$AB$145:$AB$165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A60-414B-8FDB-2FCA0B4EBC99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'2'!$AB$192:$AB$212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A60-414B-8FDB-2FCA0B4EB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'2'!$DR$145:$DR$165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0A60-414B-8FDB-2FCA0B4EBC99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'2'!$DR$100:$DR$120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A60-414B-8FDB-2FCA0B4EBC99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'2'!$DR$53:$DR$73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A60-414B-8FDB-2FCA0B4EBC99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'6'!$AB$8:$AB$28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A60-414B-8FDB-2FCA0B4EBC99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'6'!$AB$53:$AB$73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A60-414B-8FDB-2FCA0B4EBC99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'6'!$AB$100:$AB$120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A60-414B-8FDB-2FCA0B4EBC99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'6'!$AB$145:$AB$165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A60-414B-8FDB-2FCA0B4EBC99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'6'!$AB$192:$AB$212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A60-414B-8FDB-2FCA0B4EBC99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l-GR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α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6.0726537546313339E-2"/>
          <c:w val="0.24085368747054042"/>
          <c:h val="0.41184223945693366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'2'!$AC$8:$AC$28</c:f>
              <c:numCache>
                <c:formatCode>0.000</c:formatCode>
                <c:ptCount val="21"/>
                <c:pt idx="1">
                  <c:v>9.1600000000000001E-2</c:v>
                </c:pt>
                <c:pt idx="2">
                  <c:v>0.14549999999999999</c:v>
                </c:pt>
                <c:pt idx="3">
                  <c:v>0.1265</c:v>
                </c:pt>
                <c:pt idx="4">
                  <c:v>9.8100000000000007E-2</c:v>
                </c:pt>
                <c:pt idx="5">
                  <c:v>9.1899999999999996E-2</c:v>
                </c:pt>
                <c:pt idx="6">
                  <c:v>9.69E-2</c:v>
                </c:pt>
                <c:pt idx="7">
                  <c:v>0.105</c:v>
                </c:pt>
                <c:pt idx="8">
                  <c:v>0.1032</c:v>
                </c:pt>
                <c:pt idx="9">
                  <c:v>0.1106</c:v>
                </c:pt>
                <c:pt idx="10">
                  <c:v>0.1143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E5-403E-8579-C5DC7F54A911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'2'!$AC$53:$AC$73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EE5-403E-8579-C5DC7F54A911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'2'!$AC$100:$AC$120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EE5-403E-8579-C5DC7F54A911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'2'!$AC$145:$AC$165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EE5-403E-8579-C5DC7F54A911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'2'!$AC$192:$AC$212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EE5-403E-8579-C5DC7F54A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'2'!$DS$145:$DS$165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EE5-403E-8579-C5DC7F54A911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'2'!$DS$100:$DS$120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EE5-403E-8579-C5DC7F54A911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'2'!$DS$53:$DS$73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EE5-403E-8579-C5DC7F54A911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'6'!$AC$8:$AC$28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EE5-403E-8579-C5DC7F54A911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'6'!$AC$53:$AC$73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EE5-403E-8579-C5DC7F54A91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'6'!$AC$100:$AC$120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EE5-403E-8579-C5DC7F54A91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'6'!$AC$145:$AC$165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EE5-403E-8579-C5DC7F54A91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'6'!$AC$192:$AC$212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EE5-403E-8579-C5DC7F54A911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l-GR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α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73580946297545"/>
          <c:y val="5.6244744038420613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'2'!$AH$8:$AH$28</c:f>
              <c:numCache>
                <c:formatCode>General</c:formatCode>
                <c:ptCount val="21"/>
                <c:pt idx="1">
                  <c:v>150.22999999999999</c:v>
                </c:pt>
                <c:pt idx="2">
                  <c:v>198.24</c:v>
                </c:pt>
                <c:pt idx="3">
                  <c:v>197.67</c:v>
                </c:pt>
                <c:pt idx="4">
                  <c:v>159.05000000000001</c:v>
                </c:pt>
                <c:pt idx="5">
                  <c:v>143.13</c:v>
                </c:pt>
                <c:pt idx="6">
                  <c:v>148.88</c:v>
                </c:pt>
                <c:pt idx="7">
                  <c:v>161.6</c:v>
                </c:pt>
                <c:pt idx="8">
                  <c:v>159.19999999999999</c:v>
                </c:pt>
                <c:pt idx="9">
                  <c:v>172.78</c:v>
                </c:pt>
                <c:pt idx="10">
                  <c:v>177.49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F-468F-A074-5D7975D998CA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'2'!$AH$53:$AH$73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F-468F-A074-5D7975D998CA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'2'!$AH$100:$AH$120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F-468F-A074-5D7975D998CA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'2'!$AH$145:$AH$165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16F-468F-A074-5D7975D998CA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'2'!$AH$192:$AH$212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16F-468F-A074-5D7975D99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'2'!$DX$145:$DX$165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A16F-468F-A074-5D7975D998CA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'2'!$DX$100:$DX$120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16F-468F-A074-5D7975D998CA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'2'!$DX$53:$DX$73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16F-468F-A074-5D7975D998C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'6'!$AH$8:$AH$28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16F-468F-A074-5D7975D998CA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'6'!$AH$53:$AH$73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16F-468F-A074-5D7975D998CA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'6'!$AH$100:$AH$120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16F-468F-A074-5D7975D998CA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'6'!$AH$145:$AH$165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16F-468F-A074-5D7975D998CA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'6'!$AH$192:$AH$212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16F-468F-A074-5D7975D998CA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</a:t>
                </a:r>
                <a:r>
                  <a:rPr lang="en-US" sz="1000" b="0" i="0" u="none" strike="noStrike" baseline="0">
                    <a:effectLst/>
                  </a:rPr>
                  <a:t>m</a:t>
                </a:r>
                <a:r>
                  <a:rPr lang="en-US" sz="1000" b="0" i="0" u="none" strike="noStrike" baseline="30000">
                    <a:effectLst/>
                  </a:rPr>
                  <a:t>-1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6.0726537546313339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'2'!$AI$8:$AI$28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0A8-44A5-87E2-D5B9E3F65C13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'2'!$AI$53:$AI$73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0A8-44A5-87E2-D5B9E3F65C13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'2'!$AI$100:$AI$120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0A8-44A5-87E2-D5B9E3F65C13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'2'!$AI$145:$AI$165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0A8-44A5-87E2-D5B9E3F65C13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'2'!$AI$192:$AI$212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0A8-44A5-87E2-D5B9E3F65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'2'!$DY$145:$DY$165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00A8-44A5-87E2-D5B9E3F65C13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'2'!$DY$100:$DY$120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0A8-44A5-87E2-D5B9E3F65C13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'2'!$DY$53:$DY$73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0A8-44A5-87E2-D5B9E3F65C1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'6'!$AI$8:$AI$28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0A8-44A5-87E2-D5B9E3F65C1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'6'!$AI$53:$AI$73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0A8-44A5-87E2-D5B9E3F65C1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'6'!$AI$100:$AI$120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0A8-44A5-87E2-D5B9E3F65C1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'6'!$AI$145:$AI$165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0A8-44A5-87E2-D5B9E3F65C1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'6'!$AI$192:$AI$212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0A8-44A5-87E2-D5B9E3F65C13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</a:t>
                </a:r>
                <a:r>
                  <a:rPr lang="en-US" sz="1000" b="0" i="0" u="none" strike="noStrike" baseline="0">
                    <a:effectLst/>
                  </a:rPr>
                  <a:t>m</a:t>
                </a:r>
                <a:r>
                  <a:rPr lang="en-US" sz="1000" b="0" i="0" u="none" strike="noStrike" baseline="30000">
                    <a:effectLst/>
                  </a:rPr>
                  <a:t>-1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5.6244744038420613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'2'!$AJ$8:$AJ$28</c:f>
              <c:numCache>
                <c:formatCode>General</c:formatCode>
                <c:ptCount val="21"/>
                <c:pt idx="1">
                  <c:v>150.22999999999999</c:v>
                </c:pt>
                <c:pt idx="2">
                  <c:v>198.24</c:v>
                </c:pt>
                <c:pt idx="3">
                  <c:v>197.67</c:v>
                </c:pt>
                <c:pt idx="4">
                  <c:v>159.05000000000001</c:v>
                </c:pt>
                <c:pt idx="5">
                  <c:v>143.13</c:v>
                </c:pt>
                <c:pt idx="6">
                  <c:v>148.88</c:v>
                </c:pt>
                <c:pt idx="7">
                  <c:v>161.6</c:v>
                </c:pt>
                <c:pt idx="8">
                  <c:v>159.19999999999999</c:v>
                </c:pt>
                <c:pt idx="9">
                  <c:v>172.78</c:v>
                </c:pt>
                <c:pt idx="10" formatCode="0.000">
                  <c:v>177.49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85-4460-9319-ABE126A74A90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'2'!$AJ$53:$AJ$73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85-4460-9319-ABE126A74A90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'2'!$AJ$100:$AJ$120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685-4460-9319-ABE126A74A90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'2'!$AJ$145:$AJ$165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685-4460-9319-ABE126A74A90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'2'!$AJ$192:$AJ$212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685-4460-9319-ABE126A74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'2'!$DZ$145:$DZ$165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E685-4460-9319-ABE126A74A90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'2'!$DZ$100:$DZ$120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685-4460-9319-ABE126A74A90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'2'!$DZ$53:$DZ$73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685-4460-9319-ABE126A74A90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'6'!$AJ$8:$AJ$28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685-4460-9319-ABE126A74A90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'6'!$AJ$53:$AJ$73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685-4460-9319-ABE126A74A9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'6'!$AJ$100:$AJ$120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685-4460-9319-ABE126A74A9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'6'!$AJ$145:$AJ$165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685-4460-9319-ABE126A74A9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'6'!$AJ$192:$AJ$212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685-4460-9319-ABE126A74A90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</a:t>
                </a:r>
                <a:r>
                  <a:rPr lang="en-US" b="0" i="0" baseline="30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5.6244744038420613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'2'!$AO$8:$AO$28</c:f>
              <c:numCache>
                <c:formatCode>General</c:formatCode>
                <c:ptCount val="21"/>
                <c:pt idx="1">
                  <c:v>0.98499999999999999</c:v>
                </c:pt>
                <c:pt idx="2">
                  <c:v>0.995</c:v>
                </c:pt>
                <c:pt idx="3">
                  <c:v>1.016</c:v>
                </c:pt>
                <c:pt idx="4">
                  <c:v>1.08</c:v>
                </c:pt>
                <c:pt idx="5">
                  <c:v>1.111</c:v>
                </c:pt>
                <c:pt idx="6">
                  <c:v>1.125</c:v>
                </c:pt>
                <c:pt idx="7">
                  <c:v>1.1539999999999999</c:v>
                </c:pt>
                <c:pt idx="8">
                  <c:v>1.1639999999999999</c:v>
                </c:pt>
                <c:pt idx="9">
                  <c:v>1.139</c:v>
                </c:pt>
                <c:pt idx="10" formatCode="0.000">
                  <c:v>1.1379999999999999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7F-426B-BCEB-4AA389EF42EB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'2'!$AO$53:$AO$73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F7F-426B-BCEB-4AA389EF42EB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'2'!$AO$100:$AO$120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F7F-426B-BCEB-4AA389EF42EB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'2'!$AO$145:$AO$165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F7F-426B-BCEB-4AA389EF42EB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'2'!$AO$192:$AO$212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F7F-426B-BCEB-4AA389EF4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'2'!$EE$145:$EE$165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3F7F-426B-BCEB-4AA389EF42EB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'2'!$EE$100:$EE$120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F7F-426B-BCEB-4AA389EF42EB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'2'!$EE$53:$EE$73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F7F-426B-BCEB-4AA389EF42EB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'6'!$AO$8:$AO$28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F7F-426B-BCEB-4AA389EF42EB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'6'!$AO$53:$AO$73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F7F-426B-BCEB-4AA389EF42E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'6'!$AO$100:$AO$120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F7F-426B-BCEB-4AA389EF42E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'6'!$AO$145:$AO$165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F7F-426B-BCEB-4AA389EF42EB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'6'!$AO$192:$AO$212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F7F-426B-BCEB-4AA389EF42EB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</a:t>
                </a:r>
                <a:r>
                  <a:rPr lang="en-US" sz="1000" b="0" i="0" u="none" strike="noStrike" baseline="0">
                    <a:effectLst/>
                  </a:rPr>
                  <a:t>m/s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5.55909617195284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'2'!$AP$8:$AP$28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11-49C2-881E-1C3A24B792CB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'2'!$AP$53:$AP$73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711-49C2-881E-1C3A24B792CB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'2'!$AP$100:$AP$120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711-49C2-881E-1C3A24B792CB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'2'!$AP$145:$AP$165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711-49C2-881E-1C3A24B792CB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'2'!$AP$192:$AP$212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11-49C2-881E-1C3A24B79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'2'!$EF$145:$EF$165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711-49C2-881E-1C3A24B792CB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'2'!$EF$100:$EF$120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711-49C2-881E-1C3A24B792CB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'2'!$EF$53:$EF$73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711-49C2-881E-1C3A24B792CB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'6'!$AP$8:$AP$28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711-49C2-881E-1C3A24B792CB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'6'!$AP$53:$AP$73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711-49C2-881E-1C3A24B792C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'6'!$AP$100:$AP$120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711-49C2-881E-1C3A24B792C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'6'!$AP$145:$AP$165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711-49C2-881E-1C3A24B792CB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'6'!$AP$192:$AP$212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711-49C2-881E-1C3A24B792CB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</a:t>
                </a:r>
                <a:r>
                  <a:rPr lang="en-US" sz="1000" b="0" i="0" u="none" strike="noStrike" baseline="0">
                    <a:effectLst/>
                  </a:rPr>
                  <a:t>m/s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6.0168930658549877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'2'!$AS$8:$AS$28</c:f>
              <c:numCache>
                <c:formatCode>General</c:formatCode>
                <c:ptCount val="21"/>
                <c:pt idx="1">
                  <c:v>0.223</c:v>
                </c:pt>
                <c:pt idx="2">
                  <c:v>0.248</c:v>
                </c:pt>
                <c:pt idx="3">
                  <c:v>0.28699999999999998</c:v>
                </c:pt>
                <c:pt idx="4">
                  <c:v>0.214</c:v>
                </c:pt>
                <c:pt idx="5">
                  <c:v>0.19600000000000001</c:v>
                </c:pt>
                <c:pt idx="6">
                  <c:v>0.19600000000000001</c:v>
                </c:pt>
                <c:pt idx="7">
                  <c:v>0.191</c:v>
                </c:pt>
                <c:pt idx="8">
                  <c:v>0.20699999999999999</c:v>
                </c:pt>
                <c:pt idx="9">
                  <c:v>0.193</c:v>
                </c:pt>
                <c:pt idx="10" formatCode="0.000">
                  <c:v>0.192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D4-4F6E-8B1F-3008C40AD182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'2'!$AS$53:$AS$73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CD4-4F6E-8B1F-3008C40AD182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'2'!$AS$100:$AS$120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CD4-4F6E-8B1F-3008C40AD182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'2'!$AS$145:$AS$165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CD4-4F6E-8B1F-3008C40AD182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'2'!$AS$192:$AS$212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CD4-4F6E-8B1F-3008C40A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'2'!$EF$145:$EF$165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8CD4-4F6E-8B1F-3008C40AD182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'2'!$EF$100:$EF$120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CD4-4F6E-8B1F-3008C40AD182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'2'!$EF$53:$EF$73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CD4-4F6E-8B1F-3008C40AD18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'6'!$AS$8:$AS$28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CD4-4F6E-8B1F-3008C40AD18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'6'!$AS$53:$AS$73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CD4-4F6E-8B1F-3008C40AD18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'6'!$AS$100:$AS$120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CD4-4F6E-8B1F-3008C40AD18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'6'!$AS$145:$AS$165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CD4-4F6E-8B1F-3008C40AD18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'6'!$AS$192:$AS$212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CD4-4F6E-8B1F-3008C40AD182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 [-]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6.4746899597571322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'2'!$AK$8:$AK$28</c:f>
              <c:numCache>
                <c:formatCode>General</c:formatCode>
                <c:ptCount val="21"/>
                <c:pt idx="1">
                  <c:v>3.66</c:v>
                </c:pt>
                <c:pt idx="2">
                  <c:v>4.4000000000000004</c:v>
                </c:pt>
                <c:pt idx="3">
                  <c:v>3.84</c:v>
                </c:pt>
                <c:pt idx="4">
                  <c:v>3.7</c:v>
                </c:pt>
                <c:pt idx="5">
                  <c:v>3.85</c:v>
                </c:pt>
                <c:pt idx="6">
                  <c:v>3.9</c:v>
                </c:pt>
                <c:pt idx="7">
                  <c:v>3.9</c:v>
                </c:pt>
                <c:pt idx="8">
                  <c:v>3.89</c:v>
                </c:pt>
                <c:pt idx="9">
                  <c:v>3.84</c:v>
                </c:pt>
                <c:pt idx="10" formatCode="0.000">
                  <c:v>3.86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96-4500-855B-F172B31A6B0D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'2'!$AK$53:$AK$73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096-4500-855B-F172B31A6B0D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'2'!$AK$100:$AK$120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096-4500-855B-F172B31A6B0D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'2'!$AK$145:$AK$165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096-4500-855B-F172B31A6B0D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'2'!$AK$192:$AK$212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096-4500-855B-F172B31A6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'2'!$EA$145:$EA$165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E096-4500-855B-F172B31A6B0D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'2'!$EA$100:$EA$120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096-4500-855B-F172B31A6B0D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'2'!$EA$53:$EA$73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096-4500-855B-F172B31A6B0D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'6'!$AK$8:$AK$28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096-4500-855B-F172B31A6B0D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'6'!$AK$53:$AK$73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096-4500-855B-F172B31A6B0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'6'!$AK$100:$AK$120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096-4500-855B-F172B31A6B0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'6'!$AK$145:$AK$165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096-4500-855B-F172B31A6B0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'6'!$AK$192:$AK$212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096-4500-855B-F172B31A6B0D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sm1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[mm]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6.038489212132389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'2'!$AM$8:$AM$28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6C1-452A-BC9A-B61A51EC4D90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'2'!$AM$53:$AM$73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C1-452A-BC9A-B61A51EC4D90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'2'!$AM$100:$AM$120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C1-452A-BC9A-B61A51EC4D90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'2'!$AM$145:$AM$165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C1-452A-BC9A-B61A51EC4D90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'2'!$AM$192:$AM$212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C1-452A-BC9A-B61A51EC4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'2'!$EC$145:$EC$165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B6C1-452A-BC9A-B61A51EC4D90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'2'!$EC$100:$EC$120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6C1-452A-BC9A-B61A51EC4D90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'2'!$EC$53:$EC$73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6C1-452A-BC9A-B61A51EC4D90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'6'!$AM$8:$AM$28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6C1-452A-BC9A-B61A51EC4D90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'6'!$AM$53:$AM$73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6C1-452A-BC9A-B61A51EC4D9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'6'!$AM$100:$AM$120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6C1-452A-BC9A-B61A51EC4D9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'6'!$AM$145:$AM$165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6C1-452A-BC9A-B61A51EC4D9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'6'!$AM$192:$AM$212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6C1-452A-BC9A-B61A51EC4D90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sm2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[mm]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6.038489212132389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'2'!$AL$8:$AL$28</c:f>
              <c:numCache>
                <c:formatCode>General</c:formatCode>
                <c:ptCount val="21"/>
                <c:pt idx="1">
                  <c:v>2.42</c:v>
                </c:pt>
                <c:pt idx="2">
                  <c:v>2.7</c:v>
                </c:pt>
                <c:pt idx="3">
                  <c:v>2.4500000000000002</c:v>
                </c:pt>
                <c:pt idx="4">
                  <c:v>2.35</c:v>
                </c:pt>
                <c:pt idx="5">
                  <c:v>2.39</c:v>
                </c:pt>
                <c:pt idx="6">
                  <c:v>2.41</c:v>
                </c:pt>
                <c:pt idx="7">
                  <c:v>2.42</c:v>
                </c:pt>
                <c:pt idx="8">
                  <c:v>2.4300000000000002</c:v>
                </c:pt>
                <c:pt idx="9">
                  <c:v>2.38</c:v>
                </c:pt>
                <c:pt idx="10" formatCode="0.000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EDF-4A00-BC26-2D831A9E371E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'2'!$AL$53:$AL$73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EDF-4A00-BC26-2D831A9E371E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'2'!$AL$100:$AL$120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EDF-4A00-BC26-2D831A9E371E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'2'!$AL$145:$AL$165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EDF-4A00-BC26-2D831A9E371E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'2'!$AL$192:$AL$212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EDF-4A00-BC26-2D831A9E3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'2'!$EB$145:$EB$165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3EDF-4A00-BC26-2D831A9E371E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'2'!$EB$100:$EB$120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EDF-4A00-BC26-2D831A9E371E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'2'!$EB$53:$EB$73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EDF-4A00-BC26-2D831A9E371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'6'!$AL$8:$AL$28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EDF-4A00-BC26-2D831A9E371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'6'!$AL$53:$AL$73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EDF-4A00-BC26-2D831A9E371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'6'!$AL$100:$AL$120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EDF-4A00-BC26-2D831A9E371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'6'!$AL$145:$AL$165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EDF-4A00-BC26-2D831A9E371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'6'!$AL$192:$AL$212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EDF-4A00-BC26-2D831A9E371E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L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CL1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[mm]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5.55909617195284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'2'!$AN$8:$AN$28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F1-48EE-B9F8-733C9A37483A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'2'!$AN$53:$AN$73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F1-48EE-B9F8-733C9A37483A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'2'!$AN$100:$AN$120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F1-48EE-B9F8-733C9A37483A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'2'!$AN$145:$AN$165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F1-48EE-B9F8-733C9A37483A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'2'!$AN$192:$AN$212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F1-48EE-B9F8-733C9A374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'2'!$ED$145:$ED$165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3AF1-48EE-B9F8-733C9A37483A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'2'!$ED$100:$ED$120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AF1-48EE-B9F8-733C9A37483A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'2'!$ED$53:$ED$73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AF1-48EE-B9F8-733C9A37483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'6'!$AN$8:$AN$28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AF1-48EE-B9F8-733C9A37483A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'6'!$AN$53:$AN$73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AF1-48EE-B9F8-733C9A37483A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'6'!$AN$100:$AN$120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AF1-48EE-B9F8-733C9A37483A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'6'!$AN$145:$AN$165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AF1-48EE-B9F8-733C9A37483A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'6'!$AN$192:$AN$212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AF1-48EE-B9F8-733C9A37483A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L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CL2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[mm]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6.0168930658549877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'2'!$CM$8:$CM$28</c:f>
              <c:numCache>
                <c:formatCode>0.000</c:formatCode>
                <c:ptCount val="21"/>
                <c:pt idx="0">
                  <c:v>0</c:v>
                </c:pt>
                <c:pt idx="1">
                  <c:v>0.79380730546340994</c:v>
                </c:pt>
                <c:pt idx="2">
                  <c:v>0.87963907477395753</c:v>
                </c:pt>
                <c:pt idx="3">
                  <c:v>0.92206269209130487</c:v>
                </c:pt>
                <c:pt idx="4">
                  <c:v>0.93943699491067434</c:v>
                </c:pt>
                <c:pt idx="5">
                  <c:v>0.92476978910015772</c:v>
                </c:pt>
                <c:pt idx="6">
                  <c:v>0.96307154706442522</c:v>
                </c:pt>
                <c:pt idx="7">
                  <c:v>0.99935603739062029</c:v>
                </c:pt>
                <c:pt idx="8">
                  <c:v>1.0110987424438451</c:v>
                </c:pt>
                <c:pt idx="9">
                  <c:v>1.0232847582666278</c:v>
                </c:pt>
                <c:pt idx="10">
                  <c:v>1.0323429870807972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79-44F9-A8CC-0F02CCD07B3C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'2'!$CM$53:$CM$73</c:f>
              <c:numCache>
                <c:formatCode>0.000</c:formatCode>
                <c:ptCount val="2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79-44F9-A8CC-0F02CCD07B3C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'2'!$CM$100:$CM$120</c:f>
              <c:numCache>
                <c:formatCode>0.000</c:formatCode>
                <c:ptCount val="2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79-44F9-A8CC-0F02CCD07B3C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'2'!$CM$145:$CM$165</c:f>
              <c:numCache>
                <c:formatCode>0.000</c:formatCode>
                <c:ptCount val="2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279-44F9-A8CC-0F02CCD07B3C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'2'!$CM$192:$CM$212</c:f>
              <c:numCache>
                <c:formatCode>0.000</c:formatCode>
                <c:ptCount val="2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79-44F9-A8CC-0F02CCD07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'2'!$GC$145:$GC$165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279-44F9-A8CC-0F02CCD07B3C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'2'!$GC$100:$GC$120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279-44F9-A8CC-0F02CCD07B3C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'2'!$GC$53:$GC$73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279-44F9-A8CC-0F02CCD07B3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'6'!$AO$8:$AO$28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279-44F9-A8CC-0F02CCD07B3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'6'!$AO$53:$AO$73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279-44F9-A8CC-0F02CCD07B3C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'6'!$AO$100:$AO$120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279-44F9-A8CC-0F02CCD07B3C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'6'!$AO$145:$AO$165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279-44F9-A8CC-0F02CCD07B3C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'6'!$AO$192:$AO$212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279-44F9-A8CC-0F02CCD07B3C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[m/s]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5.55909617195284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'2'!$CO$8:$CO$28</c:f>
              <c:numCache>
                <c:formatCode>0.000</c:formatCode>
                <c:ptCount val="21"/>
                <c:pt idx="0">
                  <c:v>0</c:v>
                </c:pt>
                <c:pt idx="1">
                  <c:v>0.19119269453659005</c:v>
                </c:pt>
                <c:pt idx="2">
                  <c:v>0.11536092522604247</c:v>
                </c:pt>
                <c:pt idx="3">
                  <c:v>9.3937307908695145E-2</c:v>
                </c:pt>
                <c:pt idx="4">
                  <c:v>0.14056300508932573</c:v>
                </c:pt>
                <c:pt idx="5">
                  <c:v>0.18623021089984226</c:v>
                </c:pt>
                <c:pt idx="6">
                  <c:v>0.16192845293557478</c:v>
                </c:pt>
                <c:pt idx="7">
                  <c:v>0.15464396260937963</c:v>
                </c:pt>
                <c:pt idx="8">
                  <c:v>0.1529012575561548</c:v>
                </c:pt>
                <c:pt idx="9">
                  <c:v>0.11571524173337222</c:v>
                </c:pt>
                <c:pt idx="10">
                  <c:v>0.10565701291920271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B3-461C-ABEA-970691895C1C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'2'!$CO$53:$CO$73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B3-461C-ABEA-970691895C1C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'2'!$CO$100:$CO$120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B3-461C-ABEA-970691895C1C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'2'!$CO$145:$CO$165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B3-461C-ABEA-970691895C1C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'2'!$CO$192:$CO$212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B3-461C-ABEA-970691895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'2'!$GE$145:$GE$165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A1B3-461C-ABEA-970691895C1C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'2'!$GE$100:$GE$120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1B3-461C-ABEA-970691895C1C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'2'!$GE$53:$GE$73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1B3-461C-ABEA-970691895C1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'6'!$AO$8:$AO$28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1B3-461C-ABEA-970691895C1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'6'!$AO$53:$AO$73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1B3-461C-ABEA-970691895C1C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'6'!$AO$100:$AO$120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1B3-461C-ABEA-970691895C1C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'6'!$AO$145:$AO$165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1B3-461C-ABEA-970691895C1C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'6'!$AO$192:$AO$212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1B3-461C-ABEA-970691895C1C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[m/s]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5.55909617195284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63" Type="http://schemas.openxmlformats.org/officeDocument/2006/relationships/chart" Target="../charts/chart6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61" Type="http://schemas.openxmlformats.org/officeDocument/2006/relationships/chart" Target="../charts/chart61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2.xml"/><Relationship Id="rId13" Type="http://schemas.openxmlformats.org/officeDocument/2006/relationships/chart" Target="../charts/chart77.xml"/><Relationship Id="rId3" Type="http://schemas.openxmlformats.org/officeDocument/2006/relationships/chart" Target="../charts/chart67.xml"/><Relationship Id="rId7" Type="http://schemas.openxmlformats.org/officeDocument/2006/relationships/chart" Target="../charts/chart71.xml"/><Relationship Id="rId12" Type="http://schemas.openxmlformats.org/officeDocument/2006/relationships/chart" Target="../charts/chart76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6" Type="http://schemas.openxmlformats.org/officeDocument/2006/relationships/chart" Target="../charts/chart70.xml"/><Relationship Id="rId11" Type="http://schemas.openxmlformats.org/officeDocument/2006/relationships/chart" Target="../charts/chart75.xml"/><Relationship Id="rId5" Type="http://schemas.openxmlformats.org/officeDocument/2006/relationships/chart" Target="../charts/chart69.xml"/><Relationship Id="rId15" Type="http://schemas.openxmlformats.org/officeDocument/2006/relationships/chart" Target="../charts/chart79.xml"/><Relationship Id="rId10" Type="http://schemas.openxmlformats.org/officeDocument/2006/relationships/chart" Target="../charts/chart74.xml"/><Relationship Id="rId4" Type="http://schemas.openxmlformats.org/officeDocument/2006/relationships/chart" Target="../charts/chart68.xml"/><Relationship Id="rId9" Type="http://schemas.openxmlformats.org/officeDocument/2006/relationships/chart" Target="../charts/chart73.xml"/><Relationship Id="rId14" Type="http://schemas.openxmlformats.org/officeDocument/2006/relationships/chart" Target="../charts/chart7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127265</xdr:colOff>
      <xdr:row>1</xdr:row>
      <xdr:rowOff>104860</xdr:rowOff>
    </xdr:from>
    <xdr:to>
      <xdr:col>12</xdr:col>
      <xdr:colOff>64437</xdr:colOff>
      <xdr:row>8</xdr:row>
      <xdr:rowOff>246001</xdr:rowOff>
    </xdr:to>
    <xdr:grpSp>
      <xdr:nvGrpSpPr>
        <xdr:cNvPr id="92" name="Group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GrpSpPr/>
      </xdr:nvGrpSpPr>
      <xdr:grpSpPr>
        <a:xfrm>
          <a:off x="9162408" y="308967"/>
          <a:ext cx="3842422" cy="2086963"/>
          <a:chOff x="8260151" y="302538"/>
          <a:chExt cx="3673217" cy="2031637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GrpSpPr/>
        </xdr:nvGrpSpPr>
        <xdr:grpSpPr>
          <a:xfrm>
            <a:off x="8260151" y="302538"/>
            <a:ext cx="3673217" cy="1889935"/>
            <a:chOff x="20469576" y="844824"/>
            <a:chExt cx="3910160" cy="2435577"/>
          </a:xfrm>
        </xdr:grpSpPr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GrpSpPr/>
          </xdr:nvGrpSpPr>
          <xdr:grpSpPr>
            <a:xfrm>
              <a:off x="21651307" y="2219859"/>
              <a:ext cx="1072225" cy="1060542"/>
              <a:chOff x="6707678" y="186207"/>
              <a:chExt cx="1068251" cy="1049656"/>
            </a:xfrm>
          </xdr:grpSpPr>
          <xdr:sp macro="" textlink="">
            <xdr:nvSpPr>
              <xdr:cNvPr id="14" name="Oval 13">
                <a:extLst>
                  <a:ext uri="{FF2B5EF4-FFF2-40B4-BE49-F238E27FC236}">
                    <a16:creationId xmlns:a16="http://schemas.microsoft.com/office/drawing/2014/main" id="{00000000-0008-0000-0000-00000E000000}"/>
                  </a:ext>
                </a:extLst>
              </xdr:cNvPr>
              <xdr:cNvSpPr/>
            </xdr:nvSpPr>
            <xdr:spPr>
              <a:xfrm>
                <a:off x="6861528" y="321462"/>
                <a:ext cx="914401" cy="914401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cxnSp macro="">
            <xdr:nvCxnSpPr>
              <xdr:cNvPr id="15" name="Straight Arrow Connector 14">
                <a:extLst>
                  <a:ext uri="{FF2B5EF4-FFF2-40B4-BE49-F238E27FC236}">
                    <a16:creationId xmlns:a16="http://schemas.microsoft.com/office/drawing/2014/main" id="{00000000-0008-0000-0000-00000F000000}"/>
                  </a:ext>
                </a:extLst>
              </xdr:cNvPr>
              <xdr:cNvCxnSpPr/>
            </xdr:nvCxnSpPr>
            <xdr:spPr>
              <a:xfrm flipH="1" flipV="1">
                <a:off x="6707678" y="824888"/>
                <a:ext cx="634361" cy="1399"/>
              </a:xfrm>
              <a:prstGeom prst="straightConnector1">
                <a:avLst/>
              </a:prstGeom>
              <a:ln w="19050">
                <a:solidFill>
                  <a:sysClr val="windowText" lastClr="000000"/>
                </a:solidFill>
                <a:headEnd type="none" w="med" len="med"/>
                <a:tailEnd type="triangle" w="med" len="me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6" name="Straight Arrow Connector 15">
                <a:extLst>
                  <a:ext uri="{FF2B5EF4-FFF2-40B4-BE49-F238E27FC236}">
                    <a16:creationId xmlns:a16="http://schemas.microsoft.com/office/drawing/2014/main" id="{00000000-0008-0000-0000-000010000000}"/>
                  </a:ext>
                </a:extLst>
              </xdr:cNvPr>
              <xdr:cNvCxnSpPr/>
            </xdr:nvCxnSpPr>
            <xdr:spPr>
              <a:xfrm rot="16200000">
                <a:off x="7012974" y="506247"/>
                <a:ext cx="640080" cy="0"/>
              </a:xfrm>
              <a:prstGeom prst="straightConnector1">
                <a:avLst/>
              </a:prstGeom>
              <a:ln w="19050">
                <a:solidFill>
                  <a:sysClr val="windowText" lastClr="000000"/>
                </a:solidFill>
                <a:headEnd type="none" w="med" len="med"/>
                <a:tailEnd type="triangle" w="med" len="me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 txBox="1"/>
          </xdr:nvSpPr>
          <xdr:spPr>
            <a:xfrm>
              <a:off x="20469576" y="2637497"/>
              <a:ext cx="1039585" cy="36739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Back Wall</a:t>
              </a:r>
            </a:p>
          </xdr:txBody>
        </xdr:sp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23340151" y="2479691"/>
              <a:ext cx="1039585" cy="57694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Room</a:t>
              </a:r>
            </a:p>
          </xdr:txBody>
        </xdr:sp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21072762" y="844824"/>
              <a:ext cx="2243068" cy="666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Pipe coordinate system; direction of flow is into the page</a:t>
              </a:r>
            </a:p>
          </xdr:txBody>
        </xdr:sp>
      </xdr:grp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>
            <a:off x="8957854" y="784786"/>
            <a:ext cx="2249278" cy="1549389"/>
            <a:chOff x="21288799" y="1729086"/>
            <a:chExt cx="2384903" cy="2011521"/>
          </a:xfrm>
        </xdr:grpSpPr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21288799" y="1729086"/>
              <a:ext cx="2384903" cy="2011521"/>
              <a:chOff x="21288799" y="1729086"/>
              <a:chExt cx="2384903" cy="2011521"/>
            </a:xfrm>
          </xdr:grpSpPr>
          <xdr:sp macro="" textlink="">
            <xdr:nvSpPr>
              <xdr:cNvPr id="7" name="TextBox 6">
                <a:extLst>
                  <a:ext uri="{FF2B5EF4-FFF2-40B4-BE49-F238E27FC236}">
                    <a16:creationId xmlns:a16="http://schemas.microsoft.com/office/drawing/2014/main" id="{00000000-0008-0000-0000-000007000000}"/>
                  </a:ext>
                </a:extLst>
              </xdr:cNvPr>
              <xdr:cNvSpPr txBox="1"/>
            </xdr:nvSpPr>
            <xdr:spPr>
              <a:xfrm>
                <a:off x="21288799" y="1729086"/>
                <a:ext cx="2009094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Probe inserted</a:t>
                </a:r>
                <a:r>
                  <a:rPr lang="en-US" sz="1100" baseline="0"/>
                  <a:t> from top</a:t>
                </a:r>
                <a:endParaRPr lang="en-US" sz="1100"/>
              </a:p>
            </xdr:txBody>
          </xdr:sp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00000000-0008-0000-0000-000008000000}"/>
                  </a:ext>
                </a:extLst>
              </xdr:cNvPr>
              <xdr:cNvSpPr txBox="1"/>
            </xdr:nvSpPr>
            <xdr:spPr>
              <a:xfrm>
                <a:off x="22799087" y="3075760"/>
                <a:ext cx="795564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"i"=-r/R</a:t>
                </a:r>
              </a:p>
            </xdr:txBody>
          </xdr:sp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00000000-0008-0000-0000-000009000000}"/>
                  </a:ext>
                </a:extLst>
              </xdr:cNvPr>
              <xdr:cNvSpPr txBox="1"/>
            </xdr:nvSpPr>
            <xdr:spPr>
              <a:xfrm>
                <a:off x="22713634" y="2457578"/>
                <a:ext cx="960068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"o"=+r/R</a:t>
                </a:r>
              </a:p>
            </xdr:txBody>
          </xdr:sp>
        </xdr:grpSp>
        <xdr:cxnSp macro="">
          <xdr:nvCxnSpPr>
            <xdr:cNvPr id="6" name="Straight Arrow Connector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CxnSpPr/>
          </xdr:nvCxnSpPr>
          <xdr:spPr>
            <a:xfrm flipH="1">
              <a:off x="22876769" y="2572775"/>
              <a:ext cx="4373" cy="924556"/>
            </a:xfrm>
            <a:prstGeom prst="straightConnector1">
              <a:avLst/>
            </a:prstGeom>
            <a:ln w="19050">
              <a:solidFill>
                <a:sysClr val="windowText" lastClr="000000"/>
              </a:solidFill>
              <a:headEnd type="triangle" w="med" len="med"/>
              <a:tailEnd type="triangl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9</xdr:col>
      <xdr:colOff>146315</xdr:colOff>
      <xdr:row>7</xdr:row>
      <xdr:rowOff>114385</xdr:rowOff>
    </xdr:from>
    <xdr:to>
      <xdr:col>9</xdr:col>
      <xdr:colOff>361951</xdr:colOff>
      <xdr:row>7</xdr:row>
      <xdr:rowOff>381000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242690" y="1676485"/>
          <a:ext cx="215636" cy="2666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9</xdr:col>
      <xdr:colOff>660665</xdr:colOff>
      <xdr:row>5</xdr:row>
      <xdr:rowOff>104860</xdr:rowOff>
    </xdr:from>
    <xdr:to>
      <xdr:col>9</xdr:col>
      <xdr:colOff>876301</xdr:colOff>
      <xdr:row>6</xdr:row>
      <xdr:rowOff>133350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9757040" y="1228810"/>
          <a:ext cx="215636" cy="2666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y</a:t>
          </a:r>
        </a:p>
      </xdr:txBody>
    </xdr:sp>
    <xdr:clientData/>
  </xdr:twoCellAnchor>
  <xdr:twoCellAnchor>
    <xdr:from>
      <xdr:col>8</xdr:col>
      <xdr:colOff>127265</xdr:colOff>
      <xdr:row>1</xdr:row>
      <xdr:rowOff>104860</xdr:rowOff>
    </xdr:from>
    <xdr:to>
      <xdr:col>12</xdr:col>
      <xdr:colOff>64437</xdr:colOff>
      <xdr:row>8</xdr:row>
      <xdr:rowOff>246001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162408" y="308967"/>
          <a:ext cx="3842422" cy="2086963"/>
          <a:chOff x="8260151" y="302538"/>
          <a:chExt cx="3673217" cy="2031637"/>
        </a:xfrm>
      </xdr:grpSpPr>
      <xdr:grpSp>
        <xdr:nvGrpSpPr>
          <xdr:cNvPr id="20" name="Group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GrpSpPr/>
        </xdr:nvGrpSpPr>
        <xdr:grpSpPr>
          <a:xfrm>
            <a:off x="8260151" y="302538"/>
            <a:ext cx="3673217" cy="1889935"/>
            <a:chOff x="20469576" y="844824"/>
            <a:chExt cx="3910160" cy="2435577"/>
          </a:xfrm>
        </xdr:grpSpPr>
        <xdr:grpSp>
          <xdr:nvGrpSpPr>
            <xdr:cNvPr id="27" name="Group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GrpSpPr/>
          </xdr:nvGrpSpPr>
          <xdr:grpSpPr>
            <a:xfrm>
              <a:off x="21651307" y="2219859"/>
              <a:ext cx="1072225" cy="1060542"/>
              <a:chOff x="6707678" y="186207"/>
              <a:chExt cx="1068251" cy="1049656"/>
            </a:xfrm>
          </xdr:grpSpPr>
          <xdr:sp macro="" textlink="">
            <xdr:nvSpPr>
              <xdr:cNvPr id="31" name="Oval 30">
                <a:extLst>
                  <a:ext uri="{FF2B5EF4-FFF2-40B4-BE49-F238E27FC236}">
                    <a16:creationId xmlns:a16="http://schemas.microsoft.com/office/drawing/2014/main" id="{00000000-0008-0000-0000-00001F000000}"/>
                  </a:ext>
                </a:extLst>
              </xdr:cNvPr>
              <xdr:cNvSpPr/>
            </xdr:nvSpPr>
            <xdr:spPr>
              <a:xfrm>
                <a:off x="6861528" y="321462"/>
                <a:ext cx="914401" cy="914401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cxnSp macro="">
            <xdr:nvCxnSpPr>
              <xdr:cNvPr id="32" name="Straight Arrow Connector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CxnSpPr/>
            </xdr:nvCxnSpPr>
            <xdr:spPr>
              <a:xfrm flipH="1" flipV="1">
                <a:off x="6707678" y="824888"/>
                <a:ext cx="634361" cy="1399"/>
              </a:xfrm>
              <a:prstGeom prst="straightConnector1">
                <a:avLst/>
              </a:prstGeom>
              <a:ln w="19050">
                <a:solidFill>
                  <a:sysClr val="windowText" lastClr="000000"/>
                </a:solidFill>
                <a:headEnd type="none" w="med" len="med"/>
                <a:tailEnd type="triangle" w="med" len="me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3" name="Straight Arrow Connector 32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CxnSpPr/>
            </xdr:nvCxnSpPr>
            <xdr:spPr>
              <a:xfrm rot="16200000">
                <a:off x="7012974" y="506247"/>
                <a:ext cx="640080" cy="0"/>
              </a:xfrm>
              <a:prstGeom prst="straightConnector1">
                <a:avLst/>
              </a:prstGeom>
              <a:ln w="19050">
                <a:solidFill>
                  <a:sysClr val="windowText" lastClr="000000"/>
                </a:solidFill>
                <a:headEnd type="none" w="med" len="med"/>
                <a:tailEnd type="triangle" w="med" len="me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 txBox="1"/>
          </xdr:nvSpPr>
          <xdr:spPr>
            <a:xfrm>
              <a:off x="20469576" y="2637497"/>
              <a:ext cx="1039585" cy="36739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Back Wall</a:t>
              </a:r>
            </a:p>
          </xdr:txBody>
        </xdr:sp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 txBox="1"/>
          </xdr:nvSpPr>
          <xdr:spPr>
            <a:xfrm>
              <a:off x="23340151" y="2479691"/>
              <a:ext cx="1039585" cy="57694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Room</a:t>
              </a:r>
            </a:p>
          </xdr:txBody>
        </xdr:sp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 txBox="1"/>
          </xdr:nvSpPr>
          <xdr:spPr>
            <a:xfrm>
              <a:off x="21072762" y="844824"/>
              <a:ext cx="2243068" cy="666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Pipe coordinate system; direction of flow is into the page</a:t>
              </a:r>
            </a:p>
          </xdr:txBody>
        </xdr:sp>
      </xdr:grp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GrpSpPr/>
        </xdr:nvGrpSpPr>
        <xdr:grpSpPr>
          <a:xfrm>
            <a:off x="8957854" y="784786"/>
            <a:ext cx="2249278" cy="1549389"/>
            <a:chOff x="21288799" y="1729086"/>
            <a:chExt cx="2384903" cy="2011521"/>
          </a:xfrm>
        </xdr:grpSpPr>
        <xdr:grpSp>
          <xdr:nvGrpSpPr>
            <xdr:cNvPr id="22" name="Group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GrpSpPr/>
          </xdr:nvGrpSpPr>
          <xdr:grpSpPr>
            <a:xfrm>
              <a:off x="21288799" y="1729086"/>
              <a:ext cx="2384903" cy="2011521"/>
              <a:chOff x="21288799" y="1729086"/>
              <a:chExt cx="2384903" cy="2011521"/>
            </a:xfrm>
          </xdr:grpSpPr>
          <xdr:sp macro="" textlink="">
            <xdr:nvSpPr>
              <xdr:cNvPr id="24" name="TextBox 23">
                <a:extLst>
                  <a:ext uri="{FF2B5EF4-FFF2-40B4-BE49-F238E27FC236}">
                    <a16:creationId xmlns:a16="http://schemas.microsoft.com/office/drawing/2014/main" id="{00000000-0008-0000-0000-000018000000}"/>
                  </a:ext>
                </a:extLst>
              </xdr:cNvPr>
              <xdr:cNvSpPr txBox="1"/>
            </xdr:nvSpPr>
            <xdr:spPr>
              <a:xfrm>
                <a:off x="21288799" y="1729086"/>
                <a:ext cx="2009094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Probe inserted</a:t>
                </a:r>
                <a:r>
                  <a:rPr lang="en-US" sz="1100" baseline="0"/>
                  <a:t> from top</a:t>
                </a:r>
                <a:endParaRPr lang="en-US" sz="1100"/>
              </a:p>
            </xdr:txBody>
          </xdr:sp>
          <xdr:sp macro="" textlink="">
            <xdr:nvSpPr>
              <xdr:cNvPr id="25" name="TextBox 24">
                <a:extLst>
                  <a:ext uri="{FF2B5EF4-FFF2-40B4-BE49-F238E27FC236}">
                    <a16:creationId xmlns:a16="http://schemas.microsoft.com/office/drawing/2014/main" id="{00000000-0008-0000-0000-000019000000}"/>
                  </a:ext>
                </a:extLst>
              </xdr:cNvPr>
              <xdr:cNvSpPr txBox="1"/>
            </xdr:nvSpPr>
            <xdr:spPr>
              <a:xfrm>
                <a:off x="22799087" y="3075760"/>
                <a:ext cx="795564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"i"=-r/R</a:t>
                </a:r>
              </a:p>
            </xdr:txBody>
          </xdr:sp>
          <xdr:sp macro="" textlink="">
            <xdr:nvSpPr>
              <xdr:cNvPr id="26" name="TextBox 25">
                <a:extLst>
                  <a:ext uri="{FF2B5EF4-FFF2-40B4-BE49-F238E27FC236}">
                    <a16:creationId xmlns:a16="http://schemas.microsoft.com/office/drawing/2014/main" id="{00000000-0008-0000-0000-00001A000000}"/>
                  </a:ext>
                </a:extLst>
              </xdr:cNvPr>
              <xdr:cNvSpPr txBox="1"/>
            </xdr:nvSpPr>
            <xdr:spPr>
              <a:xfrm>
                <a:off x="22713634" y="2457578"/>
                <a:ext cx="960068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"o"=+r/R</a:t>
                </a:r>
              </a:p>
            </xdr:txBody>
          </xdr:sp>
        </xdr:grpSp>
        <xdr:cxnSp macro="">
          <xdr:nvCxnSpPr>
            <xdr:cNvPr id="23" name="Straight Arrow Connector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CxnSpPr/>
          </xdr:nvCxnSpPr>
          <xdr:spPr>
            <a:xfrm flipH="1">
              <a:off x="22876769" y="2572775"/>
              <a:ext cx="4373" cy="924556"/>
            </a:xfrm>
            <a:prstGeom prst="straightConnector1">
              <a:avLst/>
            </a:prstGeom>
            <a:ln w="19050">
              <a:solidFill>
                <a:sysClr val="windowText" lastClr="000000"/>
              </a:solidFill>
              <a:headEnd type="triangle" w="med" len="med"/>
              <a:tailEnd type="triangl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9</xdr:col>
      <xdr:colOff>146315</xdr:colOff>
      <xdr:row>7</xdr:row>
      <xdr:rowOff>114385</xdr:rowOff>
    </xdr:from>
    <xdr:to>
      <xdr:col>9</xdr:col>
      <xdr:colOff>361951</xdr:colOff>
      <xdr:row>7</xdr:row>
      <xdr:rowOff>381000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9995165" y="1676485"/>
          <a:ext cx="215636" cy="2666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9</xdr:col>
      <xdr:colOff>660665</xdr:colOff>
      <xdr:row>5</xdr:row>
      <xdr:rowOff>104860</xdr:rowOff>
    </xdr:from>
    <xdr:to>
      <xdr:col>9</xdr:col>
      <xdr:colOff>876301</xdr:colOff>
      <xdr:row>6</xdr:row>
      <xdr:rowOff>133350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10509515" y="1228810"/>
          <a:ext cx="215636" cy="2666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824593</xdr:colOff>
      <xdr:row>29</xdr:row>
      <xdr:rowOff>150764</xdr:rowOff>
    </xdr:from>
    <xdr:to>
      <xdr:col>7</xdr:col>
      <xdr:colOff>1015413</xdr:colOff>
      <xdr:row>44</xdr:row>
      <xdr:rowOff>8645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154995</xdr:colOff>
      <xdr:row>30</xdr:row>
      <xdr:rowOff>7281</xdr:rowOff>
    </xdr:from>
    <xdr:to>
      <xdr:col>15</xdr:col>
      <xdr:colOff>884673</xdr:colOff>
      <xdr:row>44</xdr:row>
      <xdr:rowOff>90044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888977</xdr:colOff>
      <xdr:row>30</xdr:row>
      <xdr:rowOff>7281</xdr:rowOff>
    </xdr:from>
    <xdr:to>
      <xdr:col>20</xdr:col>
      <xdr:colOff>614611</xdr:colOff>
      <xdr:row>44</xdr:row>
      <xdr:rowOff>90044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831707</xdr:colOff>
      <xdr:row>30</xdr:row>
      <xdr:rowOff>7281</xdr:rowOff>
    </xdr:from>
    <xdr:to>
      <xdr:col>25</xdr:col>
      <xdr:colOff>350053</xdr:colOff>
      <xdr:row>44</xdr:row>
      <xdr:rowOff>90044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339067</xdr:colOff>
      <xdr:row>30</xdr:row>
      <xdr:rowOff>7281</xdr:rowOff>
    </xdr:from>
    <xdr:to>
      <xdr:col>36</xdr:col>
      <xdr:colOff>315191</xdr:colOff>
      <xdr:row>44</xdr:row>
      <xdr:rowOff>75588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354358</xdr:colOff>
      <xdr:row>30</xdr:row>
      <xdr:rowOff>2969</xdr:rowOff>
    </xdr:from>
    <xdr:to>
      <xdr:col>30</xdr:col>
      <xdr:colOff>236394</xdr:colOff>
      <xdr:row>44</xdr:row>
      <xdr:rowOff>79911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78</xdr:col>
      <xdr:colOff>256844</xdr:colOff>
      <xdr:row>11</xdr:row>
      <xdr:rowOff>134560</xdr:rowOff>
    </xdr:from>
    <xdr:to>
      <xdr:col>81</xdr:col>
      <xdr:colOff>506310</xdr:colOff>
      <xdr:row>23</xdr:row>
      <xdr:rowOff>107345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pSpPr/>
      </xdr:nvGrpSpPr>
      <xdr:grpSpPr>
        <a:xfrm rot="16200000">
          <a:off x="70747893" y="2403928"/>
          <a:ext cx="2279951" cy="2292049"/>
          <a:chOff x="1777183" y="5599438"/>
          <a:chExt cx="1834782" cy="1828800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35" name="Oval 34">
              <a:extLst>
                <a:ext uri="{FF2B5EF4-FFF2-40B4-BE49-F238E27FC236}">
                  <a16:creationId xmlns:a16="http://schemas.microsoft.com/office/drawing/2014/main" id="{00000000-0008-0000-0100-00002300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36" name="Straight Connector 35">
              <a:extLst>
                <a:ext uri="{FF2B5EF4-FFF2-40B4-BE49-F238E27FC236}">
                  <a16:creationId xmlns:a16="http://schemas.microsoft.com/office/drawing/2014/main" id="{00000000-0008-0000-0100-000024000000}"/>
                </a:ext>
              </a:extLst>
            </xdr:cNvPr>
            <xdr:cNvCxnSpPr>
              <a:stCxn id="35" idx="3"/>
              <a:endCxn id="35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" name="Straight Connector 36">
              <a:extLst>
                <a:ext uri="{FF2B5EF4-FFF2-40B4-BE49-F238E27FC236}">
                  <a16:creationId xmlns:a16="http://schemas.microsoft.com/office/drawing/2014/main" id="{00000000-0008-0000-0100-00002500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" name="Straight Connector 37">
              <a:extLst>
                <a:ext uri="{FF2B5EF4-FFF2-40B4-BE49-F238E27FC236}">
                  <a16:creationId xmlns:a16="http://schemas.microsoft.com/office/drawing/2014/main" id="{00000000-0008-0000-0100-00002600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44" name="Straight Arrow Connector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 txBox="1"/>
          </xdr:nvSpPr>
          <xdr:spPr>
            <a:xfrm rot="5400000">
              <a:off x="535732" y="6178369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48" name="Straight Connector 47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CxnSpPr>
              <a:stCxn id="35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4" name="Straight Connector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CxnSpPr>
            <a:stCxn id="35" idx="6"/>
            <a:endCxn id="35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266700</xdr:colOff>
      <xdr:row>30</xdr:row>
      <xdr:rowOff>0</xdr:rowOff>
    </xdr:from>
    <xdr:to>
      <xdr:col>4</xdr:col>
      <xdr:colOff>38420</xdr:colOff>
      <xdr:row>44</xdr:row>
      <xdr:rowOff>48381</xdr:rowOff>
    </xdr:to>
    <xdr:graphicFrame macro="">
      <xdr:nvGraphicFramePr>
        <xdr:cNvPr id="117" name="Chart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1143000</xdr:colOff>
      <xdr:row>30</xdr:row>
      <xdr:rowOff>34637</xdr:rowOff>
    </xdr:from>
    <xdr:to>
      <xdr:col>12</xdr:col>
      <xdr:colOff>152719</xdr:colOff>
      <xdr:row>44</xdr:row>
      <xdr:rowOff>83018</xdr:rowOff>
    </xdr:to>
    <xdr:graphicFrame macro="">
      <xdr:nvGraphicFramePr>
        <xdr:cNvPr id="122" name="Chart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1028700</xdr:colOff>
      <xdr:row>74</xdr:row>
      <xdr:rowOff>177978</xdr:rowOff>
    </xdr:from>
    <xdr:to>
      <xdr:col>7</xdr:col>
      <xdr:colOff>1219520</xdr:colOff>
      <xdr:row>89</xdr:row>
      <xdr:rowOff>35859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154995</xdr:colOff>
      <xdr:row>75</xdr:row>
      <xdr:rowOff>7281</xdr:rowOff>
    </xdr:from>
    <xdr:to>
      <xdr:col>15</xdr:col>
      <xdr:colOff>884673</xdr:colOff>
      <xdr:row>89</xdr:row>
      <xdr:rowOff>90044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888977</xdr:colOff>
      <xdr:row>75</xdr:row>
      <xdr:rowOff>7281</xdr:rowOff>
    </xdr:from>
    <xdr:to>
      <xdr:col>20</xdr:col>
      <xdr:colOff>614611</xdr:colOff>
      <xdr:row>89</xdr:row>
      <xdr:rowOff>90044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831707</xdr:colOff>
      <xdr:row>75</xdr:row>
      <xdr:rowOff>7281</xdr:rowOff>
    </xdr:from>
    <xdr:to>
      <xdr:col>25</xdr:col>
      <xdr:colOff>350053</xdr:colOff>
      <xdr:row>89</xdr:row>
      <xdr:rowOff>90044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30</xdr:col>
      <xdr:colOff>339067</xdr:colOff>
      <xdr:row>75</xdr:row>
      <xdr:rowOff>7281</xdr:rowOff>
    </xdr:from>
    <xdr:to>
      <xdr:col>36</xdr:col>
      <xdr:colOff>315191</xdr:colOff>
      <xdr:row>89</xdr:row>
      <xdr:rowOff>75588</xdr:rowOff>
    </xdr:to>
    <xdr:graphicFrame macro="">
      <xdr:nvGraphicFramePr>
        <xdr:cNvPr id="127" name="Chart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25</xdr:col>
      <xdr:colOff>354358</xdr:colOff>
      <xdr:row>75</xdr:row>
      <xdr:rowOff>2968</xdr:rowOff>
    </xdr:from>
    <xdr:to>
      <xdr:col>30</xdr:col>
      <xdr:colOff>236394</xdr:colOff>
      <xdr:row>89</xdr:row>
      <xdr:rowOff>79911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78</xdr:col>
      <xdr:colOff>223763</xdr:colOff>
      <xdr:row>56</xdr:row>
      <xdr:rowOff>132295</xdr:rowOff>
    </xdr:from>
    <xdr:to>
      <xdr:col>81</xdr:col>
      <xdr:colOff>510268</xdr:colOff>
      <xdr:row>68</xdr:row>
      <xdr:rowOff>94494</xdr:rowOff>
    </xdr:to>
    <xdr:grpSp>
      <xdr:nvGrpSpPr>
        <xdr:cNvPr id="146" name="Group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GrpSpPr/>
      </xdr:nvGrpSpPr>
      <xdr:grpSpPr>
        <a:xfrm rot="16200000">
          <a:off x="70738624" y="11098517"/>
          <a:ext cx="2269366" cy="2329088"/>
          <a:chOff x="1777183" y="5599438"/>
          <a:chExt cx="1834782" cy="1828800"/>
        </a:xfrm>
      </xdr:grpSpPr>
      <xdr:grpSp>
        <xdr:nvGrpSpPr>
          <xdr:cNvPr id="147" name="Group 146">
            <a:extLst>
              <a:ext uri="{FF2B5EF4-FFF2-40B4-BE49-F238E27FC236}">
                <a16:creationId xmlns:a16="http://schemas.microsoft.com/office/drawing/2014/main" id="{00000000-0008-0000-0100-00009300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149" name="Oval 148">
              <a:extLst>
                <a:ext uri="{FF2B5EF4-FFF2-40B4-BE49-F238E27FC236}">
                  <a16:creationId xmlns:a16="http://schemas.microsoft.com/office/drawing/2014/main" id="{00000000-0008-0000-0100-00009500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100-000096000000}"/>
                </a:ext>
              </a:extLst>
            </xdr:cNvPr>
            <xdr:cNvCxnSpPr>
              <a:stCxn id="149" idx="3"/>
              <a:endCxn id="149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100-00009700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2" name="Straight Connector 151">
              <a:extLst>
                <a:ext uri="{FF2B5EF4-FFF2-40B4-BE49-F238E27FC236}">
                  <a16:creationId xmlns:a16="http://schemas.microsoft.com/office/drawing/2014/main" id="{00000000-0008-0000-0100-00009800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53" name="TextBox 152">
              <a:extLst>
                <a:ext uri="{FF2B5EF4-FFF2-40B4-BE49-F238E27FC236}">
                  <a16:creationId xmlns:a16="http://schemas.microsoft.com/office/drawing/2014/main" id="{00000000-0008-0000-0100-00009900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154" name="TextBox 153">
              <a:extLst>
                <a:ext uri="{FF2B5EF4-FFF2-40B4-BE49-F238E27FC236}">
                  <a16:creationId xmlns:a16="http://schemas.microsoft.com/office/drawing/2014/main" id="{00000000-0008-0000-0100-00009A00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155" name="TextBox 154">
              <a:extLst>
                <a:ext uri="{FF2B5EF4-FFF2-40B4-BE49-F238E27FC236}">
                  <a16:creationId xmlns:a16="http://schemas.microsoft.com/office/drawing/2014/main" id="{00000000-0008-0000-0100-00009B00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156" name="TextBox 155">
              <a:extLst>
                <a:ext uri="{FF2B5EF4-FFF2-40B4-BE49-F238E27FC236}">
                  <a16:creationId xmlns:a16="http://schemas.microsoft.com/office/drawing/2014/main" id="{00000000-0008-0000-0100-00009C00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157" name="TextBox 156">
              <a:extLst>
                <a:ext uri="{FF2B5EF4-FFF2-40B4-BE49-F238E27FC236}">
                  <a16:creationId xmlns:a16="http://schemas.microsoft.com/office/drawing/2014/main" id="{00000000-0008-0000-0100-00009D00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158" name="Straight Arrow Connector 157">
              <a:extLst>
                <a:ext uri="{FF2B5EF4-FFF2-40B4-BE49-F238E27FC236}">
                  <a16:creationId xmlns:a16="http://schemas.microsoft.com/office/drawing/2014/main" id="{00000000-0008-0000-0100-00009E00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59" name="TextBox 158">
              <a:extLst>
                <a:ext uri="{FF2B5EF4-FFF2-40B4-BE49-F238E27FC236}">
                  <a16:creationId xmlns:a16="http://schemas.microsoft.com/office/drawing/2014/main" id="{00000000-0008-0000-0100-00009F00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160" name="TextBox 159">
              <a:extLst>
                <a:ext uri="{FF2B5EF4-FFF2-40B4-BE49-F238E27FC236}">
                  <a16:creationId xmlns:a16="http://schemas.microsoft.com/office/drawing/2014/main" id="{00000000-0008-0000-0100-0000A000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161" name="TextBox 160">
              <a:extLst>
                <a:ext uri="{FF2B5EF4-FFF2-40B4-BE49-F238E27FC236}">
                  <a16:creationId xmlns:a16="http://schemas.microsoft.com/office/drawing/2014/main" id="{00000000-0008-0000-0100-0000A1000000}"/>
                </a:ext>
              </a:extLst>
            </xdr:cNvPr>
            <xdr:cNvSpPr txBox="1"/>
          </xdr:nvSpPr>
          <xdr:spPr>
            <a:xfrm rot="5400000">
              <a:off x="438628" y="6220828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162" name="Straight Connector 161">
              <a:extLst>
                <a:ext uri="{FF2B5EF4-FFF2-40B4-BE49-F238E27FC236}">
                  <a16:creationId xmlns:a16="http://schemas.microsoft.com/office/drawing/2014/main" id="{00000000-0008-0000-0100-0000A2000000}"/>
                </a:ext>
              </a:extLst>
            </xdr:cNvPr>
            <xdr:cNvCxnSpPr>
              <a:stCxn id="149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100-000094000000}"/>
              </a:ext>
            </a:extLst>
          </xdr:cNvPr>
          <xdr:cNvCxnSpPr>
            <a:stCxn id="149" idx="6"/>
            <a:endCxn id="149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266700</xdr:colOff>
      <xdr:row>75</xdr:row>
      <xdr:rowOff>0</xdr:rowOff>
    </xdr:from>
    <xdr:to>
      <xdr:col>4</xdr:col>
      <xdr:colOff>38420</xdr:colOff>
      <xdr:row>89</xdr:row>
      <xdr:rowOff>48381</xdr:rowOff>
    </xdr:to>
    <xdr:graphicFrame macro="">
      <xdr:nvGraphicFramePr>
        <xdr:cNvPr id="163" name="Chart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1143000</xdr:colOff>
      <xdr:row>75</xdr:row>
      <xdr:rowOff>34637</xdr:rowOff>
    </xdr:from>
    <xdr:to>
      <xdr:col>12</xdr:col>
      <xdr:colOff>152719</xdr:colOff>
      <xdr:row>89</xdr:row>
      <xdr:rowOff>83018</xdr:rowOff>
    </xdr:to>
    <xdr:graphicFrame macro="">
      <xdr:nvGraphicFramePr>
        <xdr:cNvPr id="164" name="Chart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78</xdr:col>
      <xdr:colOff>236929</xdr:colOff>
      <xdr:row>104</xdr:row>
      <xdr:rowOff>37799</xdr:rowOff>
    </xdr:from>
    <xdr:to>
      <xdr:col>81</xdr:col>
      <xdr:colOff>486393</xdr:colOff>
      <xdr:row>115</xdr:row>
      <xdr:rowOff>10583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GrpSpPr/>
      </xdr:nvGrpSpPr>
      <xdr:grpSpPr>
        <a:xfrm rot="16200000">
          <a:off x="70823227" y="20224751"/>
          <a:ext cx="2089451" cy="2292047"/>
          <a:chOff x="1777183" y="5599438"/>
          <a:chExt cx="1834782" cy="1828800"/>
        </a:xfrm>
      </xdr:grpSpPr>
      <xdr:grpSp>
        <xdr:nvGrpSpPr>
          <xdr:cNvPr id="208" name="Group 207">
            <a:extLst>
              <a:ext uri="{FF2B5EF4-FFF2-40B4-BE49-F238E27FC236}">
                <a16:creationId xmlns:a16="http://schemas.microsoft.com/office/drawing/2014/main" id="{00000000-0008-0000-0100-0000D000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210" name="Oval 209">
              <a:extLst>
                <a:ext uri="{FF2B5EF4-FFF2-40B4-BE49-F238E27FC236}">
                  <a16:creationId xmlns:a16="http://schemas.microsoft.com/office/drawing/2014/main" id="{00000000-0008-0000-0100-0000D200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11" name="Straight Connector 210">
              <a:extLst>
                <a:ext uri="{FF2B5EF4-FFF2-40B4-BE49-F238E27FC236}">
                  <a16:creationId xmlns:a16="http://schemas.microsoft.com/office/drawing/2014/main" id="{00000000-0008-0000-0100-0000D3000000}"/>
                </a:ext>
              </a:extLst>
            </xdr:cNvPr>
            <xdr:cNvCxnSpPr>
              <a:stCxn id="210" idx="3"/>
              <a:endCxn id="210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2" name="Straight Connector 211">
              <a:extLst>
                <a:ext uri="{FF2B5EF4-FFF2-40B4-BE49-F238E27FC236}">
                  <a16:creationId xmlns:a16="http://schemas.microsoft.com/office/drawing/2014/main" id="{00000000-0008-0000-0100-0000D400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3" name="Straight Connector 212">
              <a:extLst>
                <a:ext uri="{FF2B5EF4-FFF2-40B4-BE49-F238E27FC236}">
                  <a16:creationId xmlns:a16="http://schemas.microsoft.com/office/drawing/2014/main" id="{00000000-0008-0000-0100-0000D500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14" name="TextBox 213">
              <a:extLst>
                <a:ext uri="{FF2B5EF4-FFF2-40B4-BE49-F238E27FC236}">
                  <a16:creationId xmlns:a16="http://schemas.microsoft.com/office/drawing/2014/main" id="{00000000-0008-0000-0100-0000D600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215" name="TextBox 214">
              <a:extLst>
                <a:ext uri="{FF2B5EF4-FFF2-40B4-BE49-F238E27FC236}">
                  <a16:creationId xmlns:a16="http://schemas.microsoft.com/office/drawing/2014/main" id="{00000000-0008-0000-0100-0000D700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216" name="TextBox 215">
              <a:extLst>
                <a:ext uri="{FF2B5EF4-FFF2-40B4-BE49-F238E27FC236}">
                  <a16:creationId xmlns:a16="http://schemas.microsoft.com/office/drawing/2014/main" id="{00000000-0008-0000-0100-0000D800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217" name="TextBox 216">
              <a:extLst>
                <a:ext uri="{FF2B5EF4-FFF2-40B4-BE49-F238E27FC236}">
                  <a16:creationId xmlns:a16="http://schemas.microsoft.com/office/drawing/2014/main" id="{00000000-0008-0000-0100-0000D900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218" name="TextBox 217">
              <a:extLst>
                <a:ext uri="{FF2B5EF4-FFF2-40B4-BE49-F238E27FC236}">
                  <a16:creationId xmlns:a16="http://schemas.microsoft.com/office/drawing/2014/main" id="{00000000-0008-0000-0100-0000DA00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219" name="Straight Arrow Connector 218">
              <a:extLst>
                <a:ext uri="{FF2B5EF4-FFF2-40B4-BE49-F238E27FC236}">
                  <a16:creationId xmlns:a16="http://schemas.microsoft.com/office/drawing/2014/main" id="{00000000-0008-0000-0100-0000DB00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0" name="TextBox 219">
              <a:extLst>
                <a:ext uri="{FF2B5EF4-FFF2-40B4-BE49-F238E27FC236}">
                  <a16:creationId xmlns:a16="http://schemas.microsoft.com/office/drawing/2014/main" id="{00000000-0008-0000-0100-0000DC00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221" name="TextBox 220">
              <a:extLst>
                <a:ext uri="{FF2B5EF4-FFF2-40B4-BE49-F238E27FC236}">
                  <a16:creationId xmlns:a16="http://schemas.microsoft.com/office/drawing/2014/main" id="{00000000-0008-0000-0100-0000DD00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222" name="TextBox 221">
              <a:extLst>
                <a:ext uri="{FF2B5EF4-FFF2-40B4-BE49-F238E27FC236}">
                  <a16:creationId xmlns:a16="http://schemas.microsoft.com/office/drawing/2014/main" id="{00000000-0008-0000-0100-0000DE000000}"/>
                </a:ext>
              </a:extLst>
            </xdr:cNvPr>
            <xdr:cNvSpPr txBox="1"/>
          </xdr:nvSpPr>
          <xdr:spPr>
            <a:xfrm rot="5400000">
              <a:off x="452500" y="6220827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223" name="Straight Connector 222">
              <a:extLst>
                <a:ext uri="{FF2B5EF4-FFF2-40B4-BE49-F238E27FC236}">
                  <a16:creationId xmlns:a16="http://schemas.microsoft.com/office/drawing/2014/main" id="{00000000-0008-0000-0100-0000DF000000}"/>
                </a:ext>
              </a:extLst>
            </xdr:cNvPr>
            <xdr:cNvCxnSpPr>
              <a:stCxn id="210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09" name="Straight Connector 208">
            <a:extLst>
              <a:ext uri="{FF2B5EF4-FFF2-40B4-BE49-F238E27FC236}">
                <a16:creationId xmlns:a16="http://schemas.microsoft.com/office/drawing/2014/main" id="{00000000-0008-0000-0100-0000D1000000}"/>
              </a:ext>
            </a:extLst>
          </xdr:cNvPr>
          <xdr:cNvCxnSpPr>
            <a:stCxn id="210" idx="6"/>
            <a:endCxn id="210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1028700</xdr:colOff>
      <xdr:row>121</xdr:row>
      <xdr:rowOff>177978</xdr:rowOff>
    </xdr:from>
    <xdr:to>
      <xdr:col>7</xdr:col>
      <xdr:colOff>1219520</xdr:colOff>
      <xdr:row>136</xdr:row>
      <xdr:rowOff>35859</xdr:rowOff>
    </xdr:to>
    <xdr:graphicFrame macro="">
      <xdr:nvGraphicFramePr>
        <xdr:cNvPr id="224" name="Chart 223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154995</xdr:colOff>
      <xdr:row>122</xdr:row>
      <xdr:rowOff>7281</xdr:rowOff>
    </xdr:from>
    <xdr:to>
      <xdr:col>15</xdr:col>
      <xdr:colOff>884673</xdr:colOff>
      <xdr:row>136</xdr:row>
      <xdr:rowOff>90044</xdr:rowOff>
    </xdr:to>
    <xdr:graphicFrame macro="">
      <xdr:nvGraphicFramePr>
        <xdr:cNvPr id="225" name="Chart 224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15</xdr:col>
      <xdr:colOff>888977</xdr:colOff>
      <xdr:row>122</xdr:row>
      <xdr:rowOff>7281</xdr:rowOff>
    </xdr:from>
    <xdr:to>
      <xdr:col>20</xdr:col>
      <xdr:colOff>614611</xdr:colOff>
      <xdr:row>136</xdr:row>
      <xdr:rowOff>90044</xdr:rowOff>
    </xdr:to>
    <xdr:graphicFrame macro="">
      <xdr:nvGraphicFramePr>
        <xdr:cNvPr id="226" name="Chart 225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20</xdr:col>
      <xdr:colOff>831707</xdr:colOff>
      <xdr:row>122</xdr:row>
      <xdr:rowOff>7281</xdr:rowOff>
    </xdr:from>
    <xdr:to>
      <xdr:col>25</xdr:col>
      <xdr:colOff>350053</xdr:colOff>
      <xdr:row>136</xdr:row>
      <xdr:rowOff>90044</xdr:rowOff>
    </xdr:to>
    <xdr:graphicFrame macro="">
      <xdr:nvGraphicFramePr>
        <xdr:cNvPr id="227" name="Chart 226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30</xdr:col>
      <xdr:colOff>339067</xdr:colOff>
      <xdr:row>122</xdr:row>
      <xdr:rowOff>7281</xdr:rowOff>
    </xdr:from>
    <xdr:to>
      <xdr:col>36</xdr:col>
      <xdr:colOff>315191</xdr:colOff>
      <xdr:row>136</xdr:row>
      <xdr:rowOff>75588</xdr:rowOff>
    </xdr:to>
    <xdr:graphicFrame macro="">
      <xdr:nvGraphicFramePr>
        <xdr:cNvPr id="228" name="Chart 227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25</xdr:col>
      <xdr:colOff>354358</xdr:colOff>
      <xdr:row>122</xdr:row>
      <xdr:rowOff>2968</xdr:rowOff>
    </xdr:from>
    <xdr:to>
      <xdr:col>30</xdr:col>
      <xdr:colOff>236394</xdr:colOff>
      <xdr:row>136</xdr:row>
      <xdr:rowOff>79911</xdr:rowOff>
    </xdr:to>
    <xdr:graphicFrame macro="">
      <xdr:nvGraphicFramePr>
        <xdr:cNvPr id="229" name="Chart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266700</xdr:colOff>
      <xdr:row>122</xdr:row>
      <xdr:rowOff>0</xdr:rowOff>
    </xdr:from>
    <xdr:to>
      <xdr:col>4</xdr:col>
      <xdr:colOff>38420</xdr:colOff>
      <xdr:row>136</xdr:row>
      <xdr:rowOff>48381</xdr:rowOff>
    </xdr:to>
    <xdr:graphicFrame macro="">
      <xdr:nvGraphicFramePr>
        <xdr:cNvPr id="247" name="Chart 246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</xdr:col>
      <xdr:colOff>1143000</xdr:colOff>
      <xdr:row>122</xdr:row>
      <xdr:rowOff>34637</xdr:rowOff>
    </xdr:from>
    <xdr:to>
      <xdr:col>12</xdr:col>
      <xdr:colOff>152719</xdr:colOff>
      <xdr:row>136</xdr:row>
      <xdr:rowOff>83018</xdr:rowOff>
    </xdr:to>
    <xdr:graphicFrame macro="">
      <xdr:nvGraphicFramePr>
        <xdr:cNvPr id="248" name="Chart 247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78</xdr:col>
      <xdr:colOff>234766</xdr:colOff>
      <xdr:row>149</xdr:row>
      <xdr:rowOff>92233</xdr:rowOff>
    </xdr:from>
    <xdr:to>
      <xdr:col>81</xdr:col>
      <xdr:colOff>484231</xdr:colOff>
      <xdr:row>159</xdr:row>
      <xdr:rowOff>65016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100-0000F9000000}"/>
            </a:ext>
          </a:extLst>
        </xdr:cNvPr>
        <xdr:cNvGrpSpPr/>
      </xdr:nvGrpSpPr>
      <xdr:grpSpPr>
        <a:xfrm rot="16200000">
          <a:off x="70916315" y="28904601"/>
          <a:ext cx="1898949" cy="2292048"/>
          <a:chOff x="1777183" y="5599438"/>
          <a:chExt cx="1834782" cy="1828800"/>
        </a:xfrm>
      </xdr:grpSpPr>
      <xdr:grpSp>
        <xdr:nvGrpSpPr>
          <xdr:cNvPr id="250" name="Group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252" name="Oval 251">
              <a:extLst>
                <a:ext uri="{FF2B5EF4-FFF2-40B4-BE49-F238E27FC236}">
                  <a16:creationId xmlns:a16="http://schemas.microsoft.com/office/drawing/2014/main" id="{00000000-0008-0000-0100-0000FC00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53" name="Straight Connector 252">
              <a:extLst>
                <a:ext uri="{FF2B5EF4-FFF2-40B4-BE49-F238E27FC236}">
                  <a16:creationId xmlns:a16="http://schemas.microsoft.com/office/drawing/2014/main" id="{00000000-0008-0000-0100-0000FD000000}"/>
                </a:ext>
              </a:extLst>
            </xdr:cNvPr>
            <xdr:cNvCxnSpPr>
              <a:stCxn id="252" idx="3"/>
              <a:endCxn id="252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4" name="Straight Connector 253">
              <a:extLst>
                <a:ext uri="{FF2B5EF4-FFF2-40B4-BE49-F238E27FC236}">
                  <a16:creationId xmlns:a16="http://schemas.microsoft.com/office/drawing/2014/main" id="{00000000-0008-0000-0100-0000FE00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5" name="Straight Connector 254">
              <a:extLst>
                <a:ext uri="{FF2B5EF4-FFF2-40B4-BE49-F238E27FC236}">
                  <a16:creationId xmlns:a16="http://schemas.microsoft.com/office/drawing/2014/main" id="{00000000-0008-0000-0100-0000FF00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6" name="TextBox 255">
              <a:extLst>
                <a:ext uri="{FF2B5EF4-FFF2-40B4-BE49-F238E27FC236}">
                  <a16:creationId xmlns:a16="http://schemas.microsoft.com/office/drawing/2014/main" id="{00000000-0008-0000-0100-00000001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257" name="TextBox 256">
              <a:extLst>
                <a:ext uri="{FF2B5EF4-FFF2-40B4-BE49-F238E27FC236}">
                  <a16:creationId xmlns:a16="http://schemas.microsoft.com/office/drawing/2014/main" id="{00000000-0008-0000-0100-00000101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258" name="TextBox 257">
              <a:extLst>
                <a:ext uri="{FF2B5EF4-FFF2-40B4-BE49-F238E27FC236}">
                  <a16:creationId xmlns:a16="http://schemas.microsoft.com/office/drawing/2014/main" id="{00000000-0008-0000-0100-00000201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259" name="TextBox 258">
              <a:extLst>
                <a:ext uri="{FF2B5EF4-FFF2-40B4-BE49-F238E27FC236}">
                  <a16:creationId xmlns:a16="http://schemas.microsoft.com/office/drawing/2014/main" id="{00000000-0008-0000-0100-00000301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260" name="TextBox 259">
              <a:extLst>
                <a:ext uri="{FF2B5EF4-FFF2-40B4-BE49-F238E27FC236}">
                  <a16:creationId xmlns:a16="http://schemas.microsoft.com/office/drawing/2014/main" id="{00000000-0008-0000-0100-00000401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261" name="Straight Arrow Connector 260">
              <a:extLst>
                <a:ext uri="{FF2B5EF4-FFF2-40B4-BE49-F238E27FC236}">
                  <a16:creationId xmlns:a16="http://schemas.microsoft.com/office/drawing/2014/main" id="{00000000-0008-0000-0100-00000501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2" name="TextBox 261">
              <a:extLst>
                <a:ext uri="{FF2B5EF4-FFF2-40B4-BE49-F238E27FC236}">
                  <a16:creationId xmlns:a16="http://schemas.microsoft.com/office/drawing/2014/main" id="{00000000-0008-0000-0100-00000601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263" name="TextBox 262">
              <a:extLst>
                <a:ext uri="{FF2B5EF4-FFF2-40B4-BE49-F238E27FC236}">
                  <a16:creationId xmlns:a16="http://schemas.microsoft.com/office/drawing/2014/main" id="{00000000-0008-0000-0100-00000701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264" name="TextBox 263">
              <a:extLst>
                <a:ext uri="{FF2B5EF4-FFF2-40B4-BE49-F238E27FC236}">
                  <a16:creationId xmlns:a16="http://schemas.microsoft.com/office/drawing/2014/main" id="{00000000-0008-0000-0100-000008010000}"/>
                </a:ext>
              </a:extLst>
            </xdr:cNvPr>
            <xdr:cNvSpPr txBox="1"/>
          </xdr:nvSpPr>
          <xdr:spPr>
            <a:xfrm rot="5400000">
              <a:off x="521861" y="6234981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265" name="Straight Connector 264">
              <a:extLst>
                <a:ext uri="{FF2B5EF4-FFF2-40B4-BE49-F238E27FC236}">
                  <a16:creationId xmlns:a16="http://schemas.microsoft.com/office/drawing/2014/main" id="{00000000-0008-0000-0100-000009010000}"/>
                </a:ext>
              </a:extLst>
            </xdr:cNvPr>
            <xdr:cNvCxnSpPr>
              <a:stCxn id="252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51" name="Straight Connector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CxnSpPr>
            <a:stCxn id="252" idx="6"/>
            <a:endCxn id="252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1028700</xdr:colOff>
      <xdr:row>166</xdr:row>
      <xdr:rowOff>177978</xdr:rowOff>
    </xdr:from>
    <xdr:to>
      <xdr:col>7</xdr:col>
      <xdr:colOff>1219520</xdr:colOff>
      <xdr:row>181</xdr:row>
      <xdr:rowOff>35859</xdr:rowOff>
    </xdr:to>
    <xdr:graphicFrame macro="">
      <xdr:nvGraphicFramePr>
        <xdr:cNvPr id="283" name="Chart 282">
          <a:extLst>
            <a:ext uri="{FF2B5EF4-FFF2-40B4-BE49-F238E27FC236}">
              <a16:creationId xmlns:a16="http://schemas.microsoft.com/office/drawing/2014/main" id="{00000000-0008-0000-0100-00001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12</xdr:col>
      <xdr:colOff>154995</xdr:colOff>
      <xdr:row>167</xdr:row>
      <xdr:rowOff>7281</xdr:rowOff>
    </xdr:from>
    <xdr:to>
      <xdr:col>15</xdr:col>
      <xdr:colOff>884673</xdr:colOff>
      <xdr:row>181</xdr:row>
      <xdr:rowOff>90044</xdr:rowOff>
    </xdr:to>
    <xdr:graphicFrame macro="">
      <xdr:nvGraphicFramePr>
        <xdr:cNvPr id="284" name="Chart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15</xdr:col>
      <xdr:colOff>888977</xdr:colOff>
      <xdr:row>167</xdr:row>
      <xdr:rowOff>7281</xdr:rowOff>
    </xdr:from>
    <xdr:to>
      <xdr:col>20</xdr:col>
      <xdr:colOff>614611</xdr:colOff>
      <xdr:row>181</xdr:row>
      <xdr:rowOff>90044</xdr:rowOff>
    </xdr:to>
    <xdr:graphicFrame macro="">
      <xdr:nvGraphicFramePr>
        <xdr:cNvPr id="285" name="Chart 284">
          <a:extLst>
            <a:ext uri="{FF2B5EF4-FFF2-40B4-BE49-F238E27FC236}">
              <a16:creationId xmlns:a16="http://schemas.microsoft.com/office/drawing/2014/main" id="{00000000-0008-0000-0100-00001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20</xdr:col>
      <xdr:colOff>831707</xdr:colOff>
      <xdr:row>167</xdr:row>
      <xdr:rowOff>7281</xdr:rowOff>
    </xdr:from>
    <xdr:to>
      <xdr:col>25</xdr:col>
      <xdr:colOff>350053</xdr:colOff>
      <xdr:row>181</xdr:row>
      <xdr:rowOff>90044</xdr:rowOff>
    </xdr:to>
    <xdr:graphicFrame macro="">
      <xdr:nvGraphicFramePr>
        <xdr:cNvPr id="286" name="Chart 285">
          <a:extLst>
            <a:ext uri="{FF2B5EF4-FFF2-40B4-BE49-F238E27FC236}">
              <a16:creationId xmlns:a16="http://schemas.microsoft.com/office/drawing/2014/main" id="{00000000-0008-0000-0100-00001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30</xdr:col>
      <xdr:colOff>339067</xdr:colOff>
      <xdr:row>167</xdr:row>
      <xdr:rowOff>7281</xdr:rowOff>
    </xdr:from>
    <xdr:to>
      <xdr:col>36</xdr:col>
      <xdr:colOff>315191</xdr:colOff>
      <xdr:row>181</xdr:row>
      <xdr:rowOff>75588</xdr:rowOff>
    </xdr:to>
    <xdr:graphicFrame macro="">
      <xdr:nvGraphicFramePr>
        <xdr:cNvPr id="287" name="Chart 286">
          <a:extLst>
            <a:ext uri="{FF2B5EF4-FFF2-40B4-BE49-F238E27FC236}">
              <a16:creationId xmlns:a16="http://schemas.microsoft.com/office/drawing/2014/main" id="{00000000-0008-0000-0100-00001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25</xdr:col>
      <xdr:colOff>354358</xdr:colOff>
      <xdr:row>167</xdr:row>
      <xdr:rowOff>2969</xdr:rowOff>
    </xdr:from>
    <xdr:to>
      <xdr:col>30</xdr:col>
      <xdr:colOff>236394</xdr:colOff>
      <xdr:row>181</xdr:row>
      <xdr:rowOff>79911</xdr:rowOff>
    </xdr:to>
    <xdr:graphicFrame macro="">
      <xdr:nvGraphicFramePr>
        <xdr:cNvPr id="288" name="Chart 287">
          <a:extLst>
            <a:ext uri="{FF2B5EF4-FFF2-40B4-BE49-F238E27FC236}">
              <a16:creationId xmlns:a16="http://schemas.microsoft.com/office/drawing/2014/main" id="{00000000-0008-0000-0100-00002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266700</xdr:colOff>
      <xdr:row>167</xdr:row>
      <xdr:rowOff>0</xdr:rowOff>
    </xdr:from>
    <xdr:to>
      <xdr:col>4</xdr:col>
      <xdr:colOff>38420</xdr:colOff>
      <xdr:row>181</xdr:row>
      <xdr:rowOff>48381</xdr:rowOff>
    </xdr:to>
    <xdr:graphicFrame macro="">
      <xdr:nvGraphicFramePr>
        <xdr:cNvPr id="289" name="Chart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</xdr:col>
      <xdr:colOff>1143000</xdr:colOff>
      <xdr:row>167</xdr:row>
      <xdr:rowOff>34637</xdr:rowOff>
    </xdr:from>
    <xdr:to>
      <xdr:col>12</xdr:col>
      <xdr:colOff>152719</xdr:colOff>
      <xdr:row>181</xdr:row>
      <xdr:rowOff>83018</xdr:rowOff>
    </xdr:to>
    <xdr:graphicFrame macro="">
      <xdr:nvGraphicFramePr>
        <xdr:cNvPr id="290" name="Chart 289">
          <a:extLst>
            <a:ext uri="{FF2B5EF4-FFF2-40B4-BE49-F238E27FC236}">
              <a16:creationId xmlns:a16="http://schemas.microsoft.com/office/drawing/2014/main" id="{00000000-0008-0000-0100-00002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78</xdr:col>
      <xdr:colOff>268756</xdr:colOff>
      <xdr:row>196</xdr:row>
      <xdr:rowOff>152711</xdr:rowOff>
    </xdr:from>
    <xdr:to>
      <xdr:col>81</xdr:col>
      <xdr:colOff>507637</xdr:colOff>
      <xdr:row>206</xdr:row>
      <xdr:rowOff>141373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100-000023010000}"/>
            </a:ext>
          </a:extLst>
        </xdr:cNvPr>
        <xdr:cNvGrpSpPr/>
      </xdr:nvGrpSpPr>
      <xdr:grpSpPr>
        <a:xfrm rot="16200000">
          <a:off x="70937073" y="38079977"/>
          <a:ext cx="1914829" cy="2281464"/>
          <a:chOff x="1777183" y="5599438"/>
          <a:chExt cx="1834782" cy="1828800"/>
        </a:xfrm>
      </xdr:grpSpPr>
      <xdr:grpSp>
        <xdr:nvGrpSpPr>
          <xdr:cNvPr id="292" name="Group 291">
            <a:extLst>
              <a:ext uri="{FF2B5EF4-FFF2-40B4-BE49-F238E27FC236}">
                <a16:creationId xmlns:a16="http://schemas.microsoft.com/office/drawing/2014/main" id="{00000000-0008-0000-0100-00002401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294" name="Oval 293">
              <a:extLst>
                <a:ext uri="{FF2B5EF4-FFF2-40B4-BE49-F238E27FC236}">
                  <a16:creationId xmlns:a16="http://schemas.microsoft.com/office/drawing/2014/main" id="{00000000-0008-0000-0100-00002601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95" name="Straight Connector 294">
              <a:extLst>
                <a:ext uri="{FF2B5EF4-FFF2-40B4-BE49-F238E27FC236}">
                  <a16:creationId xmlns:a16="http://schemas.microsoft.com/office/drawing/2014/main" id="{00000000-0008-0000-0100-000027010000}"/>
                </a:ext>
              </a:extLst>
            </xdr:cNvPr>
            <xdr:cNvCxnSpPr>
              <a:stCxn id="294" idx="3"/>
              <a:endCxn id="294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6" name="Straight Connector 295">
              <a:extLst>
                <a:ext uri="{FF2B5EF4-FFF2-40B4-BE49-F238E27FC236}">
                  <a16:creationId xmlns:a16="http://schemas.microsoft.com/office/drawing/2014/main" id="{00000000-0008-0000-0100-00002801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100-00002901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98" name="TextBox 297">
              <a:extLst>
                <a:ext uri="{FF2B5EF4-FFF2-40B4-BE49-F238E27FC236}">
                  <a16:creationId xmlns:a16="http://schemas.microsoft.com/office/drawing/2014/main" id="{00000000-0008-0000-0100-00002A01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299" name="TextBox 298">
              <a:extLst>
                <a:ext uri="{FF2B5EF4-FFF2-40B4-BE49-F238E27FC236}">
                  <a16:creationId xmlns:a16="http://schemas.microsoft.com/office/drawing/2014/main" id="{00000000-0008-0000-0100-00002B01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300" name="TextBox 299">
              <a:extLst>
                <a:ext uri="{FF2B5EF4-FFF2-40B4-BE49-F238E27FC236}">
                  <a16:creationId xmlns:a16="http://schemas.microsoft.com/office/drawing/2014/main" id="{00000000-0008-0000-0100-00002C01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301" name="TextBox 300">
              <a:extLst>
                <a:ext uri="{FF2B5EF4-FFF2-40B4-BE49-F238E27FC236}">
                  <a16:creationId xmlns:a16="http://schemas.microsoft.com/office/drawing/2014/main" id="{00000000-0008-0000-0100-00002D01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302" name="TextBox 301">
              <a:extLst>
                <a:ext uri="{FF2B5EF4-FFF2-40B4-BE49-F238E27FC236}">
                  <a16:creationId xmlns:a16="http://schemas.microsoft.com/office/drawing/2014/main" id="{00000000-0008-0000-0100-00002E01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303" name="Straight Arrow Connector 302">
              <a:extLst>
                <a:ext uri="{FF2B5EF4-FFF2-40B4-BE49-F238E27FC236}">
                  <a16:creationId xmlns:a16="http://schemas.microsoft.com/office/drawing/2014/main" id="{00000000-0008-0000-0100-00002F01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04" name="TextBox 303">
              <a:extLst>
                <a:ext uri="{FF2B5EF4-FFF2-40B4-BE49-F238E27FC236}">
                  <a16:creationId xmlns:a16="http://schemas.microsoft.com/office/drawing/2014/main" id="{00000000-0008-0000-0100-00003001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305" name="TextBox 304">
              <a:extLst>
                <a:ext uri="{FF2B5EF4-FFF2-40B4-BE49-F238E27FC236}">
                  <a16:creationId xmlns:a16="http://schemas.microsoft.com/office/drawing/2014/main" id="{00000000-0008-0000-0100-00003101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306" name="TextBox 305">
              <a:extLst>
                <a:ext uri="{FF2B5EF4-FFF2-40B4-BE49-F238E27FC236}">
                  <a16:creationId xmlns:a16="http://schemas.microsoft.com/office/drawing/2014/main" id="{00000000-0008-0000-0100-000032010000}"/>
                </a:ext>
              </a:extLst>
            </xdr:cNvPr>
            <xdr:cNvSpPr txBox="1"/>
          </xdr:nvSpPr>
          <xdr:spPr>
            <a:xfrm rot="5400000">
              <a:off x="743814" y="6008534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307" name="Straight Connector 306">
              <a:extLst>
                <a:ext uri="{FF2B5EF4-FFF2-40B4-BE49-F238E27FC236}">
                  <a16:creationId xmlns:a16="http://schemas.microsoft.com/office/drawing/2014/main" id="{00000000-0008-0000-0100-000033010000}"/>
                </a:ext>
              </a:extLst>
            </xdr:cNvPr>
            <xdr:cNvCxnSpPr>
              <a:stCxn id="294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93" name="Straight Connector 292">
            <a:extLst>
              <a:ext uri="{FF2B5EF4-FFF2-40B4-BE49-F238E27FC236}">
                <a16:creationId xmlns:a16="http://schemas.microsoft.com/office/drawing/2014/main" id="{00000000-0008-0000-0100-000025010000}"/>
              </a:ext>
            </a:extLst>
          </xdr:cNvPr>
          <xdr:cNvCxnSpPr>
            <a:stCxn id="294" idx="6"/>
            <a:endCxn id="294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1028700</xdr:colOff>
      <xdr:row>213</xdr:row>
      <xdr:rowOff>177978</xdr:rowOff>
    </xdr:from>
    <xdr:to>
      <xdr:col>7</xdr:col>
      <xdr:colOff>1219520</xdr:colOff>
      <xdr:row>228</xdr:row>
      <xdr:rowOff>35859</xdr:rowOff>
    </xdr:to>
    <xdr:graphicFrame macro="">
      <xdr:nvGraphicFramePr>
        <xdr:cNvPr id="325" name="Chart 324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12</xdr:col>
      <xdr:colOff>154995</xdr:colOff>
      <xdr:row>214</xdr:row>
      <xdr:rowOff>7281</xdr:rowOff>
    </xdr:from>
    <xdr:to>
      <xdr:col>15</xdr:col>
      <xdr:colOff>884673</xdr:colOff>
      <xdr:row>228</xdr:row>
      <xdr:rowOff>90044</xdr:rowOff>
    </xdr:to>
    <xdr:graphicFrame macro="">
      <xdr:nvGraphicFramePr>
        <xdr:cNvPr id="326" name="Chart 325">
          <a:extLst>
            <a:ext uri="{FF2B5EF4-FFF2-40B4-BE49-F238E27FC236}">
              <a16:creationId xmlns:a16="http://schemas.microsoft.com/office/drawing/2014/main" id="{00000000-0008-0000-0100-00004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15</xdr:col>
      <xdr:colOff>888977</xdr:colOff>
      <xdr:row>214</xdr:row>
      <xdr:rowOff>7281</xdr:rowOff>
    </xdr:from>
    <xdr:to>
      <xdr:col>20</xdr:col>
      <xdr:colOff>614611</xdr:colOff>
      <xdr:row>228</xdr:row>
      <xdr:rowOff>90044</xdr:rowOff>
    </xdr:to>
    <xdr:graphicFrame macro="">
      <xdr:nvGraphicFramePr>
        <xdr:cNvPr id="327" name="Chart 326">
          <a:extLst>
            <a:ext uri="{FF2B5EF4-FFF2-40B4-BE49-F238E27FC236}">
              <a16:creationId xmlns:a16="http://schemas.microsoft.com/office/drawing/2014/main" id="{00000000-0008-0000-0100-00004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20</xdr:col>
      <xdr:colOff>831707</xdr:colOff>
      <xdr:row>214</xdr:row>
      <xdr:rowOff>7281</xdr:rowOff>
    </xdr:from>
    <xdr:to>
      <xdr:col>25</xdr:col>
      <xdr:colOff>350053</xdr:colOff>
      <xdr:row>228</xdr:row>
      <xdr:rowOff>90044</xdr:rowOff>
    </xdr:to>
    <xdr:graphicFrame macro="">
      <xdr:nvGraphicFramePr>
        <xdr:cNvPr id="328" name="Chart 327">
          <a:extLs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30</xdr:col>
      <xdr:colOff>339067</xdr:colOff>
      <xdr:row>214</xdr:row>
      <xdr:rowOff>7281</xdr:rowOff>
    </xdr:from>
    <xdr:to>
      <xdr:col>36</xdr:col>
      <xdr:colOff>315191</xdr:colOff>
      <xdr:row>228</xdr:row>
      <xdr:rowOff>75588</xdr:rowOff>
    </xdr:to>
    <xdr:graphicFrame macro="">
      <xdr:nvGraphicFramePr>
        <xdr:cNvPr id="329" name="Chart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25</xdr:col>
      <xdr:colOff>354358</xdr:colOff>
      <xdr:row>214</xdr:row>
      <xdr:rowOff>2968</xdr:rowOff>
    </xdr:from>
    <xdr:to>
      <xdr:col>30</xdr:col>
      <xdr:colOff>236394</xdr:colOff>
      <xdr:row>228</xdr:row>
      <xdr:rowOff>79911</xdr:rowOff>
    </xdr:to>
    <xdr:graphicFrame macro="">
      <xdr:nvGraphicFramePr>
        <xdr:cNvPr id="330" name="Chart 329">
          <a:extLst>
            <a:ext uri="{FF2B5EF4-FFF2-40B4-BE49-F238E27FC236}">
              <a16:creationId xmlns:a16="http://schemas.microsoft.com/office/drawing/2014/main" id="{00000000-0008-0000-0100-00004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266700</xdr:colOff>
      <xdr:row>214</xdr:row>
      <xdr:rowOff>0</xdr:rowOff>
    </xdr:from>
    <xdr:to>
      <xdr:col>4</xdr:col>
      <xdr:colOff>38420</xdr:colOff>
      <xdr:row>228</xdr:row>
      <xdr:rowOff>48381</xdr:rowOff>
    </xdr:to>
    <xdr:graphicFrame macro="">
      <xdr:nvGraphicFramePr>
        <xdr:cNvPr id="331" name="Chart 330">
          <a:extLst>
            <a:ext uri="{FF2B5EF4-FFF2-40B4-BE49-F238E27FC236}">
              <a16:creationId xmlns:a16="http://schemas.microsoft.com/office/drawing/2014/main" id="{00000000-0008-0000-0100-00004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7</xdr:col>
      <xdr:colOff>1143000</xdr:colOff>
      <xdr:row>214</xdr:row>
      <xdr:rowOff>34637</xdr:rowOff>
    </xdr:from>
    <xdr:to>
      <xdr:col>12</xdr:col>
      <xdr:colOff>152719</xdr:colOff>
      <xdr:row>228</xdr:row>
      <xdr:rowOff>83018</xdr:rowOff>
    </xdr:to>
    <xdr:graphicFrame macro="">
      <xdr:nvGraphicFramePr>
        <xdr:cNvPr id="332" name="Chart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97</xdr:col>
      <xdr:colOff>1028700</xdr:colOff>
      <xdr:row>74</xdr:row>
      <xdr:rowOff>177978</xdr:rowOff>
    </xdr:from>
    <xdr:to>
      <xdr:col>102</xdr:col>
      <xdr:colOff>320</xdr:colOff>
      <xdr:row>89</xdr:row>
      <xdr:rowOff>35859</xdr:rowOff>
    </xdr:to>
    <xdr:graphicFrame macro="">
      <xdr:nvGraphicFramePr>
        <xdr:cNvPr id="129" name="Chart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106</xdr:col>
      <xdr:colOff>154995</xdr:colOff>
      <xdr:row>75</xdr:row>
      <xdr:rowOff>7281</xdr:rowOff>
    </xdr:from>
    <xdr:to>
      <xdr:col>109</xdr:col>
      <xdr:colOff>884673</xdr:colOff>
      <xdr:row>89</xdr:row>
      <xdr:rowOff>90044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109</xdr:col>
      <xdr:colOff>888977</xdr:colOff>
      <xdr:row>75</xdr:row>
      <xdr:rowOff>7281</xdr:rowOff>
    </xdr:from>
    <xdr:to>
      <xdr:col>114</xdr:col>
      <xdr:colOff>614611</xdr:colOff>
      <xdr:row>89</xdr:row>
      <xdr:rowOff>90044</xdr:rowOff>
    </xdr:to>
    <xdr:graphicFrame macro="">
      <xdr:nvGraphicFramePr>
        <xdr:cNvPr id="131" name="Chart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114</xdr:col>
      <xdr:colOff>831707</xdr:colOff>
      <xdr:row>75</xdr:row>
      <xdr:rowOff>7281</xdr:rowOff>
    </xdr:from>
    <xdr:to>
      <xdr:col>119</xdr:col>
      <xdr:colOff>350053</xdr:colOff>
      <xdr:row>89</xdr:row>
      <xdr:rowOff>90044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124</xdr:col>
      <xdr:colOff>339067</xdr:colOff>
      <xdr:row>75</xdr:row>
      <xdr:rowOff>7281</xdr:rowOff>
    </xdr:from>
    <xdr:to>
      <xdr:col>130</xdr:col>
      <xdr:colOff>315191</xdr:colOff>
      <xdr:row>89</xdr:row>
      <xdr:rowOff>75588</xdr:rowOff>
    </xdr:to>
    <xdr:graphicFrame macro="">
      <xdr:nvGraphicFramePr>
        <xdr:cNvPr id="133" name="Chart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119</xdr:col>
      <xdr:colOff>354358</xdr:colOff>
      <xdr:row>75</xdr:row>
      <xdr:rowOff>2968</xdr:rowOff>
    </xdr:from>
    <xdr:to>
      <xdr:col>124</xdr:col>
      <xdr:colOff>236394</xdr:colOff>
      <xdr:row>89</xdr:row>
      <xdr:rowOff>79911</xdr:rowOff>
    </xdr:to>
    <xdr:graphicFrame macro="">
      <xdr:nvGraphicFramePr>
        <xdr:cNvPr id="134" name="Chart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94</xdr:col>
      <xdr:colOff>266700</xdr:colOff>
      <xdr:row>75</xdr:row>
      <xdr:rowOff>0</xdr:rowOff>
    </xdr:from>
    <xdr:to>
      <xdr:col>98</xdr:col>
      <xdr:colOff>38420</xdr:colOff>
      <xdr:row>89</xdr:row>
      <xdr:rowOff>48381</xdr:rowOff>
    </xdr:to>
    <xdr:graphicFrame macro="">
      <xdr:nvGraphicFramePr>
        <xdr:cNvPr id="171" name="Chart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102</xdr:col>
      <xdr:colOff>0</xdr:colOff>
      <xdr:row>75</xdr:row>
      <xdr:rowOff>34637</xdr:rowOff>
    </xdr:from>
    <xdr:to>
      <xdr:col>106</xdr:col>
      <xdr:colOff>152719</xdr:colOff>
      <xdr:row>89</xdr:row>
      <xdr:rowOff>83018</xdr:rowOff>
    </xdr:to>
    <xdr:graphicFrame macro="">
      <xdr:nvGraphicFramePr>
        <xdr:cNvPr id="172" name="Chart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97</xdr:col>
      <xdr:colOff>1028700</xdr:colOff>
      <xdr:row>121</xdr:row>
      <xdr:rowOff>177978</xdr:rowOff>
    </xdr:from>
    <xdr:to>
      <xdr:col>102</xdr:col>
      <xdr:colOff>320</xdr:colOff>
      <xdr:row>136</xdr:row>
      <xdr:rowOff>35859</xdr:rowOff>
    </xdr:to>
    <xdr:graphicFrame macro="">
      <xdr:nvGraphicFramePr>
        <xdr:cNvPr id="190" name="Chart 189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106</xdr:col>
      <xdr:colOff>154995</xdr:colOff>
      <xdr:row>122</xdr:row>
      <xdr:rowOff>7281</xdr:rowOff>
    </xdr:from>
    <xdr:to>
      <xdr:col>109</xdr:col>
      <xdr:colOff>884673</xdr:colOff>
      <xdr:row>136</xdr:row>
      <xdr:rowOff>90044</xdr:rowOff>
    </xdr:to>
    <xdr:graphicFrame macro="">
      <xdr:nvGraphicFramePr>
        <xdr:cNvPr id="191" name="Chart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109</xdr:col>
      <xdr:colOff>888977</xdr:colOff>
      <xdr:row>122</xdr:row>
      <xdr:rowOff>7281</xdr:rowOff>
    </xdr:from>
    <xdr:to>
      <xdr:col>114</xdr:col>
      <xdr:colOff>614611</xdr:colOff>
      <xdr:row>136</xdr:row>
      <xdr:rowOff>90044</xdr:rowOff>
    </xdr:to>
    <xdr:graphicFrame macro="">
      <xdr:nvGraphicFramePr>
        <xdr:cNvPr id="192" name="Chart 191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114</xdr:col>
      <xdr:colOff>831707</xdr:colOff>
      <xdr:row>122</xdr:row>
      <xdr:rowOff>7281</xdr:rowOff>
    </xdr:from>
    <xdr:to>
      <xdr:col>119</xdr:col>
      <xdr:colOff>350053</xdr:colOff>
      <xdr:row>136</xdr:row>
      <xdr:rowOff>90044</xdr:rowOff>
    </xdr:to>
    <xdr:graphicFrame macro="">
      <xdr:nvGraphicFramePr>
        <xdr:cNvPr id="193" name="Chart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124</xdr:col>
      <xdr:colOff>339067</xdr:colOff>
      <xdr:row>122</xdr:row>
      <xdr:rowOff>7281</xdr:rowOff>
    </xdr:from>
    <xdr:to>
      <xdr:col>130</xdr:col>
      <xdr:colOff>315191</xdr:colOff>
      <xdr:row>136</xdr:row>
      <xdr:rowOff>75588</xdr:rowOff>
    </xdr:to>
    <xdr:graphicFrame macro="">
      <xdr:nvGraphicFramePr>
        <xdr:cNvPr id="194" name="Chart 193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119</xdr:col>
      <xdr:colOff>354358</xdr:colOff>
      <xdr:row>122</xdr:row>
      <xdr:rowOff>2968</xdr:rowOff>
    </xdr:from>
    <xdr:to>
      <xdr:col>124</xdr:col>
      <xdr:colOff>236394</xdr:colOff>
      <xdr:row>136</xdr:row>
      <xdr:rowOff>79911</xdr:rowOff>
    </xdr:to>
    <xdr:graphicFrame macro="">
      <xdr:nvGraphicFramePr>
        <xdr:cNvPr id="195" name="Chart 194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94</xdr:col>
      <xdr:colOff>266700</xdr:colOff>
      <xdr:row>122</xdr:row>
      <xdr:rowOff>0</xdr:rowOff>
    </xdr:from>
    <xdr:to>
      <xdr:col>98</xdr:col>
      <xdr:colOff>38420</xdr:colOff>
      <xdr:row>136</xdr:row>
      <xdr:rowOff>48381</xdr:rowOff>
    </xdr:to>
    <xdr:graphicFrame macro="">
      <xdr:nvGraphicFramePr>
        <xdr:cNvPr id="196" name="Chart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102</xdr:col>
      <xdr:colOff>0</xdr:colOff>
      <xdr:row>122</xdr:row>
      <xdr:rowOff>34637</xdr:rowOff>
    </xdr:from>
    <xdr:to>
      <xdr:col>106</xdr:col>
      <xdr:colOff>152719</xdr:colOff>
      <xdr:row>136</xdr:row>
      <xdr:rowOff>83018</xdr:rowOff>
    </xdr:to>
    <xdr:graphicFrame macro="">
      <xdr:nvGraphicFramePr>
        <xdr:cNvPr id="197" name="Chart 196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97</xdr:col>
      <xdr:colOff>1028700</xdr:colOff>
      <xdr:row>166</xdr:row>
      <xdr:rowOff>177978</xdr:rowOff>
    </xdr:from>
    <xdr:to>
      <xdr:col>102</xdr:col>
      <xdr:colOff>320</xdr:colOff>
      <xdr:row>181</xdr:row>
      <xdr:rowOff>35859</xdr:rowOff>
    </xdr:to>
    <xdr:graphicFrame macro="">
      <xdr:nvGraphicFramePr>
        <xdr:cNvPr id="238" name="Chart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106</xdr:col>
      <xdr:colOff>154995</xdr:colOff>
      <xdr:row>167</xdr:row>
      <xdr:rowOff>7281</xdr:rowOff>
    </xdr:from>
    <xdr:to>
      <xdr:col>109</xdr:col>
      <xdr:colOff>884673</xdr:colOff>
      <xdr:row>181</xdr:row>
      <xdr:rowOff>90044</xdr:rowOff>
    </xdr:to>
    <xdr:graphicFrame macro="">
      <xdr:nvGraphicFramePr>
        <xdr:cNvPr id="239" name="Chart 238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109</xdr:col>
      <xdr:colOff>888977</xdr:colOff>
      <xdr:row>167</xdr:row>
      <xdr:rowOff>7281</xdr:rowOff>
    </xdr:from>
    <xdr:to>
      <xdr:col>114</xdr:col>
      <xdr:colOff>614611</xdr:colOff>
      <xdr:row>181</xdr:row>
      <xdr:rowOff>90044</xdr:rowOff>
    </xdr:to>
    <xdr:graphicFrame macro="">
      <xdr:nvGraphicFramePr>
        <xdr:cNvPr id="240" name="Chart 239">
          <a:extLst>
            <a:ext uri="{FF2B5EF4-FFF2-40B4-BE49-F238E27FC236}">
              <a16:creationId xmlns:a16="http://schemas.microsoft.com/office/drawing/2014/main" id="{00000000-0008-0000-0100-0000F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114</xdr:col>
      <xdr:colOff>831707</xdr:colOff>
      <xdr:row>167</xdr:row>
      <xdr:rowOff>7281</xdr:rowOff>
    </xdr:from>
    <xdr:to>
      <xdr:col>119</xdr:col>
      <xdr:colOff>350053</xdr:colOff>
      <xdr:row>181</xdr:row>
      <xdr:rowOff>90044</xdr:rowOff>
    </xdr:to>
    <xdr:graphicFrame macro="">
      <xdr:nvGraphicFramePr>
        <xdr:cNvPr id="241" name="Chart 240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124</xdr:col>
      <xdr:colOff>339067</xdr:colOff>
      <xdr:row>167</xdr:row>
      <xdr:rowOff>7281</xdr:rowOff>
    </xdr:from>
    <xdr:to>
      <xdr:col>130</xdr:col>
      <xdr:colOff>315191</xdr:colOff>
      <xdr:row>181</xdr:row>
      <xdr:rowOff>75588</xdr:rowOff>
    </xdr:to>
    <xdr:graphicFrame macro="">
      <xdr:nvGraphicFramePr>
        <xdr:cNvPr id="242" name="Chart 241">
          <a:extLs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119</xdr:col>
      <xdr:colOff>354358</xdr:colOff>
      <xdr:row>167</xdr:row>
      <xdr:rowOff>2969</xdr:rowOff>
    </xdr:from>
    <xdr:to>
      <xdr:col>124</xdr:col>
      <xdr:colOff>236394</xdr:colOff>
      <xdr:row>181</xdr:row>
      <xdr:rowOff>79911</xdr:rowOff>
    </xdr:to>
    <xdr:graphicFrame macro="">
      <xdr:nvGraphicFramePr>
        <xdr:cNvPr id="243" name="Chart 242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94</xdr:col>
      <xdr:colOff>266700</xdr:colOff>
      <xdr:row>167</xdr:row>
      <xdr:rowOff>0</xdr:rowOff>
    </xdr:from>
    <xdr:to>
      <xdr:col>98</xdr:col>
      <xdr:colOff>38420</xdr:colOff>
      <xdr:row>181</xdr:row>
      <xdr:rowOff>48381</xdr:rowOff>
    </xdr:to>
    <xdr:graphicFrame macro="">
      <xdr:nvGraphicFramePr>
        <xdr:cNvPr id="244" name="Chart 243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102</xdr:col>
      <xdr:colOff>0</xdr:colOff>
      <xdr:row>167</xdr:row>
      <xdr:rowOff>34637</xdr:rowOff>
    </xdr:from>
    <xdr:to>
      <xdr:col>106</xdr:col>
      <xdr:colOff>152719</xdr:colOff>
      <xdr:row>181</xdr:row>
      <xdr:rowOff>83018</xdr:rowOff>
    </xdr:to>
    <xdr:graphicFrame macro="">
      <xdr:nvGraphicFramePr>
        <xdr:cNvPr id="245" name="Chart 244">
          <a:extLst>
            <a:ext uri="{FF2B5EF4-FFF2-40B4-BE49-F238E27FC236}">
              <a16:creationId xmlns:a16="http://schemas.microsoft.com/office/drawing/2014/main" id="{00000000-0008-0000-0100-0000F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172</xdr:col>
      <xdr:colOff>56700</xdr:colOff>
      <xdr:row>57</xdr:row>
      <xdr:rowOff>3024</xdr:rowOff>
    </xdr:from>
    <xdr:to>
      <xdr:col>175</xdr:col>
      <xdr:colOff>507247</xdr:colOff>
      <xdr:row>68</xdr:row>
      <xdr:rowOff>166309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140613950" y="11189607"/>
          <a:ext cx="2292047" cy="2279952"/>
          <a:chOff x="136409082" y="12169478"/>
          <a:chExt cx="2280369" cy="2271923"/>
        </a:xfrm>
      </xdr:grpSpPr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pSpPr/>
        </xdr:nvGrpSpPr>
        <xdr:grpSpPr>
          <a:xfrm>
            <a:off x="136409082" y="12169478"/>
            <a:ext cx="2280369" cy="2271923"/>
            <a:chOff x="136409082" y="12169478"/>
            <a:chExt cx="2280369" cy="2271923"/>
          </a:xfrm>
        </xdr:grpSpPr>
        <xdr:grpSp>
          <xdr:nvGrpSpPr>
            <xdr:cNvPr id="135" name="Group 134">
              <a:extLst>
                <a:ext uri="{FF2B5EF4-FFF2-40B4-BE49-F238E27FC236}">
                  <a16:creationId xmlns:a16="http://schemas.microsoft.com/office/drawing/2014/main" id="{00000000-0008-0000-0100-000087000000}"/>
                </a:ext>
              </a:extLst>
            </xdr:cNvPr>
            <xdr:cNvGrpSpPr/>
          </xdr:nvGrpSpPr>
          <xdr:grpSpPr>
            <a:xfrm rot="16200000">
              <a:off x="136413305" y="12165255"/>
              <a:ext cx="2271923" cy="2280369"/>
              <a:chOff x="1777183" y="5599438"/>
              <a:chExt cx="1834782" cy="1828800"/>
            </a:xfrm>
          </xdr:grpSpPr>
          <xdr:grpSp>
            <xdr:nvGrpSpPr>
              <xdr:cNvPr id="136" name="Group 135">
                <a:extLst>
                  <a:ext uri="{FF2B5EF4-FFF2-40B4-BE49-F238E27FC236}">
                    <a16:creationId xmlns:a16="http://schemas.microsoft.com/office/drawing/2014/main" id="{00000000-0008-0000-0100-000088000000}"/>
                  </a:ext>
                </a:extLst>
              </xdr:cNvPr>
              <xdr:cNvGrpSpPr/>
            </xdr:nvGrpSpPr>
            <xdr:grpSpPr>
              <a:xfrm>
                <a:off x="1777183" y="5599438"/>
                <a:ext cx="1834782" cy="1828800"/>
                <a:chOff x="235324" y="5580729"/>
                <a:chExt cx="1836404" cy="1828800"/>
              </a:xfrm>
            </xdr:grpSpPr>
            <xdr:sp macro="" textlink="">
              <xdr:nvSpPr>
                <xdr:cNvPr id="138" name="Oval 137">
                  <a:extLst>
                    <a:ext uri="{FF2B5EF4-FFF2-40B4-BE49-F238E27FC236}">
                      <a16:creationId xmlns:a16="http://schemas.microsoft.com/office/drawing/2014/main" id="{00000000-0008-0000-0100-00008A000000}"/>
                    </a:ext>
                  </a:extLst>
                </xdr:cNvPr>
                <xdr:cNvSpPr/>
              </xdr:nvSpPr>
              <xdr:spPr>
                <a:xfrm>
                  <a:off x="235324" y="5580729"/>
                  <a:ext cx="1836404" cy="1828800"/>
                </a:xfrm>
                <a:prstGeom prst="ellipse">
                  <a:avLst/>
                </a:prstGeom>
                <a:solidFill>
                  <a:schemeClr val="bg1"/>
                </a:solidFill>
                <a:ln w="6350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cxnSp macro="">
              <xdr:nvCxnSpPr>
                <xdr:cNvPr id="139" name="Straight Connector 138">
                  <a:extLst>
                    <a:ext uri="{FF2B5EF4-FFF2-40B4-BE49-F238E27FC236}">
                      <a16:creationId xmlns:a16="http://schemas.microsoft.com/office/drawing/2014/main" id="{00000000-0008-0000-0100-00008B000000}"/>
                    </a:ext>
                  </a:extLst>
                </xdr:cNvPr>
                <xdr:cNvCxnSpPr>
                  <a:stCxn id="138" idx="3"/>
                  <a:endCxn id="138" idx="7"/>
                </xdr:cNvCxnSpPr>
              </xdr:nvCxnSpPr>
              <xdr:spPr>
                <a:xfrm flipV="1">
                  <a:off x="503146" y="5848551"/>
                  <a:ext cx="1300760" cy="1293156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0" name="Straight Connector 139">
                  <a:extLst>
                    <a:ext uri="{FF2B5EF4-FFF2-40B4-BE49-F238E27FC236}">
                      <a16:creationId xmlns:a16="http://schemas.microsoft.com/office/drawing/2014/main" id="{00000000-0008-0000-0100-00008C000000}"/>
                    </a:ext>
                  </a:extLst>
                </xdr:cNvPr>
                <xdr:cNvCxnSpPr/>
              </xdr:nvCxnSpPr>
              <xdr:spPr>
                <a:xfrm flipV="1">
                  <a:off x="810626" y="5636759"/>
                  <a:ext cx="720978" cy="1692088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1" name="Straight Connector 140">
                  <a:extLst>
                    <a:ext uri="{FF2B5EF4-FFF2-40B4-BE49-F238E27FC236}">
                      <a16:creationId xmlns:a16="http://schemas.microsoft.com/office/drawing/2014/main" id="{00000000-0008-0000-0100-00008D000000}"/>
                    </a:ext>
                  </a:extLst>
                </xdr:cNvPr>
                <xdr:cNvCxnSpPr/>
              </xdr:nvCxnSpPr>
              <xdr:spPr>
                <a:xfrm flipH="1">
                  <a:off x="291353" y="6163435"/>
                  <a:ext cx="1710898" cy="672353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42" name="TextBox 141">
                  <a:extLst>
                    <a:ext uri="{FF2B5EF4-FFF2-40B4-BE49-F238E27FC236}">
                      <a16:creationId xmlns:a16="http://schemas.microsoft.com/office/drawing/2014/main" id="{00000000-0008-0000-0100-00008E000000}"/>
                    </a:ext>
                  </a:extLst>
                </xdr:cNvPr>
                <xdr:cNvSpPr txBox="1"/>
              </xdr:nvSpPr>
              <xdr:spPr>
                <a:xfrm rot="5400000">
                  <a:off x="1772938" y="6533874"/>
                  <a:ext cx="341621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90°</a:t>
                  </a:r>
                </a:p>
              </xdr:txBody>
            </xdr:sp>
            <xdr:sp macro="" textlink="">
              <xdr:nvSpPr>
                <xdr:cNvPr id="143" name="TextBox 142">
                  <a:extLst>
                    <a:ext uri="{FF2B5EF4-FFF2-40B4-BE49-F238E27FC236}">
                      <a16:creationId xmlns:a16="http://schemas.microsoft.com/office/drawing/2014/main" id="{00000000-0008-0000-0100-00008F000000}"/>
                    </a:ext>
                  </a:extLst>
                </xdr:cNvPr>
                <xdr:cNvSpPr txBox="1"/>
              </xdr:nvSpPr>
              <xdr:spPr>
                <a:xfrm rot="5400000">
                  <a:off x="1732692" y="6238501"/>
                  <a:ext cx="394970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67.5°</a:t>
                  </a:r>
                </a:p>
              </xdr:txBody>
            </xdr:sp>
            <xdr:sp macro="" textlink="">
              <xdr:nvSpPr>
                <xdr:cNvPr id="144" name="TextBox 143">
                  <a:extLst>
                    <a:ext uri="{FF2B5EF4-FFF2-40B4-BE49-F238E27FC236}">
                      <a16:creationId xmlns:a16="http://schemas.microsoft.com/office/drawing/2014/main" id="{00000000-0008-0000-0100-000090000000}"/>
                    </a:ext>
                  </a:extLst>
                </xdr:cNvPr>
                <xdr:cNvSpPr txBox="1"/>
              </xdr:nvSpPr>
              <xdr:spPr>
                <a:xfrm rot="5400000">
                  <a:off x="1505454" y="6056644"/>
                  <a:ext cx="552623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45°</a:t>
                  </a:r>
                </a:p>
              </xdr:txBody>
            </xdr:sp>
            <xdr:sp macro="" textlink="">
              <xdr:nvSpPr>
                <xdr:cNvPr id="145" name="TextBox 144">
                  <a:extLst>
                    <a:ext uri="{FF2B5EF4-FFF2-40B4-BE49-F238E27FC236}">
                      <a16:creationId xmlns:a16="http://schemas.microsoft.com/office/drawing/2014/main" id="{00000000-0008-0000-0100-000091000000}"/>
                    </a:ext>
                  </a:extLst>
                </xdr:cNvPr>
                <xdr:cNvSpPr txBox="1"/>
              </xdr:nvSpPr>
              <xdr:spPr>
                <a:xfrm rot="5400000">
                  <a:off x="1302390" y="5833652"/>
                  <a:ext cx="552622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22.5°</a:t>
                  </a:r>
                </a:p>
              </xdr:txBody>
            </xdr:sp>
            <xdr:sp macro="" textlink="">
              <xdr:nvSpPr>
                <xdr:cNvPr id="165" name="TextBox 164">
                  <a:extLst>
                    <a:ext uri="{FF2B5EF4-FFF2-40B4-BE49-F238E27FC236}">
                      <a16:creationId xmlns:a16="http://schemas.microsoft.com/office/drawing/2014/main" id="{00000000-0008-0000-0100-0000A5000000}"/>
                    </a:ext>
                  </a:extLst>
                </xdr:cNvPr>
                <xdr:cNvSpPr txBox="1"/>
              </xdr:nvSpPr>
              <xdr:spPr>
                <a:xfrm rot="5400000">
                  <a:off x="1084643" y="5724737"/>
                  <a:ext cx="452863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0°</a:t>
                  </a:r>
                </a:p>
              </xdr:txBody>
            </xdr:sp>
            <xdr:sp macro="" textlink="">
              <xdr:nvSpPr>
                <xdr:cNvPr id="167" name="TextBox 166">
                  <a:extLst>
                    <a:ext uri="{FF2B5EF4-FFF2-40B4-BE49-F238E27FC236}">
                      <a16:creationId xmlns:a16="http://schemas.microsoft.com/office/drawing/2014/main" id="{00000000-0008-0000-0100-0000A7000000}"/>
                    </a:ext>
                  </a:extLst>
                </xdr:cNvPr>
                <xdr:cNvSpPr txBox="1"/>
              </xdr:nvSpPr>
              <xdr:spPr>
                <a:xfrm rot="5400000">
                  <a:off x="1410026" y="6519996"/>
                  <a:ext cx="301429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g</a:t>
                  </a:r>
                </a:p>
              </xdr:txBody>
            </xdr:sp>
            <xdr:sp macro="" textlink="">
              <xdr:nvSpPr>
                <xdr:cNvPr id="168" name="TextBox 167">
                  <a:extLst>
                    <a:ext uri="{FF2B5EF4-FFF2-40B4-BE49-F238E27FC236}">
                      <a16:creationId xmlns:a16="http://schemas.microsoft.com/office/drawing/2014/main" id="{00000000-0008-0000-0100-0000A8000000}"/>
                    </a:ext>
                  </a:extLst>
                </xdr:cNvPr>
                <xdr:cNvSpPr txBox="1"/>
              </xdr:nvSpPr>
              <xdr:spPr>
                <a:xfrm rot="5400000">
                  <a:off x="1678415" y="6539442"/>
                  <a:ext cx="241145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300"/>
                    <a:t>+</a:t>
                  </a:r>
                </a:p>
              </xdr:txBody>
            </xdr:sp>
            <xdr:sp macro="" textlink="">
              <xdr:nvSpPr>
                <xdr:cNvPr id="169" name="TextBox 168">
                  <a:extLst>
                    <a:ext uri="{FF2B5EF4-FFF2-40B4-BE49-F238E27FC236}">
                      <a16:creationId xmlns:a16="http://schemas.microsoft.com/office/drawing/2014/main" id="{00000000-0008-0000-0100-0000A9000000}"/>
                    </a:ext>
                  </a:extLst>
                </xdr:cNvPr>
                <xdr:cNvSpPr txBox="1"/>
              </xdr:nvSpPr>
              <xdr:spPr>
                <a:xfrm rot="5400000">
                  <a:off x="433318" y="6289313"/>
                  <a:ext cx="241145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500"/>
                    <a:t>-</a:t>
                  </a:r>
                </a:p>
              </xdr:txBody>
            </xdr:sp>
            <xdr:cxnSp macro="">
              <xdr:nvCxnSpPr>
                <xdr:cNvPr id="170" name="Straight Connector 169">
                  <a:extLst>
                    <a:ext uri="{FF2B5EF4-FFF2-40B4-BE49-F238E27FC236}">
                      <a16:creationId xmlns:a16="http://schemas.microsoft.com/office/drawing/2014/main" id="{00000000-0008-0000-0100-0000AA000000}"/>
                    </a:ext>
                  </a:extLst>
                </xdr:cNvPr>
                <xdr:cNvCxnSpPr>
                  <a:stCxn id="138" idx="4"/>
                </xdr:cNvCxnSpPr>
              </xdr:nvCxnSpPr>
              <xdr:spPr>
                <a:xfrm flipV="1">
                  <a:off x="1153526" y="5580729"/>
                  <a:ext cx="9525" cy="1828799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6" name="Straight Arrow Connector 165">
                  <a:extLst>
                    <a:ext uri="{FF2B5EF4-FFF2-40B4-BE49-F238E27FC236}">
                      <a16:creationId xmlns:a16="http://schemas.microsoft.com/office/drawing/2014/main" id="{00000000-0008-0000-0100-0000A6000000}"/>
                    </a:ext>
                  </a:extLst>
                </xdr:cNvPr>
                <xdr:cNvCxnSpPr/>
              </xdr:nvCxnSpPr>
              <xdr:spPr>
                <a:xfrm rot="5400000" flipH="1">
                  <a:off x="1346102" y="6474828"/>
                  <a:ext cx="5431" cy="264809"/>
                </a:xfrm>
                <a:prstGeom prst="straightConnector1">
                  <a:avLst/>
                </a:prstGeom>
                <a:ln w="25400">
                  <a:solidFill>
                    <a:srgbClr val="00B050"/>
                  </a:solidFill>
                  <a:tailEnd type="arrow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37" name="Straight Connector 136">
                <a:extLst>
                  <a:ext uri="{FF2B5EF4-FFF2-40B4-BE49-F238E27FC236}">
                    <a16:creationId xmlns:a16="http://schemas.microsoft.com/office/drawing/2014/main" id="{00000000-0008-0000-0100-000089000000}"/>
                  </a:ext>
                </a:extLst>
              </xdr:cNvPr>
              <xdr:cNvCxnSpPr>
                <a:stCxn id="138" idx="6"/>
                <a:endCxn id="138" idx="2"/>
              </xdr:cNvCxnSpPr>
            </xdr:nvCxnSpPr>
            <xdr:spPr>
              <a:xfrm rot="5400000">
                <a:off x="2694574" y="5596447"/>
                <a:ext cx="0" cy="1834782"/>
              </a:xfrm>
              <a:prstGeom prst="line">
                <a:avLst/>
              </a:prstGeom>
              <a:ln w="254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46" name="Straight Connector 245">
              <a:extLst>
                <a:ext uri="{FF2B5EF4-FFF2-40B4-BE49-F238E27FC236}">
                  <a16:creationId xmlns:a16="http://schemas.microsoft.com/office/drawing/2014/main" id="{00000000-0008-0000-0100-0000F6000000}"/>
                </a:ext>
              </a:extLst>
            </xdr:cNvPr>
            <xdr:cNvCxnSpPr/>
          </xdr:nvCxnSpPr>
          <xdr:spPr>
            <a:xfrm flipV="1">
              <a:off x="137094310" y="12290534"/>
              <a:ext cx="899949" cy="2003535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66" name="TextBox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137814840" y="12392823"/>
            <a:ext cx="560418" cy="3127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112.5°</a:t>
            </a:r>
          </a:p>
        </xdr:txBody>
      </xdr:sp>
    </xdr:grpSp>
    <xdr:clientData/>
  </xdr:twoCellAnchor>
  <xdr:twoCellAnchor>
    <xdr:from>
      <xdr:col>172</xdr:col>
      <xdr:colOff>63500</xdr:colOff>
      <xdr:row>104</xdr:row>
      <xdr:rowOff>74083</xdr:rowOff>
    </xdr:from>
    <xdr:to>
      <xdr:col>175</xdr:col>
      <xdr:colOff>511127</xdr:colOff>
      <xdr:row>116</xdr:row>
      <xdr:rowOff>46868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140620750" y="20362333"/>
          <a:ext cx="2289127" cy="2279952"/>
          <a:chOff x="136458614" y="22487659"/>
          <a:chExt cx="2279024" cy="2276103"/>
        </a:xfrm>
      </xdr:grpSpPr>
      <xdr:grpSp>
        <xdr:nvGrpSpPr>
          <xdr:cNvPr id="336" name="Group 335">
            <a:extLst>
              <a:ext uri="{FF2B5EF4-FFF2-40B4-BE49-F238E27FC236}">
                <a16:creationId xmlns:a16="http://schemas.microsoft.com/office/drawing/2014/main" id="{00000000-0008-0000-0100-000050010000}"/>
              </a:ext>
            </a:extLst>
          </xdr:cNvPr>
          <xdr:cNvGrpSpPr/>
        </xdr:nvGrpSpPr>
        <xdr:grpSpPr>
          <a:xfrm>
            <a:off x="136458614" y="22487659"/>
            <a:ext cx="2279024" cy="2276103"/>
            <a:chOff x="136409082" y="12169478"/>
            <a:chExt cx="2280369" cy="2271923"/>
          </a:xfrm>
        </xdr:grpSpPr>
        <xdr:grpSp>
          <xdr:nvGrpSpPr>
            <xdr:cNvPr id="337" name="Group 336">
              <a:extLst>
                <a:ext uri="{FF2B5EF4-FFF2-40B4-BE49-F238E27FC236}">
                  <a16:creationId xmlns:a16="http://schemas.microsoft.com/office/drawing/2014/main" id="{00000000-0008-0000-0100-000051010000}"/>
                </a:ext>
              </a:extLst>
            </xdr:cNvPr>
            <xdr:cNvGrpSpPr/>
          </xdr:nvGrpSpPr>
          <xdr:grpSpPr>
            <a:xfrm>
              <a:off x="136409082" y="12169478"/>
              <a:ext cx="2280369" cy="2271923"/>
              <a:chOff x="136409082" y="12169478"/>
              <a:chExt cx="2280369" cy="2271923"/>
            </a:xfrm>
          </xdr:grpSpPr>
          <xdr:grpSp>
            <xdr:nvGrpSpPr>
              <xdr:cNvPr id="339" name="Group 338">
                <a:extLst>
                  <a:ext uri="{FF2B5EF4-FFF2-40B4-BE49-F238E27FC236}">
                    <a16:creationId xmlns:a16="http://schemas.microsoft.com/office/drawing/2014/main" id="{00000000-0008-0000-0100-000053010000}"/>
                  </a:ext>
                </a:extLst>
              </xdr:cNvPr>
              <xdr:cNvGrpSpPr/>
            </xdr:nvGrpSpPr>
            <xdr:grpSpPr>
              <a:xfrm rot="16200000">
                <a:off x="136413305" y="12165255"/>
                <a:ext cx="2271923" cy="2280369"/>
                <a:chOff x="1777183" y="5599438"/>
                <a:chExt cx="1834782" cy="1828800"/>
              </a:xfrm>
            </xdr:grpSpPr>
            <xdr:grpSp>
              <xdr:nvGrpSpPr>
                <xdr:cNvPr id="341" name="Group 340">
                  <a:extLst>
                    <a:ext uri="{FF2B5EF4-FFF2-40B4-BE49-F238E27FC236}">
                      <a16:creationId xmlns:a16="http://schemas.microsoft.com/office/drawing/2014/main" id="{00000000-0008-0000-0100-000055010000}"/>
                    </a:ext>
                  </a:extLst>
                </xdr:cNvPr>
                <xdr:cNvGrpSpPr/>
              </xdr:nvGrpSpPr>
              <xdr:grpSpPr>
                <a:xfrm>
                  <a:off x="1777183" y="5599438"/>
                  <a:ext cx="1834782" cy="1828800"/>
                  <a:chOff x="235324" y="5580729"/>
                  <a:chExt cx="1836404" cy="1828800"/>
                </a:xfrm>
              </xdr:grpSpPr>
              <xdr:sp macro="" textlink="">
                <xdr:nvSpPr>
                  <xdr:cNvPr id="343" name="Oval 342">
                    <a:extLst>
                      <a:ext uri="{FF2B5EF4-FFF2-40B4-BE49-F238E27FC236}">
                        <a16:creationId xmlns:a16="http://schemas.microsoft.com/office/drawing/2014/main" id="{00000000-0008-0000-0100-000057010000}"/>
                      </a:ext>
                    </a:extLst>
                  </xdr:cNvPr>
                  <xdr:cNvSpPr/>
                </xdr:nvSpPr>
                <xdr:spPr>
                  <a:xfrm>
                    <a:off x="235324" y="5580729"/>
                    <a:ext cx="1836404" cy="1828800"/>
                  </a:xfrm>
                  <a:prstGeom prst="ellipse">
                    <a:avLst/>
                  </a:prstGeom>
                  <a:solidFill>
                    <a:schemeClr val="bg1"/>
                  </a:solidFill>
                  <a:ln w="6350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cxnSp macro="">
                <xdr:nvCxnSpPr>
                  <xdr:cNvPr id="344" name="Straight Connector 343">
                    <a:extLst>
                      <a:ext uri="{FF2B5EF4-FFF2-40B4-BE49-F238E27FC236}">
                        <a16:creationId xmlns:a16="http://schemas.microsoft.com/office/drawing/2014/main" id="{00000000-0008-0000-0100-000058010000}"/>
                      </a:ext>
                    </a:extLst>
                  </xdr:cNvPr>
                  <xdr:cNvCxnSpPr>
                    <a:stCxn id="343" idx="3"/>
                    <a:endCxn id="343" idx="7"/>
                  </xdr:cNvCxnSpPr>
                </xdr:nvCxnSpPr>
                <xdr:spPr>
                  <a:xfrm flipV="1">
                    <a:off x="503146" y="5848551"/>
                    <a:ext cx="1300760" cy="1293156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5" name="Straight Connector 344">
                    <a:extLst>
                      <a:ext uri="{FF2B5EF4-FFF2-40B4-BE49-F238E27FC236}">
                        <a16:creationId xmlns:a16="http://schemas.microsoft.com/office/drawing/2014/main" id="{00000000-0008-0000-0100-000059010000}"/>
                      </a:ext>
                    </a:extLst>
                  </xdr:cNvPr>
                  <xdr:cNvCxnSpPr/>
                </xdr:nvCxnSpPr>
                <xdr:spPr>
                  <a:xfrm flipV="1">
                    <a:off x="810626" y="5636759"/>
                    <a:ext cx="720978" cy="1692088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6" name="Straight Connector 345">
                    <a:extLst>
                      <a:ext uri="{FF2B5EF4-FFF2-40B4-BE49-F238E27FC236}">
                        <a16:creationId xmlns:a16="http://schemas.microsoft.com/office/drawing/2014/main" id="{00000000-0008-0000-0100-00005A010000}"/>
                      </a:ext>
                    </a:extLst>
                  </xdr:cNvPr>
                  <xdr:cNvCxnSpPr/>
                </xdr:nvCxnSpPr>
                <xdr:spPr>
                  <a:xfrm flipH="1">
                    <a:off x="291353" y="6163435"/>
                    <a:ext cx="1710898" cy="672353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347" name="TextBox 346">
                    <a:extLst>
                      <a:ext uri="{FF2B5EF4-FFF2-40B4-BE49-F238E27FC236}">
                        <a16:creationId xmlns:a16="http://schemas.microsoft.com/office/drawing/2014/main" id="{00000000-0008-0000-0100-00005B010000}"/>
                      </a:ext>
                    </a:extLst>
                  </xdr:cNvPr>
                  <xdr:cNvSpPr txBox="1"/>
                </xdr:nvSpPr>
                <xdr:spPr>
                  <a:xfrm rot="5400000">
                    <a:off x="1772938" y="6533874"/>
                    <a:ext cx="341621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90°</a:t>
                    </a:r>
                  </a:p>
                </xdr:txBody>
              </xdr:sp>
              <xdr:sp macro="" textlink="">
                <xdr:nvSpPr>
                  <xdr:cNvPr id="348" name="TextBox 347">
                    <a:extLst>
                      <a:ext uri="{FF2B5EF4-FFF2-40B4-BE49-F238E27FC236}">
                        <a16:creationId xmlns:a16="http://schemas.microsoft.com/office/drawing/2014/main" id="{00000000-0008-0000-0100-00005C010000}"/>
                      </a:ext>
                    </a:extLst>
                  </xdr:cNvPr>
                  <xdr:cNvSpPr txBox="1"/>
                </xdr:nvSpPr>
                <xdr:spPr>
                  <a:xfrm rot="5400000">
                    <a:off x="1732692" y="6238501"/>
                    <a:ext cx="394970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67.5°</a:t>
                    </a:r>
                  </a:p>
                </xdr:txBody>
              </xdr:sp>
              <xdr:sp macro="" textlink="">
                <xdr:nvSpPr>
                  <xdr:cNvPr id="349" name="TextBox 348">
                    <a:extLst>
                      <a:ext uri="{FF2B5EF4-FFF2-40B4-BE49-F238E27FC236}">
                        <a16:creationId xmlns:a16="http://schemas.microsoft.com/office/drawing/2014/main" id="{00000000-0008-0000-0100-00005D010000}"/>
                      </a:ext>
                    </a:extLst>
                  </xdr:cNvPr>
                  <xdr:cNvSpPr txBox="1"/>
                </xdr:nvSpPr>
                <xdr:spPr>
                  <a:xfrm rot="5400000">
                    <a:off x="1505454" y="6056644"/>
                    <a:ext cx="552623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45°</a:t>
                    </a:r>
                  </a:p>
                </xdr:txBody>
              </xdr:sp>
              <xdr:sp macro="" textlink="">
                <xdr:nvSpPr>
                  <xdr:cNvPr id="350" name="TextBox 349">
                    <a:extLst>
                      <a:ext uri="{FF2B5EF4-FFF2-40B4-BE49-F238E27FC236}">
                        <a16:creationId xmlns:a16="http://schemas.microsoft.com/office/drawing/2014/main" id="{00000000-0008-0000-0100-00005E010000}"/>
                      </a:ext>
                    </a:extLst>
                  </xdr:cNvPr>
                  <xdr:cNvSpPr txBox="1"/>
                </xdr:nvSpPr>
                <xdr:spPr>
                  <a:xfrm rot="5400000">
                    <a:off x="1302390" y="5833652"/>
                    <a:ext cx="552622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22.5°</a:t>
                    </a:r>
                  </a:p>
                </xdr:txBody>
              </xdr:sp>
              <xdr:sp macro="" textlink="">
                <xdr:nvSpPr>
                  <xdr:cNvPr id="351" name="TextBox 350">
                    <a:extLst>
                      <a:ext uri="{FF2B5EF4-FFF2-40B4-BE49-F238E27FC236}">
                        <a16:creationId xmlns:a16="http://schemas.microsoft.com/office/drawing/2014/main" id="{00000000-0008-0000-0100-00005F010000}"/>
                      </a:ext>
                    </a:extLst>
                  </xdr:cNvPr>
                  <xdr:cNvSpPr txBox="1"/>
                </xdr:nvSpPr>
                <xdr:spPr>
                  <a:xfrm rot="5400000">
                    <a:off x="1084643" y="5724737"/>
                    <a:ext cx="452863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0°</a:t>
                    </a:r>
                  </a:p>
                </xdr:txBody>
              </xdr:sp>
              <xdr:sp macro="" textlink="">
                <xdr:nvSpPr>
                  <xdr:cNvPr id="352" name="TextBox 351">
                    <a:extLst>
                      <a:ext uri="{FF2B5EF4-FFF2-40B4-BE49-F238E27FC236}">
                        <a16:creationId xmlns:a16="http://schemas.microsoft.com/office/drawing/2014/main" id="{00000000-0008-0000-0100-000060010000}"/>
                      </a:ext>
                    </a:extLst>
                  </xdr:cNvPr>
                  <xdr:cNvSpPr txBox="1"/>
                </xdr:nvSpPr>
                <xdr:spPr>
                  <a:xfrm rot="5400000">
                    <a:off x="1117991" y="6767599"/>
                    <a:ext cx="301429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g</a:t>
                    </a:r>
                  </a:p>
                </xdr:txBody>
              </xdr:sp>
              <xdr:sp macro="" textlink="">
                <xdr:nvSpPr>
                  <xdr:cNvPr id="353" name="TextBox 352">
                    <a:extLst>
                      <a:ext uri="{FF2B5EF4-FFF2-40B4-BE49-F238E27FC236}">
                        <a16:creationId xmlns:a16="http://schemas.microsoft.com/office/drawing/2014/main" id="{00000000-0008-0000-0100-000061010000}"/>
                      </a:ext>
                    </a:extLst>
                  </xdr:cNvPr>
                  <xdr:cNvSpPr txBox="1"/>
                </xdr:nvSpPr>
                <xdr:spPr>
                  <a:xfrm rot="5400000">
                    <a:off x="1678415" y="6539442"/>
                    <a:ext cx="241145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300"/>
                      <a:t>+</a:t>
                    </a:r>
                  </a:p>
                </xdr:txBody>
              </xdr:sp>
              <xdr:sp macro="" textlink="">
                <xdr:nvSpPr>
                  <xdr:cNvPr id="354" name="TextBox 353">
                    <a:extLst>
                      <a:ext uri="{FF2B5EF4-FFF2-40B4-BE49-F238E27FC236}">
                        <a16:creationId xmlns:a16="http://schemas.microsoft.com/office/drawing/2014/main" id="{00000000-0008-0000-0100-000062010000}"/>
                      </a:ext>
                    </a:extLst>
                  </xdr:cNvPr>
                  <xdr:cNvSpPr txBox="1"/>
                </xdr:nvSpPr>
                <xdr:spPr>
                  <a:xfrm rot="5400000">
                    <a:off x="433318" y="6289313"/>
                    <a:ext cx="241145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500"/>
                      <a:t>-</a:t>
                    </a:r>
                  </a:p>
                </xdr:txBody>
              </xdr:sp>
              <xdr:cxnSp macro="">
                <xdr:nvCxnSpPr>
                  <xdr:cNvPr id="355" name="Straight Connector 354">
                    <a:extLst>
                      <a:ext uri="{FF2B5EF4-FFF2-40B4-BE49-F238E27FC236}">
                        <a16:creationId xmlns:a16="http://schemas.microsoft.com/office/drawing/2014/main" id="{00000000-0008-0000-0100-000063010000}"/>
                      </a:ext>
                    </a:extLst>
                  </xdr:cNvPr>
                  <xdr:cNvCxnSpPr>
                    <a:stCxn id="343" idx="4"/>
                  </xdr:cNvCxnSpPr>
                </xdr:nvCxnSpPr>
                <xdr:spPr>
                  <a:xfrm flipV="1">
                    <a:off x="1153526" y="5580729"/>
                    <a:ext cx="9525" cy="1828799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56" name="Straight Arrow Connector 355">
                    <a:extLst>
                      <a:ext uri="{FF2B5EF4-FFF2-40B4-BE49-F238E27FC236}">
                        <a16:creationId xmlns:a16="http://schemas.microsoft.com/office/drawing/2014/main" id="{00000000-0008-0000-0100-000064010000}"/>
                      </a:ext>
                    </a:extLst>
                  </xdr:cNvPr>
                  <xdr:cNvCxnSpPr/>
                </xdr:nvCxnSpPr>
                <xdr:spPr>
                  <a:xfrm rot="5400000" flipH="1">
                    <a:off x="1346102" y="6474828"/>
                    <a:ext cx="5431" cy="264809"/>
                  </a:xfrm>
                  <a:prstGeom prst="straightConnector1">
                    <a:avLst/>
                  </a:prstGeom>
                  <a:ln w="25400">
                    <a:solidFill>
                      <a:srgbClr val="00B050"/>
                    </a:solidFill>
                    <a:tailEnd type="arrow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342" name="Straight Connector 341">
                  <a:extLst>
                    <a:ext uri="{FF2B5EF4-FFF2-40B4-BE49-F238E27FC236}">
                      <a16:creationId xmlns:a16="http://schemas.microsoft.com/office/drawing/2014/main" id="{00000000-0008-0000-0100-000056010000}"/>
                    </a:ext>
                  </a:extLst>
                </xdr:cNvPr>
                <xdr:cNvCxnSpPr>
                  <a:stCxn id="343" idx="6"/>
                  <a:endCxn id="343" idx="2"/>
                </xdr:cNvCxnSpPr>
              </xdr:nvCxnSpPr>
              <xdr:spPr>
                <a:xfrm rot="5400000">
                  <a:off x="2694574" y="5596447"/>
                  <a:ext cx="0" cy="1834782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340" name="Straight Connector 339">
                <a:extLst>
                  <a:ext uri="{FF2B5EF4-FFF2-40B4-BE49-F238E27FC236}">
                    <a16:creationId xmlns:a16="http://schemas.microsoft.com/office/drawing/2014/main" id="{00000000-0008-0000-0100-000054010000}"/>
                  </a:ext>
                </a:extLst>
              </xdr:cNvPr>
              <xdr:cNvCxnSpPr/>
            </xdr:nvCxnSpPr>
            <xdr:spPr>
              <a:xfrm flipV="1">
                <a:off x="137094310" y="12290534"/>
                <a:ext cx="899949" cy="2003535"/>
              </a:xfrm>
              <a:prstGeom prst="line">
                <a:avLst/>
              </a:prstGeom>
              <a:ln w="254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338" name="TextBox 337">
              <a:extLst>
                <a:ext uri="{FF2B5EF4-FFF2-40B4-BE49-F238E27FC236}">
                  <a16:creationId xmlns:a16="http://schemas.microsoft.com/office/drawing/2014/main" id="{00000000-0008-0000-0100-000052010000}"/>
                </a:ext>
              </a:extLst>
            </xdr:cNvPr>
            <xdr:cNvSpPr txBox="1"/>
          </xdr:nvSpPr>
          <xdr:spPr>
            <a:xfrm>
              <a:off x="137814840" y="12392823"/>
              <a:ext cx="560418" cy="3127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112.5°</a:t>
              </a:r>
            </a:p>
          </xdr:txBody>
        </xdr:sp>
      </xdr:grpSp>
      <xdr:cxnSp macro="">
        <xdr:nvCxnSpPr>
          <xdr:cNvPr id="358" name="Straight Connector 357">
            <a:extLst>
              <a:ext uri="{FF2B5EF4-FFF2-40B4-BE49-F238E27FC236}">
                <a16:creationId xmlns:a16="http://schemas.microsoft.com/office/drawing/2014/main" id="{00000000-0008-0000-0100-000066010000}"/>
              </a:ext>
            </a:extLst>
          </xdr:cNvPr>
          <xdr:cNvCxnSpPr>
            <a:endCxn id="343" idx="5"/>
          </xdr:cNvCxnSpPr>
        </xdr:nvCxnSpPr>
        <xdr:spPr>
          <a:xfrm flipV="1">
            <a:off x="136793632" y="22820374"/>
            <a:ext cx="1610054" cy="1602743"/>
          </a:xfrm>
          <a:prstGeom prst="line">
            <a:avLst/>
          </a:prstGeom>
          <a:ln w="254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60" name="TextBox 359">
            <a:extLst>
              <a:ext uri="{FF2B5EF4-FFF2-40B4-BE49-F238E27FC236}">
                <a16:creationId xmlns:a16="http://schemas.microsoft.com/office/drawing/2014/main" id="{00000000-0008-0000-0100-000068010000}"/>
              </a:ext>
            </a:extLst>
          </xdr:cNvPr>
          <xdr:cNvSpPr txBox="1"/>
        </xdr:nvSpPr>
        <xdr:spPr>
          <a:xfrm>
            <a:off x="138152511" y="22954055"/>
            <a:ext cx="559970" cy="3148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135°</a:t>
            </a:r>
          </a:p>
        </xdr:txBody>
      </xdr:sp>
    </xdr:grpSp>
    <xdr:clientData/>
  </xdr:twoCellAnchor>
  <xdr:twoCellAnchor>
    <xdr:from>
      <xdr:col>172</xdr:col>
      <xdr:colOff>63500</xdr:colOff>
      <xdr:row>149</xdr:row>
      <xdr:rowOff>1058</xdr:rowOff>
    </xdr:from>
    <xdr:to>
      <xdr:col>175</xdr:col>
      <xdr:colOff>511127</xdr:colOff>
      <xdr:row>160</xdr:row>
      <xdr:rowOff>163284</xdr:rowOff>
    </xdr:to>
    <xdr:grpSp>
      <xdr:nvGrpSpPr>
        <xdr:cNvPr id="361" name="Group 360">
          <a:extLst>
            <a:ext uri="{FF2B5EF4-FFF2-40B4-BE49-F238E27FC236}">
              <a16:creationId xmlns:a16="http://schemas.microsoft.com/office/drawing/2014/main" id="{00000000-0008-0000-0100-000069010000}"/>
            </a:ext>
          </a:extLst>
        </xdr:cNvPr>
        <xdr:cNvGrpSpPr/>
      </xdr:nvGrpSpPr>
      <xdr:grpSpPr>
        <a:xfrm>
          <a:off x="140620750" y="29009975"/>
          <a:ext cx="2289127" cy="2278892"/>
          <a:chOff x="136458614" y="22487659"/>
          <a:chExt cx="2279024" cy="2276103"/>
        </a:xfrm>
      </xdr:grpSpPr>
      <xdr:grpSp>
        <xdr:nvGrpSpPr>
          <xdr:cNvPr id="362" name="Group 361">
            <a:extLst>
              <a:ext uri="{FF2B5EF4-FFF2-40B4-BE49-F238E27FC236}">
                <a16:creationId xmlns:a16="http://schemas.microsoft.com/office/drawing/2014/main" id="{00000000-0008-0000-0100-00006A010000}"/>
              </a:ext>
            </a:extLst>
          </xdr:cNvPr>
          <xdr:cNvGrpSpPr/>
        </xdr:nvGrpSpPr>
        <xdr:grpSpPr>
          <a:xfrm>
            <a:off x="136458614" y="22487659"/>
            <a:ext cx="2279024" cy="2276103"/>
            <a:chOff x="136409082" y="12169478"/>
            <a:chExt cx="2280369" cy="2271923"/>
          </a:xfrm>
        </xdr:grpSpPr>
        <xdr:grpSp>
          <xdr:nvGrpSpPr>
            <xdr:cNvPr id="365" name="Group 364">
              <a:extLst>
                <a:ext uri="{FF2B5EF4-FFF2-40B4-BE49-F238E27FC236}">
                  <a16:creationId xmlns:a16="http://schemas.microsoft.com/office/drawing/2014/main" id="{00000000-0008-0000-0100-00006D010000}"/>
                </a:ext>
              </a:extLst>
            </xdr:cNvPr>
            <xdr:cNvGrpSpPr/>
          </xdr:nvGrpSpPr>
          <xdr:grpSpPr>
            <a:xfrm>
              <a:off x="136409082" y="12169478"/>
              <a:ext cx="2280369" cy="2271923"/>
              <a:chOff x="136409082" y="12169478"/>
              <a:chExt cx="2280369" cy="2271923"/>
            </a:xfrm>
          </xdr:grpSpPr>
          <xdr:grpSp>
            <xdr:nvGrpSpPr>
              <xdr:cNvPr id="367" name="Group 366">
                <a:extLst>
                  <a:ext uri="{FF2B5EF4-FFF2-40B4-BE49-F238E27FC236}">
                    <a16:creationId xmlns:a16="http://schemas.microsoft.com/office/drawing/2014/main" id="{00000000-0008-0000-0100-00006F010000}"/>
                  </a:ext>
                </a:extLst>
              </xdr:cNvPr>
              <xdr:cNvGrpSpPr/>
            </xdr:nvGrpSpPr>
            <xdr:grpSpPr>
              <a:xfrm rot="16200000">
                <a:off x="136413305" y="12165255"/>
                <a:ext cx="2271923" cy="2280369"/>
                <a:chOff x="1777183" y="5599438"/>
                <a:chExt cx="1834782" cy="1828800"/>
              </a:xfrm>
            </xdr:grpSpPr>
            <xdr:grpSp>
              <xdr:nvGrpSpPr>
                <xdr:cNvPr id="369" name="Group 368">
                  <a:extLst>
                    <a:ext uri="{FF2B5EF4-FFF2-40B4-BE49-F238E27FC236}">
                      <a16:creationId xmlns:a16="http://schemas.microsoft.com/office/drawing/2014/main" id="{00000000-0008-0000-0100-000071010000}"/>
                    </a:ext>
                  </a:extLst>
                </xdr:cNvPr>
                <xdr:cNvGrpSpPr/>
              </xdr:nvGrpSpPr>
              <xdr:grpSpPr>
                <a:xfrm>
                  <a:off x="1777183" y="5599438"/>
                  <a:ext cx="1834782" cy="1828800"/>
                  <a:chOff x="235324" y="5580729"/>
                  <a:chExt cx="1836404" cy="1828800"/>
                </a:xfrm>
              </xdr:grpSpPr>
              <xdr:sp macro="" textlink="">
                <xdr:nvSpPr>
                  <xdr:cNvPr id="371" name="Oval 370">
                    <a:extLst>
                      <a:ext uri="{FF2B5EF4-FFF2-40B4-BE49-F238E27FC236}">
                        <a16:creationId xmlns:a16="http://schemas.microsoft.com/office/drawing/2014/main" id="{00000000-0008-0000-0100-000073010000}"/>
                      </a:ext>
                    </a:extLst>
                  </xdr:cNvPr>
                  <xdr:cNvSpPr/>
                </xdr:nvSpPr>
                <xdr:spPr>
                  <a:xfrm>
                    <a:off x="235324" y="5580729"/>
                    <a:ext cx="1836404" cy="1828800"/>
                  </a:xfrm>
                  <a:prstGeom prst="ellipse">
                    <a:avLst/>
                  </a:prstGeom>
                  <a:solidFill>
                    <a:schemeClr val="bg1"/>
                  </a:solidFill>
                  <a:ln w="6350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cxnSp macro="">
                <xdr:nvCxnSpPr>
                  <xdr:cNvPr id="372" name="Straight Connector 371">
                    <a:extLst>
                      <a:ext uri="{FF2B5EF4-FFF2-40B4-BE49-F238E27FC236}">
                        <a16:creationId xmlns:a16="http://schemas.microsoft.com/office/drawing/2014/main" id="{00000000-0008-0000-0100-000074010000}"/>
                      </a:ext>
                    </a:extLst>
                  </xdr:cNvPr>
                  <xdr:cNvCxnSpPr>
                    <a:stCxn id="371" idx="3"/>
                    <a:endCxn id="371" idx="7"/>
                  </xdr:cNvCxnSpPr>
                </xdr:nvCxnSpPr>
                <xdr:spPr>
                  <a:xfrm flipV="1">
                    <a:off x="503146" y="5848551"/>
                    <a:ext cx="1300760" cy="1293156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73" name="Straight Connector 372">
                    <a:extLst>
                      <a:ext uri="{FF2B5EF4-FFF2-40B4-BE49-F238E27FC236}">
                        <a16:creationId xmlns:a16="http://schemas.microsoft.com/office/drawing/2014/main" id="{00000000-0008-0000-0100-000075010000}"/>
                      </a:ext>
                    </a:extLst>
                  </xdr:cNvPr>
                  <xdr:cNvCxnSpPr/>
                </xdr:nvCxnSpPr>
                <xdr:spPr>
                  <a:xfrm flipV="1">
                    <a:off x="810626" y="5636759"/>
                    <a:ext cx="720978" cy="1692088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74" name="Straight Connector 373">
                    <a:extLst>
                      <a:ext uri="{FF2B5EF4-FFF2-40B4-BE49-F238E27FC236}">
                        <a16:creationId xmlns:a16="http://schemas.microsoft.com/office/drawing/2014/main" id="{00000000-0008-0000-0100-000076010000}"/>
                      </a:ext>
                    </a:extLst>
                  </xdr:cNvPr>
                  <xdr:cNvCxnSpPr/>
                </xdr:nvCxnSpPr>
                <xdr:spPr>
                  <a:xfrm flipH="1">
                    <a:off x="291353" y="6163435"/>
                    <a:ext cx="1710898" cy="672353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375" name="TextBox 374">
                    <a:extLst>
                      <a:ext uri="{FF2B5EF4-FFF2-40B4-BE49-F238E27FC236}">
                        <a16:creationId xmlns:a16="http://schemas.microsoft.com/office/drawing/2014/main" id="{00000000-0008-0000-0100-000077010000}"/>
                      </a:ext>
                    </a:extLst>
                  </xdr:cNvPr>
                  <xdr:cNvSpPr txBox="1"/>
                </xdr:nvSpPr>
                <xdr:spPr>
                  <a:xfrm rot="5400000">
                    <a:off x="1772938" y="6533874"/>
                    <a:ext cx="341621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90°</a:t>
                    </a:r>
                  </a:p>
                </xdr:txBody>
              </xdr:sp>
              <xdr:sp macro="" textlink="">
                <xdr:nvSpPr>
                  <xdr:cNvPr id="376" name="TextBox 375">
                    <a:extLst>
                      <a:ext uri="{FF2B5EF4-FFF2-40B4-BE49-F238E27FC236}">
                        <a16:creationId xmlns:a16="http://schemas.microsoft.com/office/drawing/2014/main" id="{00000000-0008-0000-0100-000078010000}"/>
                      </a:ext>
                    </a:extLst>
                  </xdr:cNvPr>
                  <xdr:cNvSpPr txBox="1"/>
                </xdr:nvSpPr>
                <xdr:spPr>
                  <a:xfrm rot="5400000">
                    <a:off x="1732692" y="6238501"/>
                    <a:ext cx="394970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67.5°</a:t>
                    </a:r>
                  </a:p>
                </xdr:txBody>
              </xdr:sp>
              <xdr:sp macro="" textlink="">
                <xdr:nvSpPr>
                  <xdr:cNvPr id="377" name="TextBox 376">
                    <a:extLst>
                      <a:ext uri="{FF2B5EF4-FFF2-40B4-BE49-F238E27FC236}">
                        <a16:creationId xmlns:a16="http://schemas.microsoft.com/office/drawing/2014/main" id="{00000000-0008-0000-0100-000079010000}"/>
                      </a:ext>
                    </a:extLst>
                  </xdr:cNvPr>
                  <xdr:cNvSpPr txBox="1"/>
                </xdr:nvSpPr>
                <xdr:spPr>
                  <a:xfrm rot="5400000">
                    <a:off x="1505454" y="6056644"/>
                    <a:ext cx="552623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45°</a:t>
                    </a:r>
                  </a:p>
                </xdr:txBody>
              </xdr:sp>
              <xdr:sp macro="" textlink="">
                <xdr:nvSpPr>
                  <xdr:cNvPr id="378" name="TextBox 377">
                    <a:extLst>
                      <a:ext uri="{FF2B5EF4-FFF2-40B4-BE49-F238E27FC236}">
                        <a16:creationId xmlns:a16="http://schemas.microsoft.com/office/drawing/2014/main" id="{00000000-0008-0000-0100-00007A010000}"/>
                      </a:ext>
                    </a:extLst>
                  </xdr:cNvPr>
                  <xdr:cNvSpPr txBox="1"/>
                </xdr:nvSpPr>
                <xdr:spPr>
                  <a:xfrm rot="5400000">
                    <a:off x="1302390" y="5833652"/>
                    <a:ext cx="552622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22.5°</a:t>
                    </a:r>
                  </a:p>
                </xdr:txBody>
              </xdr:sp>
              <xdr:sp macro="" textlink="">
                <xdr:nvSpPr>
                  <xdr:cNvPr id="379" name="TextBox 378">
                    <a:extLst>
                      <a:ext uri="{FF2B5EF4-FFF2-40B4-BE49-F238E27FC236}">
                        <a16:creationId xmlns:a16="http://schemas.microsoft.com/office/drawing/2014/main" id="{00000000-0008-0000-0100-00007B010000}"/>
                      </a:ext>
                    </a:extLst>
                  </xdr:cNvPr>
                  <xdr:cNvSpPr txBox="1"/>
                </xdr:nvSpPr>
                <xdr:spPr>
                  <a:xfrm rot="5400000">
                    <a:off x="1084643" y="5724737"/>
                    <a:ext cx="452863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0°</a:t>
                    </a:r>
                  </a:p>
                </xdr:txBody>
              </xdr:sp>
              <xdr:sp macro="" textlink="">
                <xdr:nvSpPr>
                  <xdr:cNvPr id="380" name="TextBox 379">
                    <a:extLst>
                      <a:ext uri="{FF2B5EF4-FFF2-40B4-BE49-F238E27FC236}">
                        <a16:creationId xmlns:a16="http://schemas.microsoft.com/office/drawing/2014/main" id="{00000000-0008-0000-0100-00007C010000}"/>
                      </a:ext>
                    </a:extLst>
                  </xdr:cNvPr>
                  <xdr:cNvSpPr txBox="1"/>
                </xdr:nvSpPr>
                <xdr:spPr>
                  <a:xfrm rot="5400000">
                    <a:off x="1117991" y="6767599"/>
                    <a:ext cx="301429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g</a:t>
                    </a:r>
                  </a:p>
                </xdr:txBody>
              </xdr:sp>
              <xdr:sp macro="" textlink="">
                <xdr:nvSpPr>
                  <xdr:cNvPr id="381" name="TextBox 380">
                    <a:extLst>
                      <a:ext uri="{FF2B5EF4-FFF2-40B4-BE49-F238E27FC236}">
                        <a16:creationId xmlns:a16="http://schemas.microsoft.com/office/drawing/2014/main" id="{00000000-0008-0000-0100-00007D010000}"/>
                      </a:ext>
                    </a:extLst>
                  </xdr:cNvPr>
                  <xdr:cNvSpPr txBox="1"/>
                </xdr:nvSpPr>
                <xdr:spPr>
                  <a:xfrm rot="5400000">
                    <a:off x="1678415" y="6539442"/>
                    <a:ext cx="241145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300"/>
                      <a:t>+</a:t>
                    </a:r>
                  </a:p>
                </xdr:txBody>
              </xdr:sp>
              <xdr:sp macro="" textlink="">
                <xdr:nvSpPr>
                  <xdr:cNvPr id="382" name="TextBox 381">
                    <a:extLst>
                      <a:ext uri="{FF2B5EF4-FFF2-40B4-BE49-F238E27FC236}">
                        <a16:creationId xmlns:a16="http://schemas.microsoft.com/office/drawing/2014/main" id="{00000000-0008-0000-0100-00007E010000}"/>
                      </a:ext>
                    </a:extLst>
                  </xdr:cNvPr>
                  <xdr:cNvSpPr txBox="1"/>
                </xdr:nvSpPr>
                <xdr:spPr>
                  <a:xfrm rot="5400000">
                    <a:off x="433318" y="6289313"/>
                    <a:ext cx="241145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500"/>
                      <a:t>-</a:t>
                    </a:r>
                  </a:p>
                </xdr:txBody>
              </xdr:sp>
              <xdr:cxnSp macro="">
                <xdr:nvCxnSpPr>
                  <xdr:cNvPr id="383" name="Straight Connector 382">
                    <a:extLst>
                      <a:ext uri="{FF2B5EF4-FFF2-40B4-BE49-F238E27FC236}">
                        <a16:creationId xmlns:a16="http://schemas.microsoft.com/office/drawing/2014/main" id="{00000000-0008-0000-0100-00007F010000}"/>
                      </a:ext>
                    </a:extLst>
                  </xdr:cNvPr>
                  <xdr:cNvCxnSpPr>
                    <a:stCxn id="371" idx="4"/>
                  </xdr:cNvCxnSpPr>
                </xdr:nvCxnSpPr>
                <xdr:spPr>
                  <a:xfrm flipV="1">
                    <a:off x="1153526" y="5580729"/>
                    <a:ext cx="9525" cy="1828799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84" name="Straight Arrow Connector 383">
                    <a:extLst>
                      <a:ext uri="{FF2B5EF4-FFF2-40B4-BE49-F238E27FC236}">
                        <a16:creationId xmlns:a16="http://schemas.microsoft.com/office/drawing/2014/main" id="{00000000-0008-0000-0100-000080010000}"/>
                      </a:ext>
                    </a:extLst>
                  </xdr:cNvPr>
                  <xdr:cNvCxnSpPr/>
                </xdr:nvCxnSpPr>
                <xdr:spPr>
                  <a:xfrm rot="5400000" flipH="1">
                    <a:off x="1346102" y="6474828"/>
                    <a:ext cx="5431" cy="264809"/>
                  </a:xfrm>
                  <a:prstGeom prst="straightConnector1">
                    <a:avLst/>
                  </a:prstGeom>
                  <a:ln w="25400">
                    <a:solidFill>
                      <a:srgbClr val="00B050"/>
                    </a:solidFill>
                    <a:tailEnd type="arrow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370" name="Straight Connector 369">
                  <a:extLst>
                    <a:ext uri="{FF2B5EF4-FFF2-40B4-BE49-F238E27FC236}">
                      <a16:creationId xmlns:a16="http://schemas.microsoft.com/office/drawing/2014/main" id="{00000000-0008-0000-0100-000072010000}"/>
                    </a:ext>
                  </a:extLst>
                </xdr:cNvPr>
                <xdr:cNvCxnSpPr>
                  <a:stCxn id="371" idx="6"/>
                  <a:endCxn id="371" idx="2"/>
                </xdr:cNvCxnSpPr>
              </xdr:nvCxnSpPr>
              <xdr:spPr>
                <a:xfrm rot="5400000">
                  <a:off x="2694574" y="5596447"/>
                  <a:ext cx="0" cy="1834782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368" name="Straight Connector 367">
                <a:extLst>
                  <a:ext uri="{FF2B5EF4-FFF2-40B4-BE49-F238E27FC236}">
                    <a16:creationId xmlns:a16="http://schemas.microsoft.com/office/drawing/2014/main" id="{00000000-0008-0000-0100-000070010000}"/>
                  </a:ext>
                </a:extLst>
              </xdr:cNvPr>
              <xdr:cNvCxnSpPr/>
            </xdr:nvCxnSpPr>
            <xdr:spPr>
              <a:xfrm flipV="1">
                <a:off x="137094310" y="12290534"/>
                <a:ext cx="899949" cy="2003535"/>
              </a:xfrm>
              <a:prstGeom prst="line">
                <a:avLst/>
              </a:prstGeom>
              <a:ln w="254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366" name="TextBox 365">
              <a:extLst>
                <a:ext uri="{FF2B5EF4-FFF2-40B4-BE49-F238E27FC236}">
                  <a16:creationId xmlns:a16="http://schemas.microsoft.com/office/drawing/2014/main" id="{00000000-0008-0000-0100-00006E010000}"/>
                </a:ext>
              </a:extLst>
            </xdr:cNvPr>
            <xdr:cNvSpPr txBox="1"/>
          </xdr:nvSpPr>
          <xdr:spPr>
            <a:xfrm>
              <a:off x="137814840" y="12392823"/>
              <a:ext cx="560418" cy="3127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112.5°</a:t>
              </a:r>
            </a:p>
          </xdr:txBody>
        </xdr:sp>
      </xdr:grpSp>
      <xdr:cxnSp macro="">
        <xdr:nvCxnSpPr>
          <xdr:cNvPr id="363" name="Straight Connector 362">
            <a:extLst>
              <a:ext uri="{FF2B5EF4-FFF2-40B4-BE49-F238E27FC236}">
                <a16:creationId xmlns:a16="http://schemas.microsoft.com/office/drawing/2014/main" id="{00000000-0008-0000-0100-00006B010000}"/>
              </a:ext>
            </a:extLst>
          </xdr:cNvPr>
          <xdr:cNvCxnSpPr>
            <a:endCxn id="371" idx="5"/>
          </xdr:cNvCxnSpPr>
        </xdr:nvCxnSpPr>
        <xdr:spPr>
          <a:xfrm flipV="1">
            <a:off x="136793632" y="22820374"/>
            <a:ext cx="1610054" cy="1602743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64" name="TextBox 363">
            <a:extLst>
              <a:ext uri="{FF2B5EF4-FFF2-40B4-BE49-F238E27FC236}">
                <a16:creationId xmlns:a16="http://schemas.microsoft.com/office/drawing/2014/main" id="{00000000-0008-0000-0100-00006C010000}"/>
              </a:ext>
            </a:extLst>
          </xdr:cNvPr>
          <xdr:cNvSpPr txBox="1"/>
        </xdr:nvSpPr>
        <xdr:spPr>
          <a:xfrm>
            <a:off x="138152511" y="22954055"/>
            <a:ext cx="559970" cy="3148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135°</a:t>
            </a:r>
          </a:p>
        </xdr:txBody>
      </xdr:sp>
    </xdr:grpSp>
    <xdr:clientData/>
  </xdr:twoCellAnchor>
  <xdr:twoCellAnchor>
    <xdr:from>
      <xdr:col>172</xdr:col>
      <xdr:colOff>184727</xdr:colOff>
      <xdr:row>152</xdr:row>
      <xdr:rowOff>116899</xdr:rowOff>
    </xdr:from>
    <xdr:to>
      <xdr:col>175</xdr:col>
      <xdr:colOff>383887</xdr:colOff>
      <xdr:row>157</xdr:row>
      <xdr:rowOff>28383</xdr:rowOff>
    </xdr:to>
    <xdr:cxnSp macro="">
      <xdr:nvCxnSpPr>
        <xdr:cNvPr id="385" name="Straight Connector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CxnSpPr/>
      </xdr:nvCxnSpPr>
      <xdr:spPr>
        <a:xfrm flipV="1">
          <a:off x="139662477" y="29665566"/>
          <a:ext cx="2040660" cy="88515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174</xdr:col>
      <xdr:colOff>583047</xdr:colOff>
      <xdr:row>153</xdr:row>
      <xdr:rowOff>12988</xdr:rowOff>
    </xdr:from>
    <xdr:to>
      <xdr:col>175</xdr:col>
      <xdr:colOff>532551</xdr:colOff>
      <xdr:row>154</xdr:row>
      <xdr:rowOff>126781</xdr:rowOff>
    </xdr:to>
    <xdr:sp macro="" textlink="">
      <xdr:nvSpPr>
        <xdr:cNvPr id="386" name="TextBox 385">
          <a:extLst>
            <a:ext uri="{FF2B5EF4-FFF2-40B4-BE49-F238E27FC236}">
              <a16:creationId xmlns:a16="http://schemas.microsoft.com/office/drawing/2014/main" id="{00000000-0008-0000-0100-000082010000}"/>
            </a:ext>
          </a:extLst>
        </xdr:cNvPr>
        <xdr:cNvSpPr txBox="1"/>
      </xdr:nvSpPr>
      <xdr:spPr>
        <a:xfrm>
          <a:off x="141288464" y="29752155"/>
          <a:ext cx="563337" cy="3148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157.5°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9525</xdr:rowOff>
        </xdr:from>
        <xdr:to>
          <xdr:col>2</xdr:col>
          <xdr:colOff>981075</xdr:colOff>
          <xdr:row>4</xdr:row>
          <xdr:rowOff>171450</xdr:rowOff>
        </xdr:to>
        <xdr:sp macro="" textlink="">
          <xdr:nvSpPr>
            <xdr:cNvPr id="76836" name="Button 36" hidden="1">
              <a:extLst>
                <a:ext uri="{63B3BB69-23CF-44E3-9099-C40C66FF867C}">
                  <a14:compatExt spid="_x0000_s76836"/>
                </a:ext>
                <a:ext uri="{FF2B5EF4-FFF2-40B4-BE49-F238E27FC236}">
                  <a16:creationId xmlns:a16="http://schemas.microsoft.com/office/drawing/2014/main" id="{00000000-0008-0000-0100-00002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47</xdr:row>
          <xdr:rowOff>180975</xdr:rowOff>
        </xdr:from>
        <xdr:to>
          <xdr:col>2</xdr:col>
          <xdr:colOff>971550</xdr:colOff>
          <xdr:row>49</xdr:row>
          <xdr:rowOff>171450</xdr:rowOff>
        </xdr:to>
        <xdr:sp macro="" textlink="">
          <xdr:nvSpPr>
            <xdr:cNvPr id="76837" name="Button 37" hidden="1">
              <a:extLst>
                <a:ext uri="{63B3BB69-23CF-44E3-9099-C40C66FF867C}">
                  <a14:compatExt spid="_x0000_s76837"/>
                </a:ext>
                <a:ext uri="{FF2B5EF4-FFF2-40B4-BE49-F238E27FC236}">
                  <a16:creationId xmlns:a16="http://schemas.microsoft.com/office/drawing/2014/main" id="{00000000-0008-0000-0100-00002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95</xdr:row>
          <xdr:rowOff>9525</xdr:rowOff>
        </xdr:from>
        <xdr:to>
          <xdr:col>2</xdr:col>
          <xdr:colOff>971550</xdr:colOff>
          <xdr:row>96</xdr:row>
          <xdr:rowOff>171450</xdr:rowOff>
        </xdr:to>
        <xdr:sp macro="" textlink="">
          <xdr:nvSpPr>
            <xdr:cNvPr id="76838" name="Button 38" hidden="1">
              <a:extLst>
                <a:ext uri="{63B3BB69-23CF-44E3-9099-C40C66FF867C}">
                  <a14:compatExt spid="_x0000_s76838"/>
                </a:ext>
                <a:ext uri="{FF2B5EF4-FFF2-40B4-BE49-F238E27FC236}">
                  <a16:creationId xmlns:a16="http://schemas.microsoft.com/office/drawing/2014/main" id="{00000000-0008-0000-0100-00002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140</xdr:row>
          <xdr:rowOff>9525</xdr:rowOff>
        </xdr:from>
        <xdr:to>
          <xdr:col>2</xdr:col>
          <xdr:colOff>971550</xdr:colOff>
          <xdr:row>141</xdr:row>
          <xdr:rowOff>161925</xdr:rowOff>
        </xdr:to>
        <xdr:sp macro="" textlink="">
          <xdr:nvSpPr>
            <xdr:cNvPr id="76839" name="Button 39" hidden="1">
              <a:extLst>
                <a:ext uri="{63B3BB69-23CF-44E3-9099-C40C66FF867C}">
                  <a14:compatExt spid="_x0000_s76839"/>
                </a:ext>
                <a:ext uri="{FF2B5EF4-FFF2-40B4-BE49-F238E27FC236}">
                  <a16:creationId xmlns:a16="http://schemas.microsoft.com/office/drawing/2014/main" id="{00000000-0008-0000-0100-00002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187</xdr:row>
          <xdr:rowOff>9525</xdr:rowOff>
        </xdr:from>
        <xdr:to>
          <xdr:col>2</xdr:col>
          <xdr:colOff>981075</xdr:colOff>
          <xdr:row>188</xdr:row>
          <xdr:rowOff>180975</xdr:rowOff>
        </xdr:to>
        <xdr:sp macro="" textlink="">
          <xdr:nvSpPr>
            <xdr:cNvPr id="76840" name="Button 40" hidden="1">
              <a:extLst>
                <a:ext uri="{63B3BB69-23CF-44E3-9099-C40C66FF867C}">
                  <a14:compatExt spid="_x0000_s76840"/>
                </a:ext>
                <a:ext uri="{FF2B5EF4-FFF2-40B4-BE49-F238E27FC236}">
                  <a16:creationId xmlns:a16="http://schemas.microsoft.com/office/drawing/2014/main" id="{00000000-0008-0000-0100-00002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571500</xdr:colOff>
      <xdr:row>14</xdr:row>
      <xdr:rowOff>166687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0</xdr:row>
      <xdr:rowOff>0</xdr:rowOff>
    </xdr:from>
    <xdr:to>
      <xdr:col>17</xdr:col>
      <xdr:colOff>571500</xdr:colOff>
      <xdr:row>14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583407</xdr:colOff>
      <xdr:row>0</xdr:row>
      <xdr:rowOff>0</xdr:rowOff>
    </xdr:from>
    <xdr:to>
      <xdr:col>26</xdr:col>
      <xdr:colOff>547688</xdr:colOff>
      <xdr:row>14</xdr:row>
      <xdr:rowOff>166687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8</xdr:col>
      <xdr:colOff>571500</xdr:colOff>
      <xdr:row>29</xdr:row>
      <xdr:rowOff>166687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15</xdr:row>
      <xdr:rowOff>0</xdr:rowOff>
    </xdr:from>
    <xdr:to>
      <xdr:col>17</xdr:col>
      <xdr:colOff>571500</xdr:colOff>
      <xdr:row>29</xdr:row>
      <xdr:rowOff>166687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15</xdr:row>
      <xdr:rowOff>0</xdr:rowOff>
    </xdr:from>
    <xdr:to>
      <xdr:col>26</xdr:col>
      <xdr:colOff>571500</xdr:colOff>
      <xdr:row>29</xdr:row>
      <xdr:rowOff>166687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8</xdr:col>
      <xdr:colOff>571500</xdr:colOff>
      <xdr:row>44</xdr:row>
      <xdr:rowOff>107156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571500</xdr:colOff>
      <xdr:row>44</xdr:row>
      <xdr:rowOff>107156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31750</xdr:colOff>
      <xdr:row>58</xdr:row>
      <xdr:rowOff>158750</xdr:rowOff>
    </xdr:from>
    <xdr:to>
      <xdr:col>26</xdr:col>
      <xdr:colOff>603250</xdr:colOff>
      <xdr:row>73</xdr:row>
      <xdr:rowOff>75406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45</xdr:row>
      <xdr:rowOff>0</xdr:rowOff>
    </xdr:from>
    <xdr:to>
      <xdr:col>8</xdr:col>
      <xdr:colOff>571500</xdr:colOff>
      <xdr:row>59</xdr:row>
      <xdr:rowOff>23812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45</xdr:row>
      <xdr:rowOff>0</xdr:rowOff>
    </xdr:from>
    <xdr:to>
      <xdr:col>17</xdr:col>
      <xdr:colOff>571500</xdr:colOff>
      <xdr:row>59</xdr:row>
      <xdr:rowOff>23812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59</xdr:row>
      <xdr:rowOff>0</xdr:rowOff>
    </xdr:from>
    <xdr:to>
      <xdr:col>8</xdr:col>
      <xdr:colOff>571500</xdr:colOff>
      <xdr:row>73</xdr:row>
      <xdr:rowOff>107156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0</xdr:colOff>
      <xdr:row>59</xdr:row>
      <xdr:rowOff>0</xdr:rowOff>
    </xdr:from>
    <xdr:to>
      <xdr:col>17</xdr:col>
      <xdr:colOff>571500</xdr:colOff>
      <xdr:row>73</xdr:row>
      <xdr:rowOff>107156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571500</xdr:colOff>
      <xdr:row>44</xdr:row>
      <xdr:rowOff>107156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19050</xdr:colOff>
          <xdr:row>1</xdr:row>
          <xdr:rowOff>28575</xdr:rowOff>
        </xdr:from>
        <xdr:to>
          <xdr:col>31</xdr:col>
          <xdr:colOff>590550</xdr:colOff>
          <xdr:row>5</xdr:row>
          <xdr:rowOff>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2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Toggle Plot Legends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30</xdr:row>
      <xdr:rowOff>0</xdr:rowOff>
    </xdr:from>
    <xdr:to>
      <xdr:col>35</xdr:col>
      <xdr:colOff>571500</xdr:colOff>
      <xdr:row>44</xdr:row>
      <xdr:rowOff>107156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19050</xdr:colOff>
          <xdr:row>15</xdr:row>
          <xdr:rowOff>19050</xdr:rowOff>
        </xdr:from>
        <xdr:to>
          <xdr:col>31</xdr:col>
          <xdr:colOff>590550</xdr:colOff>
          <xdr:row>19</xdr:row>
          <xdr:rowOff>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2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Error Bars 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rew Ryan" id="{A374638A-781B-4B02-81E1-62E0727E46CA}" userId="4669f44cbc8e468e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U245" dT="2022-09-07T13:55:56.62" personId="{A374638A-781B-4B02-81E1-62E0727E46CA}" id="{7CE2C496-AAE0-437B-9306-2BBAE2E10ADE}">
    <text>These four (Vr - F) currently do not work.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microsoft.com/office/2017/10/relationships/threadedComment" Target="../threadedComments/threadedComment1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K73"/>
  <sheetViews>
    <sheetView zoomScale="70" zoomScaleNormal="70" workbookViewId="0">
      <selection activeCell="D3" sqref="D3"/>
    </sheetView>
  </sheetViews>
  <sheetFormatPr defaultColWidth="9.140625" defaultRowHeight="15" x14ac:dyDescent="0.25"/>
  <cols>
    <col min="1" max="1" width="20.28515625" style="3" customWidth="1"/>
    <col min="2" max="2" width="18.7109375" style="3" customWidth="1"/>
    <col min="3" max="3" width="19.85546875" style="3" customWidth="1"/>
    <col min="4" max="4" width="15.85546875" style="3" customWidth="1"/>
    <col min="5" max="5" width="16.85546875" style="3" customWidth="1"/>
    <col min="6" max="6" width="13" style="3" bestFit="1" customWidth="1"/>
    <col min="7" max="7" width="12.28515625" style="3" customWidth="1"/>
    <col min="8" max="8" width="18.5703125" style="3" customWidth="1"/>
    <col min="9" max="9" width="14.28515625" style="3" customWidth="1"/>
    <col min="10" max="10" width="17" style="3" customWidth="1"/>
    <col min="11" max="11" width="12.7109375" style="3" customWidth="1"/>
    <col min="12" max="12" width="14.7109375" style="3" customWidth="1"/>
    <col min="13" max="13" width="16.140625" style="3" customWidth="1"/>
    <col min="14" max="14" width="15.5703125" style="3" customWidth="1"/>
    <col min="15" max="15" width="16.7109375" style="3" customWidth="1"/>
    <col min="16" max="16" width="15.7109375" style="3" bestFit="1" customWidth="1"/>
    <col min="17" max="17" width="15.7109375" style="3" customWidth="1"/>
    <col min="18" max="18" width="18.140625" style="3" bestFit="1" customWidth="1"/>
    <col min="19" max="19" width="18.140625" style="3" customWidth="1"/>
    <col min="20" max="20" width="10.28515625" style="3" bestFit="1" customWidth="1"/>
    <col min="21" max="21" width="15" style="3" customWidth="1"/>
    <col min="22" max="22" width="13.5703125" style="3" bestFit="1" customWidth="1"/>
    <col min="23" max="23" width="14.140625" style="3" bestFit="1" customWidth="1"/>
    <col min="24" max="24" width="10.85546875" style="3" customWidth="1"/>
    <col min="25" max="25" width="10" style="3" customWidth="1"/>
    <col min="26" max="27" width="9.7109375" style="3" bestFit="1" customWidth="1"/>
    <col min="28" max="28" width="10.5703125" style="3" bestFit="1" customWidth="1"/>
    <col min="29" max="29" width="9.85546875" style="3" bestFit="1" customWidth="1"/>
    <col min="30" max="31" width="10" style="3" bestFit="1" customWidth="1"/>
    <col min="32" max="33" width="11.28515625" style="3" bestFit="1" customWidth="1"/>
    <col min="34" max="35" width="11.42578125" style="3" bestFit="1" customWidth="1"/>
    <col min="36" max="36" width="8.5703125" style="3" bestFit="1" customWidth="1"/>
    <col min="37" max="37" width="11.28515625" style="3" customWidth="1"/>
    <col min="38" max="38" width="10" style="3" bestFit="1" customWidth="1"/>
    <col min="39" max="39" width="9.140625" style="3" bestFit="1" customWidth="1"/>
    <col min="40" max="40" width="10" style="3" bestFit="1" customWidth="1"/>
    <col min="41" max="41" width="9.140625" style="3" bestFit="1" customWidth="1"/>
    <col min="42" max="42" width="19.42578125" style="3" customWidth="1"/>
    <col min="43" max="43" width="11.28515625" style="3" bestFit="1" customWidth="1"/>
    <col min="44" max="45" width="11.42578125" style="3" bestFit="1" customWidth="1"/>
    <col min="46" max="46" width="8.7109375" style="3" bestFit="1" customWidth="1"/>
    <col min="47" max="47" width="18.7109375" style="3" customWidth="1"/>
    <col min="48" max="48" width="8.5703125" style="3" customWidth="1"/>
    <col min="49" max="49" width="9.85546875" style="3" customWidth="1"/>
    <col min="50" max="50" width="12.140625" style="3" customWidth="1"/>
    <col min="51" max="51" width="11.7109375" style="3" customWidth="1"/>
    <col min="52" max="57" width="5.7109375" style="3" bestFit="1" customWidth="1"/>
    <col min="58" max="58" width="5.7109375" style="3" customWidth="1"/>
    <col min="59" max="59" width="9.7109375" style="3" bestFit="1" customWidth="1"/>
    <col min="60" max="60" width="10.7109375" style="3" bestFit="1" customWidth="1"/>
    <col min="61" max="61" width="10.85546875" style="3" bestFit="1" customWidth="1"/>
    <col min="62" max="62" width="18.42578125" style="3" bestFit="1" customWidth="1"/>
    <col min="63" max="63" width="8.5703125" style="3" customWidth="1"/>
    <col min="64" max="86" width="9.140625" style="3"/>
    <col min="87" max="87" width="9.140625" style="3" customWidth="1"/>
    <col min="88" max="90" width="9.140625" style="3"/>
    <col min="91" max="91" width="21.28515625" style="3" bestFit="1" customWidth="1"/>
    <col min="92" max="16384" width="9.140625" style="3"/>
  </cols>
  <sheetData>
    <row r="1" spans="1:63" ht="15.75" thickBot="1" x14ac:dyDescent="0.3">
      <c r="A1" s="197" t="s">
        <v>32</v>
      </c>
      <c r="B1" s="198"/>
      <c r="C1" s="198"/>
      <c r="D1" s="198"/>
      <c r="E1" s="198"/>
      <c r="F1" s="198"/>
      <c r="G1" s="198"/>
      <c r="H1" s="199"/>
      <c r="I1" s="76"/>
      <c r="J1" s="76"/>
      <c r="M1" s="12" t="s">
        <v>56</v>
      </c>
      <c r="W1" s="200"/>
      <c r="X1" s="200"/>
    </row>
    <row r="2" spans="1:63" ht="18.75" thickBot="1" x14ac:dyDescent="0.3">
      <c r="A2" s="103" t="s">
        <v>0</v>
      </c>
      <c r="B2" s="98" t="s">
        <v>311</v>
      </c>
      <c r="C2" s="103" t="s">
        <v>4</v>
      </c>
      <c r="D2" s="101">
        <v>6.2</v>
      </c>
      <c r="E2" s="103" t="s">
        <v>8</v>
      </c>
      <c r="F2" s="101"/>
      <c r="G2" s="201" t="s">
        <v>31</v>
      </c>
      <c r="H2" s="202"/>
      <c r="I2" s="76"/>
      <c r="J2" s="76"/>
      <c r="M2" s="4"/>
      <c r="W2" s="76"/>
      <c r="X2" s="110"/>
    </row>
    <row r="3" spans="1:63" ht="18.75" thickBot="1" x14ac:dyDescent="0.3">
      <c r="A3" s="97" t="s">
        <v>11</v>
      </c>
      <c r="B3" s="99">
        <v>45517</v>
      </c>
      <c r="C3" s="97" t="s">
        <v>5</v>
      </c>
      <c r="D3" s="102">
        <v>10</v>
      </c>
      <c r="E3" s="97" t="s">
        <v>9</v>
      </c>
      <c r="F3" s="188"/>
      <c r="G3" s="97" t="s">
        <v>29</v>
      </c>
      <c r="H3" s="8" t="s">
        <v>30</v>
      </c>
      <c r="I3" s="76"/>
      <c r="J3" s="76"/>
      <c r="M3" s="197" t="s">
        <v>104</v>
      </c>
      <c r="N3" s="198"/>
      <c r="O3" s="199"/>
      <c r="Q3" s="197" t="s">
        <v>234</v>
      </c>
      <c r="R3" s="198"/>
      <c r="S3" s="199"/>
      <c r="W3" s="76"/>
      <c r="X3" s="110"/>
    </row>
    <row r="4" spans="1:63" ht="18" customHeight="1" thickBot="1" x14ac:dyDescent="0.3">
      <c r="A4" s="9" t="s">
        <v>1</v>
      </c>
      <c r="B4" s="100">
        <v>3</v>
      </c>
      <c r="C4" s="97" t="s">
        <v>6</v>
      </c>
      <c r="D4" s="102">
        <f>CONVERT(24, "C", "F")</f>
        <v>75.2</v>
      </c>
      <c r="E4" s="97" t="s">
        <v>12</v>
      </c>
      <c r="F4" s="5">
        <v>3.75</v>
      </c>
      <c r="G4" s="10"/>
      <c r="H4" s="11"/>
      <c r="M4" s="208" t="s">
        <v>105</v>
      </c>
      <c r="N4" s="210" t="s">
        <v>106</v>
      </c>
      <c r="O4" s="211"/>
      <c r="Q4" s="208" t="s">
        <v>218</v>
      </c>
      <c r="R4" s="210" t="s">
        <v>218</v>
      </c>
      <c r="S4" s="211"/>
      <c r="W4" s="76"/>
      <c r="X4" s="110"/>
    </row>
    <row r="5" spans="1:63" ht="18.75" thickBot="1" x14ac:dyDescent="0.3">
      <c r="A5" s="9" t="s">
        <v>120</v>
      </c>
      <c r="B5" s="100">
        <v>888</v>
      </c>
      <c r="C5" s="97" t="s">
        <v>7</v>
      </c>
      <c r="D5" s="2">
        <f>D2*SQRT((D3+14.696)*530/(14.696*(460+D4)))</f>
        <v>7.9980719834117409</v>
      </c>
      <c r="E5" s="9" t="s">
        <v>3</v>
      </c>
      <c r="F5" s="7">
        <v>0.75</v>
      </c>
      <c r="M5" s="209"/>
      <c r="N5" s="65" t="s">
        <v>108</v>
      </c>
      <c r="O5" s="66" t="s">
        <v>109</v>
      </c>
      <c r="Q5" s="209"/>
      <c r="R5" s="65" t="s">
        <v>108</v>
      </c>
      <c r="S5" s="66" t="s">
        <v>109</v>
      </c>
      <c r="T5" s="66" t="s">
        <v>232</v>
      </c>
      <c r="W5" s="76"/>
      <c r="X5" s="110"/>
    </row>
    <row r="6" spans="1:63" ht="18.75" thickBot="1" x14ac:dyDescent="0.3">
      <c r="A6" s="9" t="s">
        <v>214</v>
      </c>
      <c r="B6" s="100">
        <v>90</v>
      </c>
      <c r="C6" s="9" t="s">
        <v>2</v>
      </c>
      <c r="D6" s="6">
        <f>D5*0.00000786579072/(PI()/4*0.0254^2)</f>
        <v>0.12415676298495501</v>
      </c>
      <c r="E6" s="9" t="s">
        <v>238</v>
      </c>
      <c r="F6" s="179"/>
      <c r="M6" s="71" t="s">
        <v>115</v>
      </c>
      <c r="N6" s="72">
        <v>39.5</v>
      </c>
      <c r="O6" s="73">
        <f>N6*0.0254</f>
        <v>1.0032999999999999</v>
      </c>
      <c r="Q6" s="71" t="s">
        <v>219</v>
      </c>
      <c r="R6" s="72">
        <v>23.5</v>
      </c>
      <c r="S6" s="73">
        <f>R6*0.0254</f>
        <v>0.59689999999999999</v>
      </c>
      <c r="T6" s="73" t="s">
        <v>233</v>
      </c>
      <c r="W6" s="76"/>
      <c r="X6" s="110"/>
    </row>
    <row r="7" spans="1:63" ht="15.75" thickBot="1" x14ac:dyDescent="0.3">
      <c r="C7" s="76"/>
      <c r="M7" s="71" t="s">
        <v>117</v>
      </c>
      <c r="N7" s="72">
        <v>39.5</v>
      </c>
      <c r="O7" s="73">
        <f>N7*0.0254</f>
        <v>1.0032999999999999</v>
      </c>
      <c r="Q7" s="71" t="s">
        <v>220</v>
      </c>
      <c r="R7" s="72">
        <v>5</v>
      </c>
      <c r="S7" s="73">
        <f>R7*0.0254</f>
        <v>0.127</v>
      </c>
      <c r="T7" s="73" t="s">
        <v>233</v>
      </c>
      <c r="W7" s="76"/>
      <c r="X7" s="110"/>
    </row>
    <row r="8" spans="1:63" ht="41.25" customHeight="1" thickBot="1" x14ac:dyDescent="0.3">
      <c r="A8" s="197" t="s">
        <v>22</v>
      </c>
      <c r="B8" s="198"/>
      <c r="C8" s="198"/>
      <c r="D8" s="198"/>
      <c r="E8" s="198"/>
      <c r="F8" s="198"/>
      <c r="G8" s="198"/>
      <c r="H8" s="199"/>
      <c r="I8" s="76"/>
      <c r="J8" s="76"/>
      <c r="M8" s="71" t="s">
        <v>206</v>
      </c>
      <c r="N8" s="170">
        <f>$R$6+(R8-$R$6)*(SIN($B$6*PI()/180))+$R$7*COS($B$6*PI()/180)</f>
        <v>80</v>
      </c>
      <c r="O8" s="73">
        <f t="shared" ref="O8:O12" si="0">N8*0.0254</f>
        <v>2.032</v>
      </c>
      <c r="Q8" s="71" t="s">
        <v>221</v>
      </c>
      <c r="R8" s="72">
        <v>80</v>
      </c>
      <c r="S8" s="73">
        <f t="shared" ref="S8:S12" si="1">R8*0.0254</f>
        <v>2.032</v>
      </c>
      <c r="T8" s="73">
        <v>30</v>
      </c>
    </row>
    <row r="9" spans="1:63" ht="50.25" customHeight="1" thickBot="1" x14ac:dyDescent="0.3">
      <c r="A9" s="203" t="s">
        <v>13</v>
      </c>
      <c r="B9" s="204"/>
      <c r="C9" s="205" t="s">
        <v>239</v>
      </c>
      <c r="D9" s="206"/>
      <c r="E9" s="206"/>
      <c r="F9" s="206"/>
      <c r="G9" s="206"/>
      <c r="H9" s="207"/>
      <c r="I9" s="1"/>
      <c r="J9" s="1"/>
      <c r="M9" s="71" t="s">
        <v>207</v>
      </c>
      <c r="N9" s="170">
        <f>$R$6+(R9-$R$6)*(SIN($B$6*PI()/180))+$R$7*COS($B$6*PI()/180)</f>
        <v>116</v>
      </c>
      <c r="O9" s="73">
        <f t="shared" si="0"/>
        <v>2.9463999999999997</v>
      </c>
      <c r="Q9" s="71" t="s">
        <v>222</v>
      </c>
      <c r="R9" s="72">
        <v>116</v>
      </c>
      <c r="S9" s="73">
        <f t="shared" si="1"/>
        <v>2.9463999999999997</v>
      </c>
      <c r="T9" s="73">
        <v>66</v>
      </c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</row>
    <row r="10" spans="1:63" x14ac:dyDescent="0.25">
      <c r="M10" s="71" t="s">
        <v>208</v>
      </c>
      <c r="N10" s="170">
        <f>$R$6+(R10-$R$6)*(SIN($B$6*PI()/180))+$R$7*COS($B$6*PI()/180)</f>
        <v>158</v>
      </c>
      <c r="O10" s="73">
        <f t="shared" si="0"/>
        <v>4.0131999999999994</v>
      </c>
      <c r="Q10" s="71" t="s">
        <v>223</v>
      </c>
      <c r="R10" s="72">
        <v>158</v>
      </c>
      <c r="S10" s="73">
        <f t="shared" si="1"/>
        <v>4.0131999999999994</v>
      </c>
      <c r="T10" s="73">
        <v>110</v>
      </c>
    </row>
    <row r="11" spans="1:63" x14ac:dyDescent="0.25">
      <c r="M11" s="71" t="s">
        <v>215</v>
      </c>
      <c r="N11" s="170">
        <f>$R$6+(R11-$R$6)*(SIN($B$6*PI()/180))+$R$7*COS($B$6*PI()/180)</f>
        <v>173</v>
      </c>
      <c r="O11" s="73">
        <f t="shared" si="0"/>
        <v>4.3941999999999997</v>
      </c>
      <c r="Q11" s="71" t="s">
        <v>224</v>
      </c>
      <c r="R11" s="72">
        <v>173</v>
      </c>
      <c r="S11" s="73">
        <f t="shared" si="1"/>
        <v>4.3941999999999997</v>
      </c>
      <c r="T11" s="73">
        <v>124.14</v>
      </c>
    </row>
    <row r="12" spans="1:63" ht="15.75" thickBot="1" x14ac:dyDescent="0.3">
      <c r="M12" s="167" t="s">
        <v>216</v>
      </c>
      <c r="N12" s="171">
        <f>$R$6+(R12-$R$6)*(SIN($B$6*PI()/180))+$R$7*COS($B$6*PI()/180)</f>
        <v>158</v>
      </c>
      <c r="O12" s="169">
        <f t="shared" si="0"/>
        <v>4.0131999999999994</v>
      </c>
      <c r="Q12" s="167" t="s">
        <v>225</v>
      </c>
      <c r="R12" s="168">
        <v>158</v>
      </c>
      <c r="S12" s="169">
        <f t="shared" si="1"/>
        <v>4.0131999999999994</v>
      </c>
      <c r="T12" s="169">
        <v>138.27000000000001</v>
      </c>
    </row>
    <row r="13" spans="1:63" ht="32.25" customHeight="1" thickBot="1" x14ac:dyDescent="0.3">
      <c r="A13" s="220" t="s">
        <v>103</v>
      </c>
      <c r="B13" s="221"/>
    </row>
    <row r="14" spans="1:63" ht="46.5" customHeight="1" thickBot="1" x14ac:dyDescent="0.3">
      <c r="A14" s="77" t="s">
        <v>10</v>
      </c>
      <c r="B14" s="62">
        <v>30</v>
      </c>
      <c r="J14" s="3" t="s">
        <v>270</v>
      </c>
      <c r="K14" s="3">
        <v>998</v>
      </c>
    </row>
    <row r="15" spans="1:63" ht="47.25" customHeight="1" thickBot="1" x14ac:dyDescent="0.3">
      <c r="A15" s="63" t="s">
        <v>107</v>
      </c>
      <c r="B15" s="64"/>
      <c r="C15" s="175"/>
      <c r="D15" s="176"/>
      <c r="E15" s="176"/>
      <c r="F15" s="176"/>
      <c r="I15" s="67" t="s">
        <v>1</v>
      </c>
      <c r="J15" s="95" t="s">
        <v>217</v>
      </c>
      <c r="K15" s="95" t="s">
        <v>110</v>
      </c>
      <c r="L15" s="95" t="s">
        <v>111</v>
      </c>
      <c r="M15" s="95" t="s">
        <v>267</v>
      </c>
      <c r="N15" s="95" t="s">
        <v>268</v>
      </c>
      <c r="O15" s="68" t="s">
        <v>112</v>
      </c>
      <c r="P15" s="189" t="s">
        <v>269</v>
      </c>
      <c r="R15" s="69" t="s">
        <v>113</v>
      </c>
      <c r="S15" s="69" t="s">
        <v>306</v>
      </c>
      <c r="U15" s="189" t="s">
        <v>269</v>
      </c>
    </row>
    <row r="16" spans="1:63" ht="18.75" thickBot="1" x14ac:dyDescent="0.3">
      <c r="A16" s="70" t="s">
        <v>114</v>
      </c>
      <c r="B16" s="104">
        <v>0</v>
      </c>
      <c r="C16" s="104">
        <v>0</v>
      </c>
      <c r="D16" s="104">
        <v>0</v>
      </c>
      <c r="E16" s="104">
        <v>0</v>
      </c>
      <c r="F16" s="104">
        <v>0</v>
      </c>
      <c r="H16"/>
      <c r="I16" s="190">
        <v>1</v>
      </c>
      <c r="J16" s="75">
        <f>O8-$O$7</f>
        <v>1.0287000000000002</v>
      </c>
      <c r="K16" s="75">
        <f>T8</f>
        <v>30</v>
      </c>
      <c r="L16" s="75">
        <f>($K$14*9.81*(J16))/(6894.75729)</f>
        <v>1.4607278374551751</v>
      </c>
      <c r="M16" s="106"/>
      <c r="N16" s="193">
        <f>M16-L16</f>
        <v>-1.4607278374551751</v>
      </c>
      <c r="O16" s="191">
        <f>$D$6*14.696/(14.696+N16)</f>
        <v>0.13785948384125035</v>
      </c>
      <c r="P16" s="75" t="e">
        <f>IF(I16=$B$4,($R$16-O16)/$R$16*100,NA())</f>
        <v>#N/A</v>
      </c>
      <c r="R16" s="74">
        <f>'2'!AF246</f>
        <v>5.2639999999999999E-2</v>
      </c>
      <c r="S16" s="74" t="e">
        <f>'2'!AR246</f>
        <v>#N/A</v>
      </c>
      <c r="T16"/>
      <c r="U16" s="75" t="e">
        <f>($S$16-F5)/$S$16*100</f>
        <v>#N/A</v>
      </c>
      <c r="V16"/>
      <c r="W16"/>
      <c r="X16"/>
      <c r="Y16"/>
    </row>
    <row r="17" spans="1:52" ht="18.75" thickBot="1" x14ac:dyDescent="0.3">
      <c r="A17" s="166" t="s">
        <v>116</v>
      </c>
      <c r="B17" s="11">
        <v>10</v>
      </c>
      <c r="C17" s="11">
        <v>10</v>
      </c>
      <c r="D17" s="11">
        <v>10</v>
      </c>
      <c r="E17" s="11">
        <v>10</v>
      </c>
      <c r="F17" s="11">
        <v>10</v>
      </c>
      <c r="H17"/>
      <c r="I17" s="190">
        <v>2</v>
      </c>
      <c r="J17" s="75">
        <f>O9-$O$7</f>
        <v>1.9430999999999998</v>
      </c>
      <c r="K17" s="75">
        <f>T9</f>
        <v>66</v>
      </c>
      <c r="L17" s="75">
        <f t="shared" ref="L17:L20" si="2">($K$14*9.81*(J17))/(6894.75729)</f>
        <v>2.7591525818597744</v>
      </c>
      <c r="M17" s="106"/>
      <c r="N17" s="75">
        <f t="shared" ref="N17:N20" si="3">M17-L17</f>
        <v>-2.7591525818597744</v>
      </c>
      <c r="O17" s="191">
        <f t="shared" ref="O17:O20" si="4">$D$6*14.696/(14.696+N17)</f>
        <v>0.15285508182454216</v>
      </c>
      <c r="P17" s="75" t="e">
        <f t="shared" ref="P17:P20" si="5">IF(I17=$B$4,($R$16-O17)/$R$16*100,NA())</f>
        <v>#N/A</v>
      </c>
      <c r="Q17" s="110"/>
      <c r="R17" s="110"/>
      <c r="S17"/>
      <c r="T17"/>
      <c r="U17" s="194"/>
      <c r="V17"/>
      <c r="W17"/>
      <c r="X17"/>
      <c r="Y17"/>
    </row>
    <row r="18" spans="1:52" ht="15.75" thickBot="1" x14ac:dyDescent="0.3">
      <c r="A18" s="172"/>
      <c r="B18" s="173" t="s">
        <v>226</v>
      </c>
      <c r="C18" s="173" t="s">
        <v>227</v>
      </c>
      <c r="D18" s="173" t="s">
        <v>228</v>
      </c>
      <c r="E18" s="173" t="s">
        <v>229</v>
      </c>
      <c r="F18" s="174" t="s">
        <v>230</v>
      </c>
      <c r="H18"/>
      <c r="I18" s="190">
        <v>3</v>
      </c>
      <c r="J18" s="75">
        <f>O10-$O$7</f>
        <v>3.0098999999999996</v>
      </c>
      <c r="K18" s="75">
        <f>T10</f>
        <v>110</v>
      </c>
      <c r="L18" s="75">
        <f t="shared" si="2"/>
        <v>4.2739814503318074</v>
      </c>
      <c r="M18" s="106"/>
      <c r="N18" s="193">
        <v>3.5</v>
      </c>
      <c r="O18" s="191">
        <f t="shared" si="4"/>
        <v>0.1002752137187788</v>
      </c>
      <c r="P18" s="75">
        <f t="shared" si="5"/>
        <v>-90.492427277315358</v>
      </c>
      <c r="Q18" s="110"/>
      <c r="R18" s="110"/>
      <c r="S18"/>
      <c r="T18"/>
      <c r="U18" s="194"/>
      <c r="V18"/>
      <c r="W18"/>
      <c r="X18"/>
      <c r="Y18"/>
    </row>
    <row r="19" spans="1:52" ht="15.75" thickBot="1" x14ac:dyDescent="0.3">
      <c r="A19" s="213" t="s">
        <v>118</v>
      </c>
      <c r="B19" s="105">
        <v>0</v>
      </c>
      <c r="C19" s="105">
        <v>0</v>
      </c>
      <c r="D19" s="105">
        <v>0</v>
      </c>
      <c r="E19" s="105">
        <v>0</v>
      </c>
      <c r="F19" s="105">
        <v>0</v>
      </c>
      <c r="H19"/>
      <c r="I19" s="190">
        <v>4</v>
      </c>
      <c r="J19" s="75">
        <f>O11-$O$7</f>
        <v>3.3908999999999998</v>
      </c>
      <c r="K19" s="75">
        <f>T11</f>
        <v>124.14</v>
      </c>
      <c r="L19" s="75">
        <f t="shared" si="2"/>
        <v>4.8149917605003907</v>
      </c>
      <c r="M19" s="106"/>
      <c r="N19" s="75">
        <f t="shared" si="3"/>
        <v>-4.8149917605003907</v>
      </c>
      <c r="O19" s="191">
        <f t="shared" si="4"/>
        <v>0.18465805761936091</v>
      </c>
      <c r="P19" s="75" t="e">
        <f t="shared" si="5"/>
        <v>#N/A</v>
      </c>
      <c r="Q19" s="110"/>
      <c r="R19" s="110"/>
      <c r="S19"/>
      <c r="T19"/>
      <c r="U19" s="194"/>
      <c r="V19"/>
      <c r="W19"/>
      <c r="X19"/>
      <c r="Y19"/>
    </row>
    <row r="20" spans="1:52" ht="15.75" thickBot="1" x14ac:dyDescent="0.3">
      <c r="A20" s="214"/>
      <c r="B20" s="106"/>
      <c r="C20" s="106"/>
      <c r="D20" s="106"/>
      <c r="E20" s="106"/>
      <c r="F20" s="106"/>
      <c r="H20"/>
      <c r="I20" s="190">
        <v>5</v>
      </c>
      <c r="J20" s="75">
        <f>O12-$O$7</f>
        <v>3.0098999999999996</v>
      </c>
      <c r="K20" s="75">
        <f>T12</f>
        <v>138.27000000000001</v>
      </c>
      <c r="L20" s="75">
        <f t="shared" si="2"/>
        <v>4.2739814503318074</v>
      </c>
      <c r="M20" s="106"/>
      <c r="N20" s="75">
        <f t="shared" si="3"/>
        <v>-4.2739814503318074</v>
      </c>
      <c r="O20" s="191">
        <f t="shared" si="4"/>
        <v>0.17507239889579637</v>
      </c>
      <c r="P20" s="75" t="e">
        <f t="shared" si="5"/>
        <v>#N/A</v>
      </c>
      <c r="Q20" s="110"/>
      <c r="R20" s="110"/>
      <c r="S20"/>
      <c r="T20"/>
      <c r="U20" s="194"/>
      <c r="V20"/>
      <c r="W20"/>
      <c r="X20"/>
      <c r="Y20"/>
    </row>
    <row r="21" spans="1:52" ht="15.75" customHeight="1" x14ac:dyDescent="0.25">
      <c r="A21" s="214"/>
      <c r="B21" s="106"/>
      <c r="C21" s="106"/>
      <c r="D21" s="106"/>
      <c r="E21" s="106"/>
      <c r="F21" s="106"/>
      <c r="H21"/>
      <c r="I21" s="216"/>
      <c r="J21" s="216"/>
      <c r="K21"/>
      <c r="L21"/>
      <c r="M21"/>
      <c r="N21"/>
      <c r="O21"/>
      <c r="P21"/>
      <c r="Q21"/>
      <c r="R21"/>
      <c r="S21"/>
      <c r="T21"/>
      <c r="U21"/>
      <c r="V21"/>
      <c r="W21" s="216"/>
      <c r="X21" s="216"/>
      <c r="Y21"/>
    </row>
    <row r="22" spans="1:52" ht="52.5" customHeight="1" x14ac:dyDescent="0.25">
      <c r="A22" s="214"/>
      <c r="B22" s="106"/>
      <c r="C22" s="106"/>
      <c r="D22" s="106"/>
      <c r="E22" s="106"/>
      <c r="F22" s="106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 s="110"/>
      <c r="AA22" s="110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</row>
    <row r="23" spans="1:52" x14ac:dyDescent="0.25">
      <c r="A23" s="214"/>
      <c r="B23" s="106"/>
      <c r="C23" s="106"/>
      <c r="D23" s="106"/>
      <c r="E23" s="106"/>
      <c r="F23" s="106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 s="110"/>
      <c r="AA23" s="110"/>
    </row>
    <row r="24" spans="1:52" x14ac:dyDescent="0.25">
      <c r="A24" s="214"/>
      <c r="B24" s="106"/>
      <c r="C24" s="106"/>
      <c r="D24" s="106"/>
      <c r="E24" s="106"/>
      <c r="F24" s="106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 s="110"/>
      <c r="AA24" s="110"/>
    </row>
    <row r="25" spans="1:52" x14ac:dyDescent="0.25">
      <c r="A25" s="214"/>
      <c r="B25" s="106"/>
      <c r="C25" s="106"/>
      <c r="D25" s="106"/>
      <c r="E25" s="106"/>
      <c r="F25" s="106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 s="110"/>
      <c r="AA25" s="110"/>
      <c r="AD25" s="212"/>
      <c r="AE25" s="212"/>
      <c r="AF25" s="212"/>
      <c r="AG25" s="212"/>
      <c r="AH25" s="212"/>
      <c r="AI25" s="212"/>
      <c r="AJ25" s="212"/>
      <c r="AK25" s="161"/>
      <c r="AL25" s="161"/>
      <c r="AM25" s="161"/>
      <c r="AN25" s="161"/>
      <c r="AO25" s="161"/>
      <c r="AP25" s="161"/>
      <c r="AQ25" s="161"/>
      <c r="AZ25" s="76"/>
    </row>
    <row r="26" spans="1:52" x14ac:dyDescent="0.25">
      <c r="A26" s="214"/>
      <c r="B26" s="106"/>
      <c r="C26" s="106"/>
      <c r="D26" s="106"/>
      <c r="E26" s="106"/>
      <c r="F26" s="106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</row>
    <row r="27" spans="1:52" x14ac:dyDescent="0.25">
      <c r="A27" s="214"/>
      <c r="B27" s="106"/>
      <c r="C27" s="106"/>
      <c r="D27" s="106"/>
      <c r="E27" s="106"/>
      <c r="F27" s="106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</row>
    <row r="28" spans="1:52" x14ac:dyDescent="0.25">
      <c r="A28" s="214"/>
      <c r="B28" s="106"/>
      <c r="C28" s="106"/>
      <c r="D28" s="106"/>
      <c r="E28" s="106"/>
      <c r="F28" s="106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82"/>
      <c r="V28" s="110"/>
      <c r="W28" s="181"/>
      <c r="X28" s="110"/>
      <c r="Y28" s="110"/>
      <c r="Z28" s="110"/>
      <c r="AA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</row>
    <row r="29" spans="1:52" ht="15.75" customHeight="1" x14ac:dyDescent="0.25">
      <c r="A29" s="214"/>
      <c r="B29" s="106"/>
      <c r="C29" s="106"/>
      <c r="D29" s="106"/>
      <c r="E29" s="106"/>
      <c r="F29" s="106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</row>
    <row r="30" spans="1:52" x14ac:dyDescent="0.25">
      <c r="A30" s="214"/>
      <c r="B30" s="106"/>
      <c r="C30" s="106"/>
      <c r="D30" s="106"/>
      <c r="E30" s="106"/>
      <c r="F30" s="106"/>
      <c r="H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</row>
    <row r="31" spans="1:52" ht="15.75" customHeight="1" x14ac:dyDescent="0.25">
      <c r="A31" s="214"/>
      <c r="B31" s="107"/>
      <c r="C31" s="106"/>
      <c r="D31" s="107"/>
      <c r="E31" s="107"/>
      <c r="F31" s="107"/>
      <c r="H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</row>
    <row r="32" spans="1:52" x14ac:dyDescent="0.25">
      <c r="A32" s="214"/>
      <c r="B32" s="107"/>
      <c r="C32" s="106"/>
      <c r="D32" s="107"/>
      <c r="E32" s="107"/>
      <c r="F32" s="107"/>
      <c r="H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</row>
    <row r="33" spans="1:43" x14ac:dyDescent="0.25">
      <c r="A33" s="214"/>
      <c r="B33" s="107"/>
      <c r="C33" s="106"/>
      <c r="D33" s="107"/>
      <c r="E33" s="107"/>
      <c r="F33" s="107"/>
      <c r="H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</row>
    <row r="34" spans="1:43" x14ac:dyDescent="0.25">
      <c r="A34" s="214"/>
      <c r="B34" s="107"/>
      <c r="C34" s="106"/>
      <c r="D34" s="107"/>
      <c r="E34" s="107"/>
      <c r="F34" s="107"/>
      <c r="H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</row>
    <row r="35" spans="1:43" x14ac:dyDescent="0.25">
      <c r="A35" s="214"/>
      <c r="B35" s="107"/>
      <c r="C35" s="106"/>
      <c r="D35" s="107"/>
      <c r="E35" s="107"/>
      <c r="F35" s="107"/>
      <c r="H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</row>
    <row r="36" spans="1:43" x14ac:dyDescent="0.25">
      <c r="A36" s="214"/>
      <c r="B36" s="107"/>
      <c r="C36" s="106"/>
      <c r="D36" s="107"/>
      <c r="E36" s="107"/>
      <c r="F36" s="107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</row>
    <row r="37" spans="1:43" x14ac:dyDescent="0.25">
      <c r="A37" s="214"/>
      <c r="B37" s="107"/>
      <c r="C37" s="106"/>
      <c r="D37" s="107"/>
      <c r="E37" s="107"/>
      <c r="F37" s="107"/>
      <c r="H37" s="110"/>
      <c r="I37" s="110"/>
      <c r="J37" s="110"/>
      <c r="K37" s="110"/>
      <c r="L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</row>
    <row r="38" spans="1:43" ht="15.75" thickBot="1" x14ac:dyDescent="0.3">
      <c r="A38" s="215"/>
      <c r="B38" s="108"/>
      <c r="C38" s="108"/>
      <c r="D38" s="108"/>
      <c r="E38" s="108"/>
      <c r="F38" s="108"/>
      <c r="H38" s="110"/>
      <c r="I38" s="110"/>
      <c r="J38" s="110"/>
      <c r="K38" s="110"/>
      <c r="L38" s="110"/>
      <c r="P38" s="110"/>
      <c r="Q38" s="110"/>
      <c r="R38" s="110"/>
      <c r="S38" s="110"/>
      <c r="T38" s="110"/>
      <c r="U38" s="110"/>
      <c r="V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</row>
    <row r="39" spans="1:43" x14ac:dyDescent="0.25">
      <c r="A39" s="78" t="s">
        <v>127</v>
      </c>
      <c r="B39" s="79">
        <f>AVERAGE(B19:B38)</f>
        <v>0</v>
      </c>
      <c r="C39" s="79">
        <f>AVERAGE(C19:C38)</f>
        <v>0</v>
      </c>
      <c r="D39" s="79">
        <f>AVERAGE(D19:D38)</f>
        <v>0</v>
      </c>
      <c r="E39" s="79">
        <f>AVERAGE(E19:E38)</f>
        <v>0</v>
      </c>
      <c r="F39" s="79">
        <f>AVERAGE(F19:F38)</f>
        <v>0</v>
      </c>
      <c r="G39" s="110"/>
      <c r="H39" s="110"/>
      <c r="I39" s="110"/>
      <c r="J39" s="110"/>
      <c r="K39" s="110"/>
      <c r="L39" s="110"/>
      <c r="P39" s="110"/>
      <c r="Q39" s="110"/>
      <c r="R39" s="110"/>
      <c r="S39" s="110"/>
      <c r="T39" s="110"/>
      <c r="U39" s="110"/>
      <c r="V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</row>
    <row r="40" spans="1:43" ht="15" customHeight="1" thickBot="1" x14ac:dyDescent="0.3">
      <c r="A40" s="9" t="s">
        <v>119</v>
      </c>
      <c r="B40" s="80">
        <f>(B39-B16)/(B17-B16)*100</f>
        <v>0</v>
      </c>
      <c r="C40" s="80">
        <f>(C39-C16)/(C17-C16)*100</f>
        <v>0</v>
      </c>
      <c r="D40" s="80">
        <f>(D39-D16)/(D17-D16)*100</f>
        <v>0</v>
      </c>
      <c r="E40" s="80">
        <f>(E39-E16)/(E17-E16)*100</f>
        <v>0</v>
      </c>
      <c r="F40" s="80">
        <f>(F39-F16)/(F17-F16)*100</f>
        <v>0</v>
      </c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</row>
    <row r="41" spans="1:43" ht="15.75" thickBot="1" x14ac:dyDescent="0.3">
      <c r="A41" s="9" t="s">
        <v>235</v>
      </c>
      <c r="B41" s="80">
        <f>B39+(9.81*$K$21*(O9-O8)/6894.75729)</f>
        <v>0</v>
      </c>
      <c r="C41" s="80">
        <f>C39+(9.81*K21*(O10-O9)/6894.75729)</f>
        <v>0</v>
      </c>
      <c r="D41" s="80">
        <f>D39+(9.81*K21*(O11-O10)/6894.75729)</f>
        <v>0</v>
      </c>
      <c r="E41" s="80">
        <f>E39+(9.81*K21*(O12-O11)/6894.75729)</f>
        <v>0</v>
      </c>
      <c r="F41" s="80">
        <f>F39+(9.81*K21*(O10-O8)/6894.75729)</f>
        <v>0</v>
      </c>
      <c r="G41" s="110"/>
      <c r="AB41" s="110"/>
      <c r="AC41" s="110"/>
      <c r="AD41" s="110"/>
      <c r="AE41" s="110"/>
      <c r="AF41" s="110"/>
      <c r="AG41" s="110"/>
      <c r="AH41" s="110"/>
      <c r="AI41" s="110"/>
      <c r="AJ41" s="110"/>
      <c r="AK41" s="110"/>
      <c r="AL41" s="110"/>
      <c r="AM41" s="110"/>
      <c r="AN41" s="110"/>
      <c r="AO41" s="110"/>
      <c r="AP41" s="110"/>
      <c r="AQ41" s="110"/>
    </row>
    <row r="42" spans="1:43" x14ac:dyDescent="0.25">
      <c r="A42" s="177" t="s">
        <v>237</v>
      </c>
      <c r="B42" s="217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</row>
    <row r="43" spans="1:43" x14ac:dyDescent="0.25">
      <c r="A43" s="178">
        <v>3</v>
      </c>
      <c r="B43" s="218"/>
    </row>
    <row r="44" spans="1:43" ht="38.25" customHeight="1" thickBot="1" x14ac:dyDescent="0.3">
      <c r="A44" s="77" t="s">
        <v>236</v>
      </c>
      <c r="B44" s="219"/>
    </row>
    <row r="49" ht="15.75" customHeight="1" x14ac:dyDescent="0.25"/>
    <row r="72" spans="7:7" x14ac:dyDescent="0.25">
      <c r="G72" s="3" t="s">
        <v>231</v>
      </c>
    </row>
    <row r="73" spans="7:7" x14ac:dyDescent="0.25">
      <c r="G73" s="110">
        <f>F39-(B39+C39)</f>
        <v>0</v>
      </c>
    </row>
  </sheetData>
  <mergeCells count="19">
    <mergeCell ref="B42:B44"/>
    <mergeCell ref="A13:B13"/>
    <mergeCell ref="M3:O3"/>
    <mergeCell ref="M4:M5"/>
    <mergeCell ref="N4:O4"/>
    <mergeCell ref="AF25:AJ25"/>
    <mergeCell ref="A19:A38"/>
    <mergeCell ref="AD25:AE25"/>
    <mergeCell ref="W21:X21"/>
    <mergeCell ref="I21:J21"/>
    <mergeCell ref="A1:H1"/>
    <mergeCell ref="W1:X1"/>
    <mergeCell ref="G2:H2"/>
    <mergeCell ref="A8:H8"/>
    <mergeCell ref="A9:B9"/>
    <mergeCell ref="C9:H9"/>
    <mergeCell ref="Q3:S3"/>
    <mergeCell ref="Q4:Q5"/>
    <mergeCell ref="R4:S4"/>
  </mergeCells>
  <conditionalFormatting sqref="I16:L20 N17:P17 O16:P16 N19:P20 O18:P18">
    <cfRule type="expression" dxfId="1" priority="2">
      <formula>$I16=$B$4</formula>
    </cfRule>
  </conditionalFormatting>
  <conditionalFormatting sqref="U16">
    <cfRule type="expression" dxfId="0" priority="1">
      <formula>$I16=$B$4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E252"/>
  <sheetViews>
    <sheetView tabSelected="1" zoomScale="90" zoomScaleNormal="90" zoomScaleSheetLayoutView="30" workbookViewId="0">
      <selection activeCell="B9" sqref="B9:BD9"/>
    </sheetView>
  </sheetViews>
  <sheetFormatPr defaultColWidth="9.140625" defaultRowHeight="15" x14ac:dyDescent="0.25"/>
  <cols>
    <col min="1" max="1" width="14" style="13" customWidth="1"/>
    <col min="2" max="2" width="18.7109375" style="13" customWidth="1"/>
    <col min="3" max="3" width="14.85546875" style="13" customWidth="1"/>
    <col min="4" max="4" width="15.85546875" style="13" customWidth="1"/>
    <col min="5" max="5" width="16.85546875" style="13" customWidth="1"/>
    <col min="6" max="6" width="11" style="13" customWidth="1"/>
    <col min="7" max="7" width="13.7109375" style="13" customWidth="1"/>
    <col min="8" max="8" width="18.5703125" style="13" customWidth="1"/>
    <col min="9" max="9" width="15.7109375" style="13" customWidth="1"/>
    <col min="10" max="10" width="14.28515625" style="13" customWidth="1"/>
    <col min="11" max="11" width="12.7109375" style="13" customWidth="1"/>
    <col min="12" max="12" width="14.7109375" style="13" customWidth="1"/>
    <col min="13" max="13" width="16.140625" style="13" customWidth="1"/>
    <col min="14" max="14" width="15.5703125" style="13" customWidth="1"/>
    <col min="15" max="15" width="16.7109375" style="13" customWidth="1"/>
    <col min="16" max="17" width="15.7109375" style="13" bestFit="1" customWidth="1"/>
    <col min="18" max="18" width="18.140625" style="13" bestFit="1" customWidth="1"/>
    <col min="19" max="19" width="10.28515625" style="13" bestFit="1" customWidth="1"/>
    <col min="20" max="20" width="19.85546875" style="13" customWidth="1"/>
    <col min="21" max="21" width="17.7109375" style="13" customWidth="1"/>
    <col min="22" max="22" width="22.85546875" style="13" customWidth="1"/>
    <col min="23" max="23" width="10.85546875" style="13" customWidth="1"/>
    <col min="24" max="24" width="12.42578125" style="13" customWidth="1"/>
    <col min="25" max="25" width="13.28515625" style="13" customWidth="1"/>
    <col min="26" max="26" width="12.85546875" style="13" customWidth="1"/>
    <col min="27" max="27" width="13.7109375" style="13" customWidth="1"/>
    <col min="28" max="28" width="15.140625" style="13" customWidth="1"/>
    <col min="29" max="29" width="12.7109375" style="13" customWidth="1"/>
    <col min="30" max="30" width="11.5703125" style="13" customWidth="1"/>
    <col min="31" max="31" width="13.85546875" style="13" customWidth="1"/>
    <col min="32" max="32" width="13.140625" style="13" customWidth="1"/>
    <col min="33" max="33" width="11.42578125" style="13" bestFit="1" customWidth="1"/>
    <col min="34" max="34" width="13" style="13" customWidth="1"/>
    <col min="35" max="35" width="14.28515625" style="13" customWidth="1"/>
    <col min="36" max="36" width="14" style="13" customWidth="1"/>
    <col min="37" max="37" width="14.85546875" style="13" customWidth="1"/>
    <col min="38" max="38" width="12.42578125" style="13" customWidth="1"/>
    <col min="39" max="39" width="10" style="13" bestFit="1" customWidth="1"/>
    <col min="40" max="40" width="9.140625" style="13" customWidth="1"/>
    <col min="41" max="41" width="19.85546875" style="13" customWidth="1"/>
    <col min="42" max="42" width="17" style="13" customWidth="1"/>
    <col min="43" max="43" width="16.140625" style="13" customWidth="1"/>
    <col min="44" max="44" width="16.7109375" style="13" customWidth="1"/>
    <col min="45" max="45" width="15" style="13" customWidth="1"/>
    <col min="46" max="46" width="18.7109375" style="13" customWidth="1"/>
    <col min="47" max="47" width="9.140625" style="13" bestFit="1" customWidth="1"/>
    <col min="48" max="48" width="9.85546875" style="13" customWidth="1"/>
    <col min="49" max="49" width="12.140625" style="13" customWidth="1"/>
    <col min="50" max="50" width="11.7109375" style="13" customWidth="1"/>
    <col min="51" max="51" width="8.28515625" style="13" bestFit="1" customWidth="1"/>
    <col min="52" max="52" width="8.140625" style="13" bestFit="1" customWidth="1"/>
    <col min="53" max="53" width="9.7109375" style="13" bestFit="1" customWidth="1"/>
    <col min="54" max="54" width="7.42578125" style="13" customWidth="1"/>
    <col min="55" max="55" width="7.85546875" style="13" customWidth="1"/>
    <col min="56" max="56" width="7.28515625" style="13" customWidth="1"/>
    <col min="57" max="57" width="12.42578125" style="13" customWidth="1"/>
    <col min="58" max="59" width="13.140625" style="13" customWidth="1"/>
    <col min="60" max="60" width="14.28515625" style="13" customWidth="1"/>
    <col min="61" max="61" width="13.7109375" style="13" customWidth="1"/>
    <col min="62" max="63" width="12" style="13" customWidth="1"/>
    <col min="64" max="64" width="11.42578125" style="13" customWidth="1"/>
    <col min="65" max="65" width="12" style="13" customWidth="1"/>
    <col min="66" max="66" width="13.7109375" style="13" customWidth="1"/>
    <col min="67" max="67" width="11.42578125" style="13" customWidth="1"/>
    <col min="68" max="69" width="12" style="13" customWidth="1"/>
    <col min="70" max="74" width="15.42578125" style="13" customWidth="1"/>
    <col min="75" max="75" width="14" style="13" customWidth="1"/>
    <col min="76" max="76" width="8.5703125" style="13" customWidth="1"/>
    <col min="77" max="77" width="11.28515625" style="13" customWidth="1"/>
    <col min="78" max="78" width="9.28515625" style="13" customWidth="1"/>
    <col min="79" max="79" width="11.140625" style="13" customWidth="1"/>
    <col min="80" max="80" width="9.85546875" style="13" customWidth="1"/>
    <col min="81" max="81" width="9.7109375" style="13" customWidth="1"/>
    <col min="82" max="83" width="9.140625" style="13" customWidth="1"/>
    <col min="84" max="84" width="9.140625" style="13"/>
    <col min="85" max="85" width="8" style="13" customWidth="1"/>
    <col min="86" max="86" width="11.140625" style="13" customWidth="1"/>
    <col min="87" max="89" width="9.140625" style="13"/>
    <col min="90" max="91" width="13.7109375" style="13" bestFit="1" customWidth="1"/>
    <col min="92" max="92" width="12.42578125" style="13" bestFit="1" customWidth="1"/>
    <col min="93" max="93" width="12.42578125" style="13" customWidth="1"/>
    <col min="94" max="95" width="9.140625" style="13"/>
    <col min="96" max="96" width="18.7109375" style="13" customWidth="1"/>
    <col min="97" max="97" width="15.85546875" style="13" customWidth="1"/>
    <col min="98" max="98" width="16.140625" style="13" customWidth="1"/>
    <col min="99" max="99" width="17.5703125" style="13" customWidth="1"/>
    <col min="100" max="100" width="17.85546875" style="13" customWidth="1"/>
    <col min="101" max="101" width="9.140625" style="13"/>
    <col min="102" max="102" width="8" style="13" customWidth="1"/>
    <col min="103" max="103" width="12.5703125" style="13" customWidth="1"/>
    <col min="104" max="104" width="15.140625" style="13" customWidth="1"/>
    <col min="105" max="105" width="14" style="13" customWidth="1"/>
    <col min="106" max="106" width="12.42578125" style="13" customWidth="1"/>
    <col min="107" max="107" width="13.28515625" style="13" customWidth="1"/>
    <col min="108" max="108" width="12.140625" style="13" customWidth="1"/>
    <col min="109" max="109" width="12.5703125" style="13" customWidth="1"/>
    <col min="110" max="110" width="15.7109375" style="13" customWidth="1"/>
    <col min="111" max="111" width="12" style="13" customWidth="1"/>
    <col min="112" max="114" width="9.140625" style="13"/>
    <col min="115" max="115" width="12.42578125" style="13" customWidth="1"/>
    <col min="116" max="117" width="9.140625" style="13"/>
    <col min="118" max="118" width="12.42578125" style="13" customWidth="1"/>
    <col min="119" max="119" width="15.42578125" style="13" customWidth="1"/>
    <col min="120" max="122" width="9.140625" style="13"/>
    <col min="123" max="123" width="13.28515625" style="13" customWidth="1"/>
    <col min="124" max="130" width="9.140625" style="13"/>
    <col min="131" max="131" width="12" style="13" customWidth="1"/>
    <col min="132" max="132" width="9.140625" style="13"/>
    <col min="133" max="133" width="11.7109375" style="13" customWidth="1"/>
    <col min="134" max="134" width="9.140625" style="13"/>
    <col min="135" max="135" width="13.85546875" style="13" customWidth="1"/>
    <col min="136" max="136" width="17.140625" style="13" customWidth="1"/>
    <col min="137" max="137" width="15.42578125" style="13" customWidth="1"/>
    <col min="138" max="138" width="14.85546875" style="13" customWidth="1"/>
    <col min="139" max="139" width="16.7109375" style="13" customWidth="1"/>
    <col min="140" max="150" width="9.140625" style="13"/>
    <col min="151" max="151" width="10.7109375" style="13" customWidth="1"/>
    <col min="152" max="162" width="9.140625" style="13"/>
    <col min="163" max="163" width="13.42578125" style="13" customWidth="1"/>
    <col min="164" max="164" width="16.7109375" style="13" customWidth="1"/>
    <col min="165" max="165" width="12.42578125" style="13" customWidth="1"/>
    <col min="166" max="166" width="15" style="13" customWidth="1"/>
    <col min="167" max="167" width="14" style="13" customWidth="1"/>
    <col min="168" max="168" width="13.5703125" style="13" customWidth="1"/>
    <col min="169" max="169" width="14.28515625" style="13" customWidth="1"/>
    <col min="170" max="16384" width="9.140625" style="13"/>
  </cols>
  <sheetData>
    <row r="1" spans="1:94" ht="18" x14ac:dyDescent="0.25">
      <c r="B1" s="13" t="s">
        <v>134</v>
      </c>
      <c r="C1" s="92">
        <f>'1'!F5</f>
        <v>0.75</v>
      </c>
      <c r="D1" s="13" t="s">
        <v>135</v>
      </c>
      <c r="E1" s="93">
        <f>999*C1*(25.4/1000)/(0.001)</f>
        <v>19030.95</v>
      </c>
      <c r="F1" s="57" t="s">
        <v>80</v>
      </c>
      <c r="G1" s="94">
        <f>1.78*E1^0.125</f>
        <v>6.1003192100813193</v>
      </c>
      <c r="I1" s="3" t="s">
        <v>270</v>
      </c>
      <c r="J1" s="13">
        <v>998</v>
      </c>
      <c r="CL1" s="13" t="s">
        <v>301</v>
      </c>
      <c r="CM1" s="13">
        <v>1</v>
      </c>
    </row>
    <row r="2" spans="1:94" ht="17.25" x14ac:dyDescent="0.3">
      <c r="B2" s="13" t="s">
        <v>136</v>
      </c>
      <c r="C2" s="92">
        <f>'1'!D6</f>
        <v>0.12415676298495501</v>
      </c>
      <c r="D2" s="13" t="s">
        <v>81</v>
      </c>
      <c r="E2" s="93">
        <v>50000</v>
      </c>
      <c r="F2" s="57" t="s">
        <v>137</v>
      </c>
      <c r="G2" s="94">
        <f>(G1+1)*(2*G1+1)/(2*G1^2)*(C1/(1-G246))</f>
        <v>0.9944590615391693</v>
      </c>
      <c r="I2" s="3" t="s">
        <v>302</v>
      </c>
      <c r="J2" s="13">
        <v>1.2050000000000001</v>
      </c>
    </row>
    <row r="5" spans="1:94" ht="15.75" thickBot="1" x14ac:dyDescent="0.3">
      <c r="A5" s="17" t="s">
        <v>271</v>
      </c>
      <c r="B5" s="13" t="s">
        <v>287</v>
      </c>
    </row>
    <row r="6" spans="1:94" ht="18.75" customHeight="1" thickBot="1" x14ac:dyDescent="0.3">
      <c r="A6" s="236" t="s">
        <v>14</v>
      </c>
      <c r="B6" s="236" t="s">
        <v>49</v>
      </c>
      <c r="C6" s="238" t="s">
        <v>10</v>
      </c>
      <c r="D6" s="240" t="s">
        <v>58</v>
      </c>
      <c r="E6" s="230" t="s">
        <v>15</v>
      </c>
      <c r="F6" s="231"/>
      <c r="G6" s="231"/>
      <c r="H6" s="231"/>
      <c r="I6" s="231"/>
      <c r="J6" s="231"/>
      <c r="K6" s="232"/>
      <c r="L6" s="230" t="s">
        <v>53</v>
      </c>
      <c r="M6" s="231"/>
      <c r="N6" s="231"/>
      <c r="O6" s="231"/>
      <c r="P6" s="232"/>
      <c r="Q6" s="230" t="s">
        <v>33</v>
      </c>
      <c r="R6" s="231"/>
      <c r="S6" s="231"/>
      <c r="T6" s="231"/>
      <c r="U6" s="231"/>
      <c r="V6" s="232"/>
      <c r="W6" s="230" t="s">
        <v>16</v>
      </c>
      <c r="X6" s="231"/>
      <c r="Y6" s="231"/>
      <c r="Z6" s="231"/>
      <c r="AA6" s="231"/>
      <c r="AB6" s="231"/>
      <c r="AC6" s="232"/>
      <c r="AD6" s="230" t="s">
        <v>17</v>
      </c>
      <c r="AE6" s="231"/>
      <c r="AF6" s="231"/>
      <c r="AG6" s="231"/>
      <c r="AH6" s="231"/>
      <c r="AI6" s="231"/>
      <c r="AJ6" s="232"/>
      <c r="AK6" s="244" t="s">
        <v>34</v>
      </c>
      <c r="AL6" s="245"/>
      <c r="AM6" s="245"/>
      <c r="AN6" s="246"/>
      <c r="AO6" s="244" t="s">
        <v>18</v>
      </c>
      <c r="AP6" s="245"/>
      <c r="AQ6" s="245"/>
      <c r="AR6" s="245"/>
      <c r="AS6" s="246"/>
      <c r="AT6" s="244" t="s">
        <v>50</v>
      </c>
      <c r="AU6" s="245"/>
      <c r="AV6" s="247"/>
      <c r="AW6" s="248" t="s">
        <v>52</v>
      </c>
      <c r="AX6" s="246"/>
      <c r="AY6" s="244" t="s">
        <v>51</v>
      </c>
      <c r="AZ6" s="245"/>
      <c r="BA6" s="245"/>
      <c r="BB6" s="245"/>
      <c r="BC6" s="245"/>
      <c r="BD6" s="246"/>
      <c r="BE6" s="162"/>
      <c r="BF6" s="225" t="s">
        <v>187</v>
      </c>
      <c r="BG6" s="225"/>
      <c r="BH6" s="226"/>
      <c r="BI6" s="224" t="s">
        <v>180</v>
      </c>
      <c r="BJ6" s="225"/>
      <c r="BK6" s="225"/>
      <c r="BL6" s="225"/>
      <c r="BM6" s="226"/>
      <c r="BN6" s="224" t="s">
        <v>181</v>
      </c>
      <c r="BO6" s="225"/>
      <c r="BP6" s="226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5"/>
      <c r="CC6" s="227" t="s">
        <v>121</v>
      </c>
      <c r="CD6" s="228"/>
      <c r="CE6" s="229"/>
      <c r="CF6" s="236" t="s">
        <v>14</v>
      </c>
      <c r="CG6" s="236" t="s">
        <v>49</v>
      </c>
      <c r="CH6" s="238" t="s">
        <v>10</v>
      </c>
      <c r="CI6" s="240" t="s">
        <v>58</v>
      </c>
      <c r="CJ6" s="242" t="s">
        <v>297</v>
      </c>
      <c r="CK6" s="222" t="s">
        <v>298</v>
      </c>
      <c r="CL6" s="222" t="s">
        <v>300</v>
      </c>
      <c r="CM6" s="222" t="s">
        <v>299</v>
      </c>
      <c r="CN6" s="222" t="s">
        <v>303</v>
      </c>
      <c r="CO6" s="222" t="s">
        <v>307</v>
      </c>
    </row>
    <row r="7" spans="1:94" ht="18" thickBot="1" x14ac:dyDescent="0.35">
      <c r="A7" s="237"/>
      <c r="B7" s="237"/>
      <c r="C7" s="239"/>
      <c r="D7" s="241"/>
      <c r="E7" s="16" t="s">
        <v>19</v>
      </c>
      <c r="F7" s="17" t="s">
        <v>20</v>
      </c>
      <c r="G7" s="17" t="s">
        <v>35</v>
      </c>
      <c r="H7" s="17" t="s">
        <v>36</v>
      </c>
      <c r="I7" s="18" t="s">
        <v>47</v>
      </c>
      <c r="J7" s="18" t="s">
        <v>48</v>
      </c>
      <c r="K7" s="19" t="s">
        <v>21</v>
      </c>
      <c r="L7" s="20" t="s">
        <v>37</v>
      </c>
      <c r="M7" s="18" t="s">
        <v>38</v>
      </c>
      <c r="N7" s="18" t="s">
        <v>39</v>
      </c>
      <c r="O7" s="18" t="s">
        <v>40</v>
      </c>
      <c r="P7" s="19" t="s">
        <v>59</v>
      </c>
      <c r="Q7" s="20" t="s">
        <v>41</v>
      </c>
      <c r="R7" s="17" t="s">
        <v>42</v>
      </c>
      <c r="S7" s="18" t="s">
        <v>43</v>
      </c>
      <c r="T7" s="17" t="s">
        <v>44</v>
      </c>
      <c r="U7" s="18" t="s">
        <v>45</v>
      </c>
      <c r="V7" s="19" t="s">
        <v>46</v>
      </c>
      <c r="W7" s="21" t="s">
        <v>19</v>
      </c>
      <c r="X7" s="22" t="s">
        <v>20</v>
      </c>
      <c r="Y7" s="22" t="s">
        <v>35</v>
      </c>
      <c r="Z7" s="22" t="s">
        <v>36</v>
      </c>
      <c r="AA7" s="22" t="s">
        <v>47</v>
      </c>
      <c r="AB7" s="22" t="s">
        <v>48</v>
      </c>
      <c r="AC7" s="23" t="s">
        <v>21</v>
      </c>
      <c r="AD7" s="21" t="s">
        <v>19</v>
      </c>
      <c r="AE7" s="22" t="s">
        <v>20</v>
      </c>
      <c r="AF7" s="22" t="s">
        <v>35</v>
      </c>
      <c r="AG7" s="22" t="s">
        <v>36</v>
      </c>
      <c r="AH7" s="22" t="s">
        <v>47</v>
      </c>
      <c r="AI7" s="22" t="s">
        <v>48</v>
      </c>
      <c r="AJ7" s="23" t="s">
        <v>21</v>
      </c>
      <c r="AK7" s="24" t="s">
        <v>60</v>
      </c>
      <c r="AL7" s="25" t="s">
        <v>61</v>
      </c>
      <c r="AM7" s="25" t="s">
        <v>62</v>
      </c>
      <c r="AN7" s="26" t="s">
        <v>63</v>
      </c>
      <c r="AO7" s="27" t="s">
        <v>64</v>
      </c>
      <c r="AP7" s="25" t="s">
        <v>65</v>
      </c>
      <c r="AQ7" s="25" t="s">
        <v>66</v>
      </c>
      <c r="AR7" s="25" t="s">
        <v>67</v>
      </c>
      <c r="AS7" s="26" t="s">
        <v>68</v>
      </c>
      <c r="AT7" s="27" t="s">
        <v>69</v>
      </c>
      <c r="AU7" s="25" t="s">
        <v>70</v>
      </c>
      <c r="AV7" s="25" t="s">
        <v>71</v>
      </c>
      <c r="AW7" s="25" t="s">
        <v>72</v>
      </c>
      <c r="AX7" s="28" t="s">
        <v>73</v>
      </c>
      <c r="AY7" s="24" t="s">
        <v>23</v>
      </c>
      <c r="AZ7" s="25" t="s">
        <v>24</v>
      </c>
      <c r="BA7" s="25" t="s">
        <v>25</v>
      </c>
      <c r="BB7" s="25" t="s">
        <v>28</v>
      </c>
      <c r="BC7" s="25" t="s">
        <v>26</v>
      </c>
      <c r="BD7" s="28" t="s">
        <v>27</v>
      </c>
      <c r="BE7" s="26" t="s">
        <v>68</v>
      </c>
      <c r="BF7" s="132" t="s">
        <v>188</v>
      </c>
      <c r="BG7" s="132" t="s">
        <v>189</v>
      </c>
      <c r="BH7" s="132" t="s">
        <v>190</v>
      </c>
      <c r="BI7" s="150" t="s">
        <v>177</v>
      </c>
      <c r="BJ7" s="148" t="s">
        <v>204</v>
      </c>
      <c r="BK7" s="130" t="s">
        <v>178</v>
      </c>
      <c r="BL7" s="130" t="s">
        <v>205</v>
      </c>
      <c r="BM7" s="149" t="s">
        <v>179</v>
      </c>
      <c r="BN7" s="150" t="s">
        <v>177</v>
      </c>
      <c r="BO7" s="130" t="s">
        <v>178</v>
      </c>
      <c r="BP7" s="149" t="s">
        <v>179</v>
      </c>
      <c r="BQ7" s="27" t="s">
        <v>194</v>
      </c>
      <c r="BR7" s="129" t="s">
        <v>74</v>
      </c>
      <c r="BS7" s="25" t="s">
        <v>128</v>
      </c>
      <c r="BT7" s="25" t="s">
        <v>129</v>
      </c>
      <c r="BU7" s="25" t="s">
        <v>196</v>
      </c>
      <c r="BV7" s="26" t="s">
        <v>199</v>
      </c>
      <c r="BW7" s="30" t="s">
        <v>75</v>
      </c>
      <c r="BX7" s="29" t="s">
        <v>57</v>
      </c>
      <c r="BY7" s="29" t="s">
        <v>76</v>
      </c>
      <c r="BZ7" s="29" t="s">
        <v>77</v>
      </c>
      <c r="CA7" s="29" t="s">
        <v>78</v>
      </c>
      <c r="CB7" s="31" t="s">
        <v>79</v>
      </c>
      <c r="CC7" s="21" t="s">
        <v>122</v>
      </c>
      <c r="CD7" s="22" t="s">
        <v>123</v>
      </c>
      <c r="CE7" s="23" t="s">
        <v>124</v>
      </c>
      <c r="CF7" s="237"/>
      <c r="CG7" s="237"/>
      <c r="CH7" s="239"/>
      <c r="CI7" s="241"/>
      <c r="CJ7" s="243"/>
      <c r="CK7" s="223"/>
      <c r="CL7" s="223"/>
      <c r="CM7" s="223"/>
      <c r="CN7" s="223"/>
      <c r="CO7" s="223"/>
      <c r="CP7" s="116"/>
    </row>
    <row r="8" spans="1:94" x14ac:dyDescent="0.25">
      <c r="A8" s="111">
        <f>IF('3'!$AC$5="",B8,NA())</f>
        <v>1</v>
      </c>
      <c r="B8" s="111">
        <v>1</v>
      </c>
      <c r="C8" s="96"/>
      <c r="D8" s="112"/>
      <c r="E8" s="96"/>
      <c r="F8" s="96"/>
      <c r="G8" s="96"/>
      <c r="H8" s="96"/>
      <c r="I8" s="96"/>
      <c r="J8" s="96"/>
      <c r="K8" s="96"/>
      <c r="L8" s="111"/>
      <c r="M8" s="96"/>
      <c r="N8" s="96"/>
      <c r="O8" s="96"/>
      <c r="P8" s="96"/>
      <c r="Q8" s="111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111"/>
      <c r="AJ8" s="84"/>
      <c r="AK8" s="113"/>
      <c r="AN8" s="84"/>
      <c r="AT8" s="113"/>
      <c r="AX8" s="84"/>
      <c r="AY8" s="113"/>
      <c r="BD8" s="84"/>
      <c r="BE8" s="163"/>
      <c r="BI8" s="81"/>
      <c r="BJ8" s="82"/>
      <c r="BK8" s="82"/>
      <c r="BL8" s="82"/>
      <c r="BM8" s="83"/>
      <c r="BQ8" s="140"/>
      <c r="BR8" s="32">
        <f t="shared" ref="BR8:BR27" si="0">AK8*P8</f>
        <v>0</v>
      </c>
      <c r="BS8" s="33"/>
      <c r="BT8" s="33"/>
      <c r="BU8" s="33"/>
      <c r="BV8" s="33"/>
      <c r="BW8" s="33">
        <v>0</v>
      </c>
      <c r="BX8" s="33"/>
      <c r="BY8" s="33"/>
      <c r="BZ8" s="33"/>
      <c r="CA8" s="33"/>
      <c r="CB8" s="34"/>
      <c r="CC8" s="81"/>
      <c r="CD8" s="82"/>
      <c r="CE8" s="83"/>
      <c r="CF8" s="112">
        <f>CG8</f>
        <v>1</v>
      </c>
      <c r="CG8" s="96">
        <v>1</v>
      </c>
      <c r="CH8" s="96"/>
      <c r="CI8" s="96"/>
      <c r="CJ8" s="96"/>
      <c r="CK8" s="96"/>
      <c r="CL8" s="96">
        <f>SQRT(2*CONVERT(CJ8, "psi", "Pa") / $J$1)</f>
        <v>0</v>
      </c>
      <c r="CM8" s="96">
        <f>IF(CF8=A8,SQRT((2*CONVERT(CJ8,"psi","Pa")-AC8*$J$2*AO8^2)/((1-AC8)*$CM$1*$J$1)), NA())</f>
        <v>0</v>
      </c>
      <c r="CN8" s="96">
        <f>(1-AC8)*CM8</f>
        <v>0</v>
      </c>
      <c r="CO8" s="112">
        <f>IF(AO8&gt;0, AO8-CM8, 0)</f>
        <v>0</v>
      </c>
    </row>
    <row r="9" spans="1:94" x14ac:dyDescent="0.25">
      <c r="A9" s="111">
        <f>IF('3'!$AC$5="",B9,NA())</f>
        <v>0.9</v>
      </c>
      <c r="B9" s="111">
        <v>0.9</v>
      </c>
      <c r="C9" s="96">
        <v>30</v>
      </c>
      <c r="D9" s="112">
        <v>50000</v>
      </c>
      <c r="E9" s="96">
        <v>765</v>
      </c>
      <c r="F9" s="96">
        <v>352</v>
      </c>
      <c r="G9" s="96">
        <v>0</v>
      </c>
      <c r="H9" s="96">
        <v>0</v>
      </c>
      <c r="I9" s="96">
        <v>1117</v>
      </c>
      <c r="J9" s="96">
        <v>0</v>
      </c>
      <c r="K9" s="96">
        <v>1117</v>
      </c>
      <c r="L9" s="111">
        <v>1117</v>
      </c>
      <c r="M9" s="96">
        <v>1095</v>
      </c>
      <c r="N9" s="96">
        <v>830</v>
      </c>
      <c r="O9" s="96">
        <v>786</v>
      </c>
      <c r="P9" s="112">
        <v>37.200000000000003</v>
      </c>
      <c r="Q9" s="111">
        <v>639</v>
      </c>
      <c r="R9" s="96">
        <v>302</v>
      </c>
      <c r="S9" s="96">
        <v>0</v>
      </c>
      <c r="T9" s="96">
        <v>0</v>
      </c>
      <c r="U9" s="96">
        <v>941</v>
      </c>
      <c r="V9" s="112">
        <v>84.24</v>
      </c>
      <c r="W9" s="96">
        <v>4.7600000000000003E-2</v>
      </c>
      <c r="X9" s="96">
        <v>4.3999999999999997E-2</v>
      </c>
      <c r="Y9" s="96">
        <v>0</v>
      </c>
      <c r="Z9" s="96">
        <v>0</v>
      </c>
      <c r="AA9" s="96">
        <v>9.1600000000000001E-2</v>
      </c>
      <c r="AB9" s="96">
        <v>0</v>
      </c>
      <c r="AC9" s="96">
        <v>9.1600000000000001E-2</v>
      </c>
      <c r="AD9" s="111">
        <v>103.18</v>
      </c>
      <c r="AE9" s="13">
        <v>47.04</v>
      </c>
      <c r="AF9" s="13">
        <v>0</v>
      </c>
      <c r="AG9" s="13">
        <v>0</v>
      </c>
      <c r="AH9" s="13">
        <v>150.22999999999999</v>
      </c>
      <c r="AI9" s="13">
        <v>0</v>
      </c>
      <c r="AJ9" s="84">
        <v>150.22999999999999</v>
      </c>
      <c r="AK9" s="113">
        <v>3.66</v>
      </c>
      <c r="AL9" s="13">
        <v>2.42</v>
      </c>
      <c r="AM9" s="13">
        <v>0</v>
      </c>
      <c r="AN9" s="84">
        <v>0</v>
      </c>
      <c r="AO9" s="13">
        <v>0.98499999999999999</v>
      </c>
      <c r="AP9" s="13">
        <v>0</v>
      </c>
      <c r="AQ9" s="13">
        <v>0.20300000000000001</v>
      </c>
      <c r="AR9" s="13">
        <v>0</v>
      </c>
      <c r="AS9" s="13">
        <v>0.223</v>
      </c>
      <c r="AT9" s="113">
        <v>0.09</v>
      </c>
      <c r="AU9" s="13">
        <v>0</v>
      </c>
      <c r="AV9" s="13">
        <v>0.09</v>
      </c>
      <c r="AW9" s="13">
        <v>0.33500000000000002</v>
      </c>
      <c r="AX9" s="84">
        <v>0</v>
      </c>
      <c r="AY9" s="113">
        <v>1.589</v>
      </c>
      <c r="AZ9" s="13">
        <v>1.609</v>
      </c>
      <c r="BA9" s="13">
        <v>1.603</v>
      </c>
      <c r="BB9" s="13">
        <v>0.23899999999999999</v>
      </c>
      <c r="BC9" s="13">
        <v>0.379</v>
      </c>
      <c r="BD9" s="84">
        <v>0.23200000000000001</v>
      </c>
      <c r="BE9" s="147">
        <f t="shared" ref="BE9:BE17" si="1">AQ9/AO9</f>
        <v>0.20609137055837565</v>
      </c>
      <c r="BF9" s="157">
        <f t="shared" ref="BF9:BF27" si="2">I9/C9</f>
        <v>37.233333333333334</v>
      </c>
      <c r="BG9" s="157">
        <f t="shared" ref="BG9:BG27" si="3">J9/C9</f>
        <v>0</v>
      </c>
      <c r="BH9" s="157">
        <f t="shared" ref="BH9:BH27" si="4">K9/C9</f>
        <v>37.233333333333334</v>
      </c>
      <c r="BI9" s="152">
        <f t="shared" ref="BI9:BI27" si="5">(AA9/$E$246-1)^2</f>
        <v>0.67749897021918515</v>
      </c>
      <c r="BJ9" s="153">
        <f t="shared" ref="BJ9:BJ27" si="6">(AA9/$G$246-1)^2</f>
        <v>0.67749897021918515</v>
      </c>
      <c r="BK9" s="116" t="e">
        <f t="shared" ref="BK9:BK27" si="7">(AB9/$F$246-1)^2</f>
        <v>#DIV/0!</v>
      </c>
      <c r="BL9" s="116">
        <f t="shared" ref="BL9:BL27" si="8">(AB9/$G$246-1)^2</f>
        <v>1</v>
      </c>
      <c r="BM9" s="154">
        <f t="shared" ref="BM9:BM27" si="9">(AC9/$G$246-1)^2</f>
        <v>0.67749897021918515</v>
      </c>
      <c r="BN9" s="153">
        <f t="shared" ref="BN9:BN27" si="10">(AH9/$H$246-1)^2</f>
        <v>0.86606501544649428</v>
      </c>
      <c r="BO9" s="116" t="e">
        <f t="shared" ref="BO9:BO27" si="11">(AI9/$I$246-1)^2</f>
        <v>#DIV/0!</v>
      </c>
      <c r="BP9" s="153">
        <f t="shared" ref="BP9:BP27" si="12">(AJ9/$J$246-1)^2</f>
        <v>0.86606501544649428</v>
      </c>
      <c r="BQ9" s="141" t="e">
        <f t="shared" ref="BQ9:BQ13" si="13">I9/H9</f>
        <v>#DIV/0!</v>
      </c>
      <c r="BR9" s="111">
        <f t="shared" si="0"/>
        <v>136.15200000000002</v>
      </c>
      <c r="BS9" s="96">
        <f t="shared" ref="BS9:BS27" si="14">6000*AC9/AJ9</f>
        <v>3.658390467949145</v>
      </c>
      <c r="BT9" s="96">
        <f t="shared" ref="BT9:BT27" si="15">BS9*AC9</f>
        <v>0.3351085668641417</v>
      </c>
      <c r="BU9" s="96">
        <f t="shared" ref="BU9:BU27" si="16">AB9*AN9</f>
        <v>0</v>
      </c>
      <c r="BV9" s="96"/>
      <c r="BW9" s="96">
        <f t="shared" ref="BW9:BW27" si="17">$G$2*(1-ABS(A9))^(1/$G$1)</f>
        <v>0.68180638083025913</v>
      </c>
      <c r="BX9" s="96">
        <f t="shared" ref="BX9:BX27" si="18">SUM(W9:X9)*AO9+SUM(Y9:Z9)*AP9+(1-AC9)*BW9</f>
        <v>0.7095789163462074</v>
      </c>
      <c r="BY9" s="96">
        <f t="shared" ref="BY9:BY27" si="19">AC9*BX9</f>
        <v>6.4997428737312596E-2</v>
      </c>
      <c r="BZ9" s="96">
        <f t="shared" ref="BZ9:BZ27" si="20">(AO9*SUM(W9:X9)/AC9)+(AP9*SUM(Y9:Z9)/AC9)-BX9</f>
        <v>0.27542108365379259</v>
      </c>
      <c r="CA9" s="96">
        <f t="shared" ref="CA9:CA27" si="21">AC9*BZ9</f>
        <v>2.5228571262687401E-2</v>
      </c>
      <c r="CB9" s="112">
        <f t="shared" ref="CB9:CB27" si="22">CA9/(1-AC9)</f>
        <v>2.7772535515948264E-2</v>
      </c>
      <c r="CC9" s="113">
        <f t="shared" ref="CC9:CC27" si="23">M9/L9*100</f>
        <v>98.030438675022381</v>
      </c>
      <c r="CD9" s="13">
        <f t="shared" ref="CD9:CD27" si="24">N9/L9*100</f>
        <v>74.306177260519249</v>
      </c>
      <c r="CE9" s="84">
        <f t="shared" ref="CE9:CE27" si="25">O9/L9*100</f>
        <v>70.367054610564011</v>
      </c>
      <c r="CF9" s="112">
        <f t="shared" ref="CF9:CF17" si="26">CG9</f>
        <v>0.9</v>
      </c>
      <c r="CG9" s="96">
        <v>0.9</v>
      </c>
      <c r="CH9" s="96">
        <v>10</v>
      </c>
      <c r="CI9" s="96">
        <v>50000</v>
      </c>
      <c r="CJ9" s="96">
        <v>4.1435279999999998E-2</v>
      </c>
      <c r="CK9" s="96">
        <v>2.9443500000000001E-2</v>
      </c>
      <c r="CL9" s="96">
        <f t="shared" ref="CL9:CL28" si="27">SQRT(2*CONVERT(CJ9, "psi", "Pa") / $J$1)</f>
        <v>0.75664881736151246</v>
      </c>
      <c r="CM9" s="96">
        <f t="shared" ref="CM9:CM28" si="28">IF(CF9=A9,SQRT((2*CONVERT(CJ9,"psi","Pa")-AC9*$J$2*AO9^2)/((1-AC9)*$CM$1*$J$1)), NA())</f>
        <v>0.79380730546340994</v>
      </c>
      <c r="CN9" s="96">
        <f t="shared" ref="CN9:CN27" si="29">(1-AC9)*CM9</f>
        <v>0.7210945562829616</v>
      </c>
      <c r="CO9" s="112">
        <f t="shared" ref="CO9:CO28" si="30">IF(AO9&gt;0, AO9-CM9, 0)</f>
        <v>0.19119269453659005</v>
      </c>
    </row>
    <row r="10" spans="1:94" x14ac:dyDescent="0.25">
      <c r="A10" s="111">
        <f>IF('3'!$AC$5="",B10,NA())</f>
        <v>0.8</v>
      </c>
      <c r="B10" s="111">
        <v>0.8</v>
      </c>
      <c r="C10" s="96">
        <v>30</v>
      </c>
      <c r="D10" s="112">
        <v>50000</v>
      </c>
      <c r="E10" s="96">
        <v>914</v>
      </c>
      <c r="F10" s="96">
        <v>696</v>
      </c>
      <c r="G10" s="96">
        <v>0</v>
      </c>
      <c r="H10" s="96">
        <v>0</v>
      </c>
      <c r="I10" s="96">
        <v>1610</v>
      </c>
      <c r="J10" s="96">
        <v>0</v>
      </c>
      <c r="K10" s="96">
        <v>1610</v>
      </c>
      <c r="L10" s="111">
        <v>1610</v>
      </c>
      <c r="M10" s="96">
        <v>1497</v>
      </c>
      <c r="N10" s="96">
        <v>1420</v>
      </c>
      <c r="O10" s="96">
        <v>1374</v>
      </c>
      <c r="P10" s="112">
        <v>53.7</v>
      </c>
      <c r="Q10" s="111">
        <v>718</v>
      </c>
      <c r="R10" s="96">
        <v>673</v>
      </c>
      <c r="S10" s="96">
        <v>0</v>
      </c>
      <c r="T10" s="96">
        <v>0</v>
      </c>
      <c r="U10" s="96">
        <v>1391</v>
      </c>
      <c r="V10" s="112">
        <v>86.4</v>
      </c>
      <c r="W10" s="96">
        <v>5.7000000000000002E-2</v>
      </c>
      <c r="X10" s="96">
        <v>8.8499999999999995E-2</v>
      </c>
      <c r="Y10" s="96">
        <v>0</v>
      </c>
      <c r="Z10" s="96">
        <v>0</v>
      </c>
      <c r="AA10" s="96">
        <v>0.14549999999999999</v>
      </c>
      <c r="AB10" s="96">
        <v>0</v>
      </c>
      <c r="AC10" s="96">
        <v>0.14549999999999999</v>
      </c>
      <c r="AD10" s="111">
        <v>120.69</v>
      </c>
      <c r="AE10" s="13">
        <v>77.55</v>
      </c>
      <c r="AF10" s="13">
        <v>0</v>
      </c>
      <c r="AG10" s="13">
        <v>0</v>
      </c>
      <c r="AH10" s="13">
        <v>198.24</v>
      </c>
      <c r="AI10" s="13">
        <v>0</v>
      </c>
      <c r="AJ10" s="84">
        <v>198.24</v>
      </c>
      <c r="AK10" s="113">
        <v>4.4000000000000004</v>
      </c>
      <c r="AL10" s="13">
        <v>2.7</v>
      </c>
      <c r="AM10" s="13">
        <v>0</v>
      </c>
      <c r="AN10" s="84">
        <v>0</v>
      </c>
      <c r="AO10" s="13">
        <v>0.995</v>
      </c>
      <c r="AP10" s="13">
        <v>0</v>
      </c>
      <c r="AQ10" s="13">
        <v>0.21099999999999999</v>
      </c>
      <c r="AR10" s="13">
        <v>0</v>
      </c>
      <c r="AS10" s="13">
        <v>0.248</v>
      </c>
      <c r="AT10" s="113">
        <v>0.14499999999999999</v>
      </c>
      <c r="AU10" s="13">
        <v>0</v>
      </c>
      <c r="AV10" s="13">
        <v>0.14499999999999999</v>
      </c>
      <c r="AW10" s="13">
        <v>0.64</v>
      </c>
      <c r="AX10" s="84">
        <v>0</v>
      </c>
      <c r="AY10" s="113">
        <v>1.589</v>
      </c>
      <c r="AZ10" s="13">
        <v>1.609</v>
      </c>
      <c r="BA10" s="13">
        <v>1.603</v>
      </c>
      <c r="BB10" s="13">
        <v>0.23899999999999999</v>
      </c>
      <c r="BC10" s="13">
        <v>0.379</v>
      </c>
      <c r="BD10" s="84">
        <v>0.23200000000000001</v>
      </c>
      <c r="BE10" s="147">
        <f t="shared" si="1"/>
        <v>0.21206030150753769</v>
      </c>
      <c r="BF10" s="157">
        <f t="shared" si="2"/>
        <v>53.666666666666664</v>
      </c>
      <c r="BG10" s="157">
        <f t="shared" si="3"/>
        <v>0</v>
      </c>
      <c r="BH10" s="157">
        <f t="shared" si="4"/>
        <v>53.666666666666664</v>
      </c>
      <c r="BI10" s="152">
        <f t="shared" si="5"/>
        <v>3.594316092852599</v>
      </c>
      <c r="BJ10" s="153">
        <f t="shared" si="6"/>
        <v>3.594316092852599</v>
      </c>
      <c r="BK10" s="116" t="e">
        <f t="shared" si="7"/>
        <v>#DIV/0!</v>
      </c>
      <c r="BL10" s="116">
        <f t="shared" si="8"/>
        <v>1</v>
      </c>
      <c r="BM10" s="154">
        <f t="shared" si="9"/>
        <v>3.594316092852599</v>
      </c>
      <c r="BN10" s="153">
        <f t="shared" si="10"/>
        <v>2.395094157562748</v>
      </c>
      <c r="BO10" s="116" t="e">
        <f t="shared" si="11"/>
        <v>#DIV/0!</v>
      </c>
      <c r="BP10" s="153">
        <f t="shared" si="12"/>
        <v>2.395094157562748</v>
      </c>
      <c r="BQ10" s="141" t="e">
        <f t="shared" si="13"/>
        <v>#DIV/0!</v>
      </c>
      <c r="BR10" s="111">
        <f t="shared" si="0"/>
        <v>236.28000000000003</v>
      </c>
      <c r="BS10" s="96">
        <f t="shared" si="14"/>
        <v>4.4037530266343818</v>
      </c>
      <c r="BT10" s="96">
        <f t="shared" si="15"/>
        <v>0.64074606537530254</v>
      </c>
      <c r="BU10" s="96">
        <f t="shared" si="16"/>
        <v>0</v>
      </c>
      <c r="BV10" s="96"/>
      <c r="BW10" s="96">
        <f t="shared" si="17"/>
        <v>0.76384925376347856</v>
      </c>
      <c r="BX10" s="96">
        <f t="shared" si="18"/>
        <v>0.79748168734089242</v>
      </c>
      <c r="BY10" s="96">
        <f t="shared" si="19"/>
        <v>0.11603358550809983</v>
      </c>
      <c r="BZ10" s="96">
        <f t="shared" si="20"/>
        <v>0.19751831265910769</v>
      </c>
      <c r="CA10" s="96">
        <f t="shared" si="21"/>
        <v>2.8738914491900167E-2</v>
      </c>
      <c r="CB10" s="112">
        <f t="shared" si="22"/>
        <v>3.3632433577413884E-2</v>
      </c>
      <c r="CC10" s="113">
        <f t="shared" si="23"/>
        <v>92.981366459627324</v>
      </c>
      <c r="CD10" s="13">
        <f t="shared" si="24"/>
        <v>88.198757763975152</v>
      </c>
      <c r="CE10" s="84">
        <f t="shared" si="25"/>
        <v>85.341614906832291</v>
      </c>
      <c r="CF10" s="112">
        <f t="shared" si="26"/>
        <v>0.8</v>
      </c>
      <c r="CG10" s="111">
        <v>0.8</v>
      </c>
      <c r="CH10" s="96">
        <v>10</v>
      </c>
      <c r="CI10" s="96">
        <v>50000</v>
      </c>
      <c r="CJ10" s="96">
        <v>4.7864869999999997E-2</v>
      </c>
      <c r="CK10" s="96">
        <v>2.3817089999999999E-2</v>
      </c>
      <c r="CL10" s="96">
        <f t="shared" si="27"/>
        <v>0.81323799413721909</v>
      </c>
      <c r="CM10" s="96">
        <f t="shared" si="28"/>
        <v>0.87963907477395753</v>
      </c>
      <c r="CN10" s="96">
        <f t="shared" si="29"/>
        <v>0.75165158939434673</v>
      </c>
      <c r="CO10" s="112">
        <f t="shared" si="30"/>
        <v>0.11536092522604247</v>
      </c>
    </row>
    <row r="11" spans="1:94" x14ac:dyDescent="0.25">
      <c r="A11" s="111">
        <f>IF('3'!$AC$5="",B11,NA())</f>
        <v>0.7</v>
      </c>
      <c r="B11" s="111">
        <v>0.7</v>
      </c>
      <c r="C11" s="96">
        <v>30</v>
      </c>
      <c r="D11" s="112">
        <v>50000</v>
      </c>
      <c r="E11" s="96">
        <v>1023</v>
      </c>
      <c r="F11" s="96">
        <v>548</v>
      </c>
      <c r="G11" s="96">
        <v>0</v>
      </c>
      <c r="H11" s="96">
        <v>0</v>
      </c>
      <c r="I11" s="96">
        <v>1571</v>
      </c>
      <c r="J11" s="96">
        <v>0</v>
      </c>
      <c r="K11" s="96">
        <v>1571</v>
      </c>
      <c r="L11" s="111">
        <v>1571</v>
      </c>
      <c r="M11" s="96">
        <v>1331</v>
      </c>
      <c r="N11" s="96">
        <v>1471</v>
      </c>
      <c r="O11" s="96">
        <v>1356</v>
      </c>
      <c r="P11" s="112">
        <v>52.4</v>
      </c>
      <c r="Q11" s="111">
        <v>711</v>
      </c>
      <c r="R11" s="96">
        <v>529</v>
      </c>
      <c r="S11" s="96">
        <v>0</v>
      </c>
      <c r="T11" s="96">
        <v>0</v>
      </c>
      <c r="U11" s="96">
        <v>1240</v>
      </c>
      <c r="V11" s="112">
        <v>78.930000000000007</v>
      </c>
      <c r="W11" s="96">
        <v>6.08E-2</v>
      </c>
      <c r="X11" s="96">
        <v>6.5699999999999995E-2</v>
      </c>
      <c r="Y11" s="96">
        <v>0</v>
      </c>
      <c r="Z11" s="96">
        <v>0</v>
      </c>
      <c r="AA11" s="96">
        <v>0.1265</v>
      </c>
      <c r="AB11" s="96">
        <v>0</v>
      </c>
      <c r="AC11" s="96">
        <v>0.1265</v>
      </c>
      <c r="AD11" s="111">
        <v>138.26</v>
      </c>
      <c r="AE11" s="13">
        <v>59.41</v>
      </c>
      <c r="AF11" s="13">
        <v>0</v>
      </c>
      <c r="AG11" s="13">
        <v>0</v>
      </c>
      <c r="AH11" s="13">
        <v>197.67</v>
      </c>
      <c r="AI11" s="13">
        <v>0</v>
      </c>
      <c r="AJ11" s="84">
        <v>197.67</v>
      </c>
      <c r="AK11" s="113">
        <v>3.84</v>
      </c>
      <c r="AL11" s="13">
        <v>2.4500000000000002</v>
      </c>
      <c r="AM11" s="13">
        <v>0</v>
      </c>
      <c r="AN11" s="84">
        <v>0</v>
      </c>
      <c r="AO11" s="13">
        <v>1.016</v>
      </c>
      <c r="AP11" s="13">
        <v>0</v>
      </c>
      <c r="AQ11" s="13">
        <v>0.221</v>
      </c>
      <c r="AR11" s="13">
        <v>0</v>
      </c>
      <c r="AS11" s="13">
        <v>0.28699999999999998</v>
      </c>
      <c r="AT11" s="113">
        <v>0.129</v>
      </c>
      <c r="AU11" s="13">
        <v>0</v>
      </c>
      <c r="AV11" s="13">
        <v>0.129</v>
      </c>
      <c r="AW11" s="13">
        <v>0.48599999999999999</v>
      </c>
      <c r="AX11" s="84">
        <v>0</v>
      </c>
      <c r="AY11" s="113">
        <v>1.589</v>
      </c>
      <c r="AZ11" s="13">
        <v>1.609</v>
      </c>
      <c r="BA11" s="13">
        <v>1.603</v>
      </c>
      <c r="BB11" s="13">
        <v>0.23899999999999999</v>
      </c>
      <c r="BC11" s="13">
        <v>0.379</v>
      </c>
      <c r="BD11" s="84">
        <v>0.23200000000000001</v>
      </c>
      <c r="BE11" s="147">
        <f t="shared" si="1"/>
        <v>0.21751968503937008</v>
      </c>
      <c r="BF11" s="157">
        <f t="shared" si="2"/>
        <v>52.366666666666667</v>
      </c>
      <c r="BG11" s="157">
        <f t="shared" si="3"/>
        <v>0</v>
      </c>
      <c r="BH11" s="157">
        <f t="shared" si="4"/>
        <v>52.366666666666667</v>
      </c>
      <c r="BI11" s="152">
        <f t="shared" si="5"/>
        <v>2.3034544436445277</v>
      </c>
      <c r="BJ11" s="153">
        <f t="shared" si="6"/>
        <v>2.3034544436445277</v>
      </c>
      <c r="BK11" s="116" t="e">
        <f t="shared" si="7"/>
        <v>#DIV/0!</v>
      </c>
      <c r="BL11" s="116">
        <f t="shared" si="8"/>
        <v>1</v>
      </c>
      <c r="BM11" s="154">
        <f t="shared" si="9"/>
        <v>2.3034544436445277</v>
      </c>
      <c r="BN11" s="153">
        <f t="shared" si="10"/>
        <v>2.3724748845631387</v>
      </c>
      <c r="BO11" s="116" t="e">
        <f t="shared" si="11"/>
        <v>#DIV/0!</v>
      </c>
      <c r="BP11" s="153">
        <f t="shared" si="12"/>
        <v>2.3724748845631387</v>
      </c>
      <c r="BQ11" s="141" t="e">
        <f t="shared" si="13"/>
        <v>#DIV/0!</v>
      </c>
      <c r="BR11" s="111">
        <f t="shared" si="0"/>
        <v>201.21599999999998</v>
      </c>
      <c r="BS11" s="96">
        <f t="shared" si="14"/>
        <v>3.8397328881469117</v>
      </c>
      <c r="BT11" s="96">
        <f t="shared" si="15"/>
        <v>0.48572621035058433</v>
      </c>
      <c r="BU11" s="96">
        <f t="shared" si="16"/>
        <v>0</v>
      </c>
      <c r="BV11" s="96"/>
      <c r="BW11" s="96">
        <f t="shared" si="17"/>
        <v>0.81634468150249617</v>
      </c>
      <c r="BX11" s="96">
        <f t="shared" si="18"/>
        <v>0.84160107929243033</v>
      </c>
      <c r="BY11" s="96">
        <f t="shared" si="19"/>
        <v>0.10646253653049244</v>
      </c>
      <c r="BZ11" s="96">
        <f t="shared" si="20"/>
        <v>0.17439892070756968</v>
      </c>
      <c r="CA11" s="96">
        <f t="shared" si="21"/>
        <v>2.2061463469507565E-2</v>
      </c>
      <c r="CB11" s="112">
        <f t="shared" si="22"/>
        <v>2.525639778993425E-2</v>
      </c>
      <c r="CC11" s="113">
        <f t="shared" si="23"/>
        <v>84.723106301718659</v>
      </c>
      <c r="CD11" s="13">
        <f t="shared" si="24"/>
        <v>93.634627625716107</v>
      </c>
      <c r="CE11" s="84">
        <f t="shared" si="25"/>
        <v>86.314449395289628</v>
      </c>
      <c r="CF11" s="112">
        <f t="shared" si="26"/>
        <v>0.7</v>
      </c>
      <c r="CG11" s="111">
        <v>0.7</v>
      </c>
      <c r="CH11" s="96">
        <v>10</v>
      </c>
      <c r="CI11" s="96">
        <v>50000</v>
      </c>
      <c r="CJ11" s="96">
        <v>5.3759790000000002E-2</v>
      </c>
      <c r="CK11" s="96">
        <v>2.335367E-2</v>
      </c>
      <c r="CL11" s="96">
        <f t="shared" si="27"/>
        <v>0.86186253103857313</v>
      </c>
      <c r="CM11" s="96">
        <f t="shared" si="28"/>
        <v>0.92206269209130487</v>
      </c>
      <c r="CN11" s="96">
        <f t="shared" si="29"/>
        <v>0.80542176154175471</v>
      </c>
      <c r="CO11" s="112">
        <f t="shared" si="30"/>
        <v>9.3937307908695145E-2</v>
      </c>
    </row>
    <row r="12" spans="1:94" x14ac:dyDescent="0.25">
      <c r="A12" s="111">
        <f>IF('3'!$AC$5="",B12,NA())</f>
        <v>0.6</v>
      </c>
      <c r="B12" s="111">
        <v>0.6</v>
      </c>
      <c r="C12" s="96">
        <v>30</v>
      </c>
      <c r="D12" s="112">
        <v>50000</v>
      </c>
      <c r="E12" s="96">
        <v>966</v>
      </c>
      <c r="F12" s="96">
        <v>385</v>
      </c>
      <c r="G12" s="96">
        <v>0</v>
      </c>
      <c r="H12" s="96">
        <v>0</v>
      </c>
      <c r="I12" s="96">
        <v>1351</v>
      </c>
      <c r="J12" s="96">
        <v>0</v>
      </c>
      <c r="K12" s="96">
        <v>1351</v>
      </c>
      <c r="L12" s="111">
        <v>1351</v>
      </c>
      <c r="M12" s="96">
        <v>1183</v>
      </c>
      <c r="N12" s="96">
        <v>1213</v>
      </c>
      <c r="O12" s="96">
        <v>1150</v>
      </c>
      <c r="P12" s="112">
        <v>45</v>
      </c>
      <c r="Q12" s="111">
        <v>742</v>
      </c>
      <c r="R12" s="96">
        <v>379</v>
      </c>
      <c r="S12" s="96">
        <v>0</v>
      </c>
      <c r="T12" s="96">
        <v>0</v>
      </c>
      <c r="U12" s="96">
        <v>1121</v>
      </c>
      <c r="V12" s="112">
        <v>82.98</v>
      </c>
      <c r="W12" s="96">
        <v>5.4100000000000002E-2</v>
      </c>
      <c r="X12" s="96">
        <v>4.41E-2</v>
      </c>
      <c r="Y12" s="96">
        <v>0</v>
      </c>
      <c r="Z12" s="96">
        <v>0</v>
      </c>
      <c r="AA12" s="96">
        <v>9.8100000000000007E-2</v>
      </c>
      <c r="AB12" s="96">
        <v>0</v>
      </c>
      <c r="AC12" s="96">
        <v>9.8100000000000007E-2</v>
      </c>
      <c r="AD12" s="111">
        <v>120.47</v>
      </c>
      <c r="AE12" s="13">
        <v>38.590000000000003</v>
      </c>
      <c r="AF12" s="13">
        <v>0</v>
      </c>
      <c r="AG12" s="13">
        <v>0</v>
      </c>
      <c r="AH12" s="13">
        <v>159.05000000000001</v>
      </c>
      <c r="AI12" s="13">
        <v>0</v>
      </c>
      <c r="AJ12" s="84">
        <v>159.05000000000001</v>
      </c>
      <c r="AK12" s="113">
        <v>3.7</v>
      </c>
      <c r="AL12" s="13">
        <v>2.35</v>
      </c>
      <c r="AM12" s="13">
        <v>0</v>
      </c>
      <c r="AN12" s="84">
        <v>0</v>
      </c>
      <c r="AO12" s="13">
        <v>1.08</v>
      </c>
      <c r="AP12" s="13">
        <v>0</v>
      </c>
      <c r="AQ12" s="13">
        <v>0.20200000000000001</v>
      </c>
      <c r="AR12" s="13">
        <v>0</v>
      </c>
      <c r="AS12" s="13">
        <v>0.214</v>
      </c>
      <c r="AT12" s="113">
        <v>0.106</v>
      </c>
      <c r="AU12" s="13">
        <v>0</v>
      </c>
      <c r="AV12" s="13">
        <v>0.106</v>
      </c>
      <c r="AW12" s="13">
        <v>0.36299999999999999</v>
      </c>
      <c r="AX12" s="84">
        <v>0</v>
      </c>
      <c r="AY12" s="113">
        <v>1.589</v>
      </c>
      <c r="AZ12" s="13">
        <v>1.609</v>
      </c>
      <c r="BA12" s="13">
        <v>1.603</v>
      </c>
      <c r="BB12" s="13">
        <v>0.23899999999999999</v>
      </c>
      <c r="BC12" s="13">
        <v>0.379</v>
      </c>
      <c r="BD12" s="84">
        <v>0.23200000000000001</v>
      </c>
      <c r="BE12" s="147">
        <f t="shared" si="1"/>
        <v>0.18703703703703703</v>
      </c>
      <c r="BF12" s="157">
        <f t="shared" si="2"/>
        <v>45.033333333333331</v>
      </c>
      <c r="BG12" s="157">
        <f t="shared" si="3"/>
        <v>0</v>
      </c>
      <c r="BH12" s="157">
        <f t="shared" si="4"/>
        <v>45.033333333333331</v>
      </c>
      <c r="BI12" s="152">
        <f t="shared" si="5"/>
        <v>0.90720279067289522</v>
      </c>
      <c r="BJ12" s="153">
        <f t="shared" si="6"/>
        <v>0.90720279067289522</v>
      </c>
      <c r="BK12" s="116" t="e">
        <f t="shared" si="7"/>
        <v>#DIV/0!</v>
      </c>
      <c r="BL12" s="116">
        <f t="shared" si="8"/>
        <v>1</v>
      </c>
      <c r="BM12" s="154">
        <f t="shared" si="9"/>
        <v>0.90720279067289522</v>
      </c>
      <c r="BN12" s="153">
        <f t="shared" si="10"/>
        <v>1.0898799587468642</v>
      </c>
      <c r="BO12" s="116" t="e">
        <f t="shared" si="11"/>
        <v>#DIV/0!</v>
      </c>
      <c r="BP12" s="153">
        <f t="shared" si="12"/>
        <v>1.0898799587468642</v>
      </c>
      <c r="BQ12" s="141" t="e">
        <f t="shared" si="13"/>
        <v>#DIV/0!</v>
      </c>
      <c r="BR12" s="111">
        <f t="shared" si="0"/>
        <v>166.5</v>
      </c>
      <c r="BS12" s="96">
        <f t="shared" si="14"/>
        <v>3.7007230430682174</v>
      </c>
      <c r="BT12" s="96">
        <f t="shared" si="15"/>
        <v>0.36304093052499214</v>
      </c>
      <c r="BU12" s="96">
        <f t="shared" si="16"/>
        <v>0</v>
      </c>
      <c r="BV12" s="96"/>
      <c r="BW12" s="96">
        <f t="shared" si="17"/>
        <v>0.85576447930058497</v>
      </c>
      <c r="BX12" s="96">
        <f t="shared" si="18"/>
        <v>0.87786998388119764</v>
      </c>
      <c r="BY12" s="96">
        <f t="shared" si="19"/>
        <v>8.6119045418745488E-2</v>
      </c>
      <c r="BZ12" s="96">
        <f t="shared" si="20"/>
        <v>0.20323093354999511</v>
      </c>
      <c r="CA12" s="96">
        <f t="shared" si="21"/>
        <v>1.993695458125452E-2</v>
      </c>
      <c r="CB12" s="112">
        <f t="shared" si="22"/>
        <v>2.2105504580612619E-2</v>
      </c>
      <c r="CC12" s="113">
        <f t="shared" si="23"/>
        <v>87.564766839378237</v>
      </c>
      <c r="CD12" s="13">
        <f t="shared" si="24"/>
        <v>89.785344189489265</v>
      </c>
      <c r="CE12" s="84">
        <f t="shared" si="25"/>
        <v>85.122131754256102</v>
      </c>
      <c r="CF12" s="112">
        <f t="shared" si="26"/>
        <v>0.6</v>
      </c>
      <c r="CG12" s="111">
        <v>0.6</v>
      </c>
      <c r="CH12" s="96">
        <v>10</v>
      </c>
      <c r="CI12" s="96">
        <v>50000</v>
      </c>
      <c r="CJ12" s="96">
        <v>5.7617000000000002E-2</v>
      </c>
      <c r="CK12" s="96">
        <v>2.2955670000000001E-2</v>
      </c>
      <c r="CL12" s="96">
        <f t="shared" si="27"/>
        <v>0.89224585583541605</v>
      </c>
      <c r="CM12" s="96">
        <f t="shared" si="28"/>
        <v>0.93943699491067434</v>
      </c>
      <c r="CN12" s="96">
        <f t="shared" si="29"/>
        <v>0.84727822570993727</v>
      </c>
      <c r="CO12" s="112">
        <f t="shared" si="30"/>
        <v>0.14056300508932573</v>
      </c>
    </row>
    <row r="13" spans="1:94" x14ac:dyDescent="0.25">
      <c r="A13" s="111">
        <f>IF('3'!$AC$5="",B13,NA())</f>
        <v>0.5</v>
      </c>
      <c r="B13" s="111">
        <v>0.5</v>
      </c>
      <c r="C13" s="96">
        <v>30</v>
      </c>
      <c r="D13" s="112">
        <v>50000</v>
      </c>
      <c r="E13" s="96">
        <v>902</v>
      </c>
      <c r="F13" s="96">
        <v>378</v>
      </c>
      <c r="G13" s="96">
        <v>0</v>
      </c>
      <c r="H13" s="96">
        <v>0</v>
      </c>
      <c r="I13" s="96">
        <v>1280</v>
      </c>
      <c r="J13" s="96">
        <v>0</v>
      </c>
      <c r="K13" s="96">
        <v>1280</v>
      </c>
      <c r="L13" s="111">
        <v>1280</v>
      </c>
      <c r="M13" s="96">
        <v>1173</v>
      </c>
      <c r="N13" s="96">
        <v>1133</v>
      </c>
      <c r="O13" s="96">
        <v>1117</v>
      </c>
      <c r="P13" s="112">
        <v>42.7</v>
      </c>
      <c r="Q13" s="111">
        <v>736</v>
      </c>
      <c r="R13" s="96">
        <v>372</v>
      </c>
      <c r="S13" s="96">
        <v>0</v>
      </c>
      <c r="T13" s="96">
        <v>0</v>
      </c>
      <c r="U13" s="96">
        <v>1108</v>
      </c>
      <c r="V13" s="112">
        <v>86.56</v>
      </c>
      <c r="W13" s="96">
        <v>0.05</v>
      </c>
      <c r="X13" s="96">
        <v>4.19E-2</v>
      </c>
      <c r="Y13" s="96">
        <v>0</v>
      </c>
      <c r="Z13" s="96">
        <v>0</v>
      </c>
      <c r="AA13" s="96">
        <v>9.1899999999999996E-2</v>
      </c>
      <c r="AB13" s="96">
        <v>0</v>
      </c>
      <c r="AC13" s="96">
        <v>9.1899999999999996E-2</v>
      </c>
      <c r="AD13" s="111">
        <v>109.66</v>
      </c>
      <c r="AE13" s="13">
        <v>33.47</v>
      </c>
      <c r="AF13" s="13">
        <v>0</v>
      </c>
      <c r="AG13" s="13">
        <v>0</v>
      </c>
      <c r="AH13" s="13">
        <v>143.13</v>
      </c>
      <c r="AI13" s="13">
        <v>0</v>
      </c>
      <c r="AJ13" s="84">
        <v>143.13</v>
      </c>
      <c r="AK13" s="113">
        <v>3.85</v>
      </c>
      <c r="AL13" s="13">
        <v>2.39</v>
      </c>
      <c r="AM13" s="13">
        <v>0</v>
      </c>
      <c r="AN13" s="84">
        <v>0</v>
      </c>
      <c r="AO13" s="13">
        <v>1.111</v>
      </c>
      <c r="AP13" s="13">
        <v>0</v>
      </c>
      <c r="AQ13" s="13">
        <v>0.17499999999999999</v>
      </c>
      <c r="AR13" s="13">
        <v>0</v>
      </c>
      <c r="AS13" s="13">
        <v>0.19600000000000001</v>
      </c>
      <c r="AT13" s="113">
        <v>0.10199999999999999</v>
      </c>
      <c r="AU13" s="13">
        <v>0</v>
      </c>
      <c r="AV13" s="13">
        <v>0.10199999999999999</v>
      </c>
      <c r="AW13" s="13">
        <v>0.35399999999999998</v>
      </c>
      <c r="AX13" s="84">
        <v>0</v>
      </c>
      <c r="AY13" s="113">
        <v>1.589</v>
      </c>
      <c r="AZ13" s="13">
        <v>1.609</v>
      </c>
      <c r="BA13" s="13">
        <v>1.603</v>
      </c>
      <c r="BB13" s="13">
        <v>0.23899999999999999</v>
      </c>
      <c r="BC13" s="13">
        <v>0.379</v>
      </c>
      <c r="BD13" s="84">
        <v>0.23200000000000001</v>
      </c>
      <c r="BE13" s="147">
        <f t="shared" si="1"/>
        <v>0.15751575157515751</v>
      </c>
      <c r="BF13" s="157">
        <f t="shared" si="2"/>
        <v>42.666666666666664</v>
      </c>
      <c r="BG13" s="157">
        <f t="shared" si="3"/>
        <v>0</v>
      </c>
      <c r="BH13" s="157">
        <f t="shared" si="4"/>
        <v>42.666666666666664</v>
      </c>
      <c r="BI13" s="152">
        <f t="shared" si="5"/>
        <v>0.68736389363937134</v>
      </c>
      <c r="BJ13" s="153">
        <f t="shared" si="6"/>
        <v>0.68736389363937134</v>
      </c>
      <c r="BK13" s="116" t="e">
        <f t="shared" si="7"/>
        <v>#DIV/0!</v>
      </c>
      <c r="BL13" s="116">
        <f t="shared" si="8"/>
        <v>1</v>
      </c>
      <c r="BM13" s="154">
        <f t="shared" si="9"/>
        <v>0.68736389363937134</v>
      </c>
      <c r="BN13" s="153">
        <f t="shared" si="10"/>
        <v>0.70456394985140469</v>
      </c>
      <c r="BO13" s="116" t="e">
        <f t="shared" si="11"/>
        <v>#DIV/0!</v>
      </c>
      <c r="BP13" s="153">
        <f t="shared" si="12"/>
        <v>0.70456394985140469</v>
      </c>
      <c r="BQ13" s="141" t="e">
        <f t="shared" si="13"/>
        <v>#DIV/0!</v>
      </c>
      <c r="BR13" s="111">
        <f t="shared" si="0"/>
        <v>164.39500000000001</v>
      </c>
      <c r="BS13" s="96">
        <f t="shared" si="14"/>
        <v>3.8524418360930621</v>
      </c>
      <c r="BT13" s="96">
        <f t="shared" si="15"/>
        <v>0.35403940473695239</v>
      </c>
      <c r="BU13" s="96">
        <f t="shared" si="16"/>
        <v>0</v>
      </c>
      <c r="BV13" s="96"/>
      <c r="BW13" s="96">
        <f t="shared" si="17"/>
        <v>0.88764704592069232</v>
      </c>
      <c r="BX13" s="96">
        <f t="shared" si="18"/>
        <v>0.90817318240058076</v>
      </c>
      <c r="BY13" s="96">
        <f t="shared" si="19"/>
        <v>8.3461115462613367E-2</v>
      </c>
      <c r="BZ13" s="96">
        <f t="shared" si="20"/>
        <v>0.20282681759941945</v>
      </c>
      <c r="CA13" s="96">
        <f t="shared" si="21"/>
        <v>1.8639784537386645E-2</v>
      </c>
      <c r="CB13" s="112">
        <f t="shared" si="22"/>
        <v>2.0526136479888386E-2</v>
      </c>
      <c r="CC13" s="113">
        <f t="shared" si="23"/>
        <v>91.640625</v>
      </c>
      <c r="CD13" s="13">
        <f t="shared" si="24"/>
        <v>88.515625</v>
      </c>
      <c r="CE13" s="84">
        <f t="shared" si="25"/>
        <v>87.265625</v>
      </c>
      <c r="CF13" s="112">
        <f t="shared" si="26"/>
        <v>0.5</v>
      </c>
      <c r="CG13" s="111">
        <v>0.5</v>
      </c>
      <c r="CH13" s="96">
        <v>10</v>
      </c>
      <c r="CI13" s="96">
        <v>50000</v>
      </c>
      <c r="CJ13" s="96">
        <v>5.6215889999999998E-2</v>
      </c>
      <c r="CK13" s="96">
        <v>2.2608320000000001E-2</v>
      </c>
      <c r="CL13" s="96">
        <f t="shared" si="27"/>
        <v>0.88133042712847809</v>
      </c>
      <c r="CM13" s="96">
        <f t="shared" si="28"/>
        <v>0.92476978910015772</v>
      </c>
      <c r="CN13" s="96">
        <f t="shared" si="29"/>
        <v>0.83978344548185324</v>
      </c>
      <c r="CO13" s="112">
        <f t="shared" si="30"/>
        <v>0.18623021089984226</v>
      </c>
    </row>
    <row r="14" spans="1:94" x14ac:dyDescent="0.25">
      <c r="A14" s="111">
        <f>IF('3'!$AC$5="",B14,NA())</f>
        <v>0.4</v>
      </c>
      <c r="B14" s="111">
        <v>0.4</v>
      </c>
      <c r="C14" s="96">
        <v>30</v>
      </c>
      <c r="D14" s="112">
        <v>50000</v>
      </c>
      <c r="E14" s="96">
        <v>919</v>
      </c>
      <c r="F14" s="96">
        <v>440</v>
      </c>
      <c r="G14" s="96">
        <v>0</v>
      </c>
      <c r="H14" s="96">
        <v>0</v>
      </c>
      <c r="I14" s="96">
        <v>1359</v>
      </c>
      <c r="J14" s="96">
        <v>0</v>
      </c>
      <c r="K14" s="96">
        <v>1359</v>
      </c>
      <c r="L14" s="111">
        <v>1359</v>
      </c>
      <c r="M14" s="96">
        <v>1244</v>
      </c>
      <c r="N14" s="96">
        <v>1229</v>
      </c>
      <c r="O14" s="96">
        <v>1168</v>
      </c>
      <c r="P14" s="112">
        <v>45.3</v>
      </c>
      <c r="Q14" s="111">
        <v>749</v>
      </c>
      <c r="R14" s="96">
        <v>434</v>
      </c>
      <c r="S14" s="96">
        <v>0</v>
      </c>
      <c r="T14" s="96">
        <v>0</v>
      </c>
      <c r="U14" s="96">
        <v>1183</v>
      </c>
      <c r="V14" s="112">
        <v>87.05</v>
      </c>
      <c r="W14" s="96">
        <v>4.9200000000000001E-2</v>
      </c>
      <c r="X14" s="96">
        <v>4.7699999999999999E-2</v>
      </c>
      <c r="Y14" s="96">
        <v>0</v>
      </c>
      <c r="Z14" s="96">
        <v>0</v>
      </c>
      <c r="AA14" s="96">
        <v>9.69E-2</v>
      </c>
      <c r="AB14" s="96">
        <v>0</v>
      </c>
      <c r="AC14" s="96">
        <v>9.69E-2</v>
      </c>
      <c r="AD14" s="111">
        <v>109.76</v>
      </c>
      <c r="AE14" s="13">
        <v>39.119999999999997</v>
      </c>
      <c r="AF14" s="13">
        <v>0</v>
      </c>
      <c r="AG14" s="13">
        <v>0</v>
      </c>
      <c r="AH14" s="13">
        <v>148.88</v>
      </c>
      <c r="AI14" s="13">
        <v>0</v>
      </c>
      <c r="AJ14" s="84">
        <v>148.88</v>
      </c>
      <c r="AK14" s="113">
        <v>3.9</v>
      </c>
      <c r="AL14" s="13">
        <v>2.41</v>
      </c>
      <c r="AM14" s="13">
        <v>0</v>
      </c>
      <c r="AN14" s="84">
        <v>0</v>
      </c>
      <c r="AO14" s="13">
        <v>1.125</v>
      </c>
      <c r="AP14" s="13">
        <v>0</v>
      </c>
      <c r="AQ14" s="13">
        <v>0.17699999999999999</v>
      </c>
      <c r="AR14" s="13">
        <v>0</v>
      </c>
      <c r="AS14" s="13">
        <v>0.19600000000000001</v>
      </c>
      <c r="AT14" s="113">
        <v>0.109</v>
      </c>
      <c r="AU14" s="13">
        <v>0</v>
      </c>
      <c r="AV14" s="13">
        <v>0.109</v>
      </c>
      <c r="AW14" s="13">
        <v>0.378</v>
      </c>
      <c r="AX14" s="84">
        <v>0</v>
      </c>
      <c r="AY14" s="113">
        <v>1.589</v>
      </c>
      <c r="AZ14" s="13">
        <v>1.609</v>
      </c>
      <c r="BA14" s="13">
        <v>1.603</v>
      </c>
      <c r="BB14" s="13">
        <v>0.23899999999999999</v>
      </c>
      <c r="BC14" s="13">
        <v>0.379</v>
      </c>
      <c r="BD14" s="84">
        <v>0.23200000000000001</v>
      </c>
      <c r="BE14" s="147">
        <f t="shared" si="1"/>
        <v>0.15733333333333333</v>
      </c>
      <c r="BF14" s="157">
        <f t="shared" si="2"/>
        <v>45.3</v>
      </c>
      <c r="BG14" s="157">
        <f t="shared" si="3"/>
        <v>0</v>
      </c>
      <c r="BH14" s="157">
        <f t="shared" si="4"/>
        <v>45.3</v>
      </c>
      <c r="BI14" s="152">
        <f t="shared" si="5"/>
        <v>0.86227658037613419</v>
      </c>
      <c r="BJ14" s="153">
        <f t="shared" si="6"/>
        <v>0.86227658037613419</v>
      </c>
      <c r="BK14" s="116" t="e">
        <f t="shared" si="7"/>
        <v>#DIV/0!</v>
      </c>
      <c r="BL14" s="116">
        <f t="shared" si="8"/>
        <v>1</v>
      </c>
      <c r="BM14" s="154">
        <f t="shared" si="9"/>
        <v>0.86227658037613419</v>
      </c>
      <c r="BN14" s="153">
        <f t="shared" si="10"/>
        <v>0.83407507633658695</v>
      </c>
      <c r="BO14" s="116" t="e">
        <f t="shared" si="11"/>
        <v>#DIV/0!</v>
      </c>
      <c r="BP14" s="153">
        <f t="shared" si="12"/>
        <v>0.83407507633658695</v>
      </c>
      <c r="BQ14" s="141"/>
      <c r="BR14" s="111">
        <f t="shared" si="0"/>
        <v>176.67</v>
      </c>
      <c r="BS14" s="96">
        <f t="shared" si="14"/>
        <v>3.9051585169263836</v>
      </c>
      <c r="BT14" s="96">
        <f t="shared" si="15"/>
        <v>0.37840986029016654</v>
      </c>
      <c r="BU14" s="96">
        <f t="shared" si="16"/>
        <v>0</v>
      </c>
      <c r="BV14" s="96"/>
      <c r="BW14" s="96">
        <f t="shared" si="17"/>
        <v>0.91457676741031746</v>
      </c>
      <c r="BX14" s="96">
        <f t="shared" si="18"/>
        <v>0.93496677864825761</v>
      </c>
      <c r="BY14" s="96">
        <f t="shared" si="19"/>
        <v>9.0598280851016164E-2</v>
      </c>
      <c r="BZ14" s="96">
        <f t="shared" si="20"/>
        <v>0.19003322135174239</v>
      </c>
      <c r="CA14" s="96">
        <f t="shared" si="21"/>
        <v>1.8414219148983838E-2</v>
      </c>
      <c r="CB14" s="112">
        <f t="shared" si="22"/>
        <v>2.0390011237940247E-2</v>
      </c>
      <c r="CC14" s="113">
        <f t="shared" si="23"/>
        <v>91.537895511405438</v>
      </c>
      <c r="CD14" s="13">
        <f t="shared" si="24"/>
        <v>90.434142752023547</v>
      </c>
      <c r="CE14" s="84">
        <f t="shared" si="25"/>
        <v>85.94554819720382</v>
      </c>
      <c r="CF14" s="112">
        <f t="shared" si="26"/>
        <v>0.4</v>
      </c>
      <c r="CG14" s="111">
        <v>0.4</v>
      </c>
      <c r="CH14" s="96">
        <v>10</v>
      </c>
      <c r="CI14" s="96">
        <v>50000</v>
      </c>
      <c r="CJ14" s="96">
        <v>6.0633310000000003E-2</v>
      </c>
      <c r="CK14" s="96">
        <v>2.3008879999999999E-2</v>
      </c>
      <c r="CL14" s="96">
        <f t="shared" si="27"/>
        <v>0.91530293979976296</v>
      </c>
      <c r="CM14" s="96">
        <f t="shared" si="28"/>
        <v>0.96307154706442522</v>
      </c>
      <c r="CN14" s="96">
        <f t="shared" si="29"/>
        <v>0.86974991415388248</v>
      </c>
      <c r="CO14" s="112">
        <f t="shared" si="30"/>
        <v>0.16192845293557478</v>
      </c>
    </row>
    <row r="15" spans="1:94" x14ac:dyDescent="0.25">
      <c r="A15" s="111">
        <f>IF('3'!$AC$5="",B15,NA())</f>
        <v>0.3</v>
      </c>
      <c r="B15" s="111">
        <v>0.3</v>
      </c>
      <c r="C15" s="96">
        <v>30</v>
      </c>
      <c r="D15" s="112">
        <v>50000</v>
      </c>
      <c r="E15" s="96">
        <v>1036</v>
      </c>
      <c r="F15" s="96">
        <v>464</v>
      </c>
      <c r="G15" s="96">
        <v>0</v>
      </c>
      <c r="H15" s="96">
        <v>0</v>
      </c>
      <c r="I15" s="96">
        <v>1500</v>
      </c>
      <c r="J15" s="96">
        <v>0</v>
      </c>
      <c r="K15" s="96">
        <v>1500</v>
      </c>
      <c r="L15" s="111">
        <v>1500</v>
      </c>
      <c r="M15" s="96">
        <v>1348</v>
      </c>
      <c r="N15" s="96">
        <v>1302</v>
      </c>
      <c r="O15" s="96">
        <v>1285</v>
      </c>
      <c r="P15" s="112">
        <v>50</v>
      </c>
      <c r="Q15" s="111">
        <v>838</v>
      </c>
      <c r="R15" s="96">
        <v>461</v>
      </c>
      <c r="S15" s="96">
        <v>0</v>
      </c>
      <c r="T15" s="96">
        <v>0</v>
      </c>
      <c r="U15" s="96">
        <v>1299</v>
      </c>
      <c r="V15" s="112">
        <v>86.6</v>
      </c>
      <c r="W15" s="96">
        <v>5.5800000000000002E-2</v>
      </c>
      <c r="X15" s="96">
        <v>4.9200000000000001E-2</v>
      </c>
      <c r="Y15" s="96">
        <v>0</v>
      </c>
      <c r="Z15" s="96">
        <v>0</v>
      </c>
      <c r="AA15" s="96">
        <v>0.105</v>
      </c>
      <c r="AB15" s="96">
        <v>0</v>
      </c>
      <c r="AC15" s="96">
        <v>0.105</v>
      </c>
      <c r="AD15" s="111">
        <v>121.22</v>
      </c>
      <c r="AE15" s="13">
        <v>40.39</v>
      </c>
      <c r="AF15" s="13">
        <v>0</v>
      </c>
      <c r="AG15" s="13">
        <v>0</v>
      </c>
      <c r="AH15" s="13">
        <v>161.6</v>
      </c>
      <c r="AI15" s="13">
        <v>0</v>
      </c>
      <c r="AJ15" s="84">
        <v>161.6</v>
      </c>
      <c r="AK15" s="113">
        <v>3.9</v>
      </c>
      <c r="AL15" s="13">
        <v>2.42</v>
      </c>
      <c r="AM15" s="13">
        <v>0</v>
      </c>
      <c r="AN15" s="84">
        <v>0</v>
      </c>
      <c r="AO15" s="13">
        <v>1.1539999999999999</v>
      </c>
      <c r="AP15" s="13">
        <v>0</v>
      </c>
      <c r="AQ15" s="13">
        <v>0.18</v>
      </c>
      <c r="AR15" s="13">
        <v>0</v>
      </c>
      <c r="AS15" s="13">
        <v>0.191</v>
      </c>
      <c r="AT15" s="113">
        <v>0.121</v>
      </c>
      <c r="AU15" s="13">
        <v>0</v>
      </c>
      <c r="AV15" s="13">
        <v>0.121</v>
      </c>
      <c r="AW15" s="13">
        <v>0.40899999999999997</v>
      </c>
      <c r="AX15" s="84">
        <v>0</v>
      </c>
      <c r="AY15" s="113">
        <v>1.589</v>
      </c>
      <c r="AZ15" s="13">
        <v>1.609</v>
      </c>
      <c r="BA15" s="13">
        <v>1.603</v>
      </c>
      <c r="BB15" s="13">
        <v>0.23899999999999999</v>
      </c>
      <c r="BC15" s="13">
        <v>0.379</v>
      </c>
      <c r="BD15" s="84">
        <v>0.23200000000000001</v>
      </c>
      <c r="BE15" s="147">
        <f t="shared" si="1"/>
        <v>0.15597920277296362</v>
      </c>
      <c r="BF15" s="157">
        <f t="shared" si="2"/>
        <v>50</v>
      </c>
      <c r="BG15" s="157">
        <f t="shared" si="3"/>
        <v>0</v>
      </c>
      <c r="BH15" s="157">
        <f t="shared" si="4"/>
        <v>50</v>
      </c>
      <c r="BI15" s="152">
        <f t="shared" si="5"/>
        <v>1.1876678921741295</v>
      </c>
      <c r="BJ15" s="153">
        <f t="shared" si="6"/>
        <v>1.1876678921741295</v>
      </c>
      <c r="BK15" s="116" t="e">
        <f t="shared" si="7"/>
        <v>#DIV/0!</v>
      </c>
      <c r="BL15" s="116">
        <f t="shared" si="8"/>
        <v>1</v>
      </c>
      <c r="BM15" s="154">
        <f t="shared" si="9"/>
        <v>1.1876678921741295</v>
      </c>
      <c r="BN15" s="153">
        <f t="shared" si="10"/>
        <v>1.1593766863360824</v>
      </c>
      <c r="BO15" s="116" t="e">
        <f t="shared" si="11"/>
        <v>#DIV/0!</v>
      </c>
      <c r="BP15" s="153">
        <f t="shared" si="12"/>
        <v>1.1593766863360824</v>
      </c>
      <c r="BQ15" s="141"/>
      <c r="BR15" s="111">
        <f t="shared" si="0"/>
        <v>195</v>
      </c>
      <c r="BS15" s="96">
        <f t="shared" si="14"/>
        <v>3.8985148514851486</v>
      </c>
      <c r="BT15" s="96">
        <f t="shared" si="15"/>
        <v>0.4093440594059406</v>
      </c>
      <c r="BU15" s="96">
        <f t="shared" si="16"/>
        <v>0</v>
      </c>
      <c r="BV15" s="96"/>
      <c r="BW15" s="96">
        <f t="shared" si="17"/>
        <v>0.93798193514099792</v>
      </c>
      <c r="BX15" s="96">
        <f t="shared" si="18"/>
        <v>0.9606638319511932</v>
      </c>
      <c r="BY15" s="96">
        <f t="shared" si="19"/>
        <v>0.10086970235487529</v>
      </c>
      <c r="BZ15" s="96">
        <f t="shared" si="20"/>
        <v>0.19333616804880693</v>
      </c>
      <c r="CA15" s="96">
        <f t="shared" si="21"/>
        <v>2.0300297645124726E-2</v>
      </c>
      <c r="CB15" s="112">
        <f t="shared" si="22"/>
        <v>2.2681896810195223E-2</v>
      </c>
      <c r="CC15" s="113">
        <f t="shared" si="23"/>
        <v>89.86666666666666</v>
      </c>
      <c r="CD15" s="13">
        <f t="shared" si="24"/>
        <v>86.8</v>
      </c>
      <c r="CE15" s="84">
        <f t="shared" si="25"/>
        <v>85.666666666666671</v>
      </c>
      <c r="CF15" s="112">
        <f t="shared" si="26"/>
        <v>0.3</v>
      </c>
      <c r="CG15" s="111">
        <v>0.3</v>
      </c>
      <c r="CH15" s="96">
        <v>10</v>
      </c>
      <c r="CI15" s="96">
        <v>50000</v>
      </c>
      <c r="CJ15" s="96">
        <v>6.4703399999999994E-2</v>
      </c>
      <c r="CK15" s="96">
        <v>2.3402340000000001E-2</v>
      </c>
      <c r="CL15" s="96">
        <f t="shared" si="27"/>
        <v>0.94552446351630426</v>
      </c>
      <c r="CM15" s="96">
        <f t="shared" si="28"/>
        <v>0.99935603739062029</v>
      </c>
      <c r="CN15" s="96">
        <f t="shared" si="29"/>
        <v>0.89442365346460517</v>
      </c>
      <c r="CO15" s="112">
        <f t="shared" si="30"/>
        <v>0.15464396260937963</v>
      </c>
    </row>
    <row r="16" spans="1:94" x14ac:dyDescent="0.25">
      <c r="A16" s="111">
        <f>IF('3'!$AC$5="",B16,NA())</f>
        <v>0.2</v>
      </c>
      <c r="B16" s="111">
        <v>0.2</v>
      </c>
      <c r="C16" s="96">
        <v>30</v>
      </c>
      <c r="D16" s="112">
        <v>50000</v>
      </c>
      <c r="E16" s="96">
        <v>1040</v>
      </c>
      <c r="F16" s="96">
        <v>443</v>
      </c>
      <c r="G16" s="96">
        <v>0</v>
      </c>
      <c r="H16" s="96">
        <v>0</v>
      </c>
      <c r="I16" s="96">
        <v>1483</v>
      </c>
      <c r="J16" s="96">
        <v>0</v>
      </c>
      <c r="K16" s="96">
        <v>1483</v>
      </c>
      <c r="L16" s="111">
        <v>1483</v>
      </c>
      <c r="M16" s="96">
        <v>1370</v>
      </c>
      <c r="N16" s="96">
        <v>1355</v>
      </c>
      <c r="O16" s="96">
        <v>1284</v>
      </c>
      <c r="P16" s="112">
        <v>49.4</v>
      </c>
      <c r="Q16" s="111">
        <v>855</v>
      </c>
      <c r="R16" s="96">
        <v>437</v>
      </c>
      <c r="S16" s="96">
        <v>0</v>
      </c>
      <c r="T16" s="96">
        <v>0</v>
      </c>
      <c r="U16" s="96">
        <v>1292</v>
      </c>
      <c r="V16" s="112">
        <v>87.12</v>
      </c>
      <c r="W16" s="96">
        <v>5.5899999999999998E-2</v>
      </c>
      <c r="X16" s="96">
        <v>4.7300000000000002E-2</v>
      </c>
      <c r="Y16" s="96">
        <v>0</v>
      </c>
      <c r="Z16" s="96">
        <v>0</v>
      </c>
      <c r="AA16" s="96">
        <v>0.1032</v>
      </c>
      <c r="AB16" s="96">
        <v>0</v>
      </c>
      <c r="AC16" s="96">
        <v>0.1032</v>
      </c>
      <c r="AD16" s="111">
        <v>122.55</v>
      </c>
      <c r="AE16" s="13">
        <v>36.65</v>
      </c>
      <c r="AF16" s="13">
        <v>0</v>
      </c>
      <c r="AG16" s="13">
        <v>0</v>
      </c>
      <c r="AH16" s="13">
        <v>159.19999999999999</v>
      </c>
      <c r="AI16" s="13">
        <v>0</v>
      </c>
      <c r="AJ16" s="84">
        <v>159.19999999999999</v>
      </c>
      <c r="AK16" s="113">
        <v>3.89</v>
      </c>
      <c r="AL16" s="13">
        <v>2.4300000000000002</v>
      </c>
      <c r="AM16" s="13">
        <v>0</v>
      </c>
      <c r="AN16" s="84">
        <v>0</v>
      </c>
      <c r="AO16" s="13">
        <v>1.1639999999999999</v>
      </c>
      <c r="AP16" s="13">
        <v>0</v>
      </c>
      <c r="AQ16" s="13">
        <v>0.189</v>
      </c>
      <c r="AR16" s="13">
        <v>0</v>
      </c>
      <c r="AS16" s="13">
        <v>0.20699999999999999</v>
      </c>
      <c r="AT16" s="113">
        <v>0.12</v>
      </c>
      <c r="AU16" s="13">
        <v>0</v>
      </c>
      <c r="AV16" s="13">
        <v>0.12</v>
      </c>
      <c r="AW16" s="13">
        <v>0.40100000000000002</v>
      </c>
      <c r="AX16" s="84">
        <v>0</v>
      </c>
      <c r="AY16" s="113">
        <v>1.589</v>
      </c>
      <c r="AZ16" s="13">
        <v>1.609</v>
      </c>
      <c r="BA16" s="13">
        <v>1.603</v>
      </c>
      <c r="BB16" s="13">
        <v>0.23899999999999999</v>
      </c>
      <c r="BC16" s="13">
        <v>0.379</v>
      </c>
      <c r="BD16" s="84">
        <v>0.23200000000000001</v>
      </c>
      <c r="BE16" s="147">
        <f t="shared" si="1"/>
        <v>0.16237113402061856</v>
      </c>
      <c r="BF16" s="157">
        <f t="shared" si="2"/>
        <v>49.43333333333333</v>
      </c>
      <c r="BG16" s="157">
        <f t="shared" si="3"/>
        <v>0</v>
      </c>
      <c r="BH16" s="157">
        <f t="shared" si="4"/>
        <v>49.43333333333333</v>
      </c>
      <c r="BI16" s="152">
        <f t="shared" si="5"/>
        <v>1.1108666611640248</v>
      </c>
      <c r="BJ16" s="153">
        <f t="shared" si="6"/>
        <v>1.1108666611640248</v>
      </c>
      <c r="BK16" s="116" t="e">
        <f t="shared" si="7"/>
        <v>#DIV/0!</v>
      </c>
      <c r="BL16" s="116">
        <f t="shared" si="8"/>
        <v>1</v>
      </c>
      <c r="BM16" s="154">
        <f t="shared" si="9"/>
        <v>1.1108666611640248</v>
      </c>
      <c r="BN16" s="153">
        <f t="shared" si="10"/>
        <v>1.0939085469367043</v>
      </c>
      <c r="BO16" s="116" t="e">
        <f t="shared" si="11"/>
        <v>#DIV/0!</v>
      </c>
      <c r="BP16" s="153">
        <f t="shared" si="12"/>
        <v>1.0939085469367043</v>
      </c>
      <c r="BQ16" s="141"/>
      <c r="BR16" s="111">
        <f t="shared" si="0"/>
        <v>192.166</v>
      </c>
      <c r="BS16" s="96">
        <f t="shared" si="14"/>
        <v>3.8894472361809052</v>
      </c>
      <c r="BT16" s="96">
        <f t="shared" si="15"/>
        <v>0.40139095477386944</v>
      </c>
      <c r="BU16" s="96">
        <f t="shared" si="16"/>
        <v>0</v>
      </c>
      <c r="BV16" s="96"/>
      <c r="BW16" s="96">
        <f t="shared" si="17"/>
        <v>0.95874001371920414</v>
      </c>
      <c r="BX16" s="96">
        <f t="shared" si="18"/>
        <v>0.97992284430338239</v>
      </c>
      <c r="BY16" s="96">
        <f t="shared" si="19"/>
        <v>0.10112803753210907</v>
      </c>
      <c r="BZ16" s="96">
        <f t="shared" si="20"/>
        <v>0.18407715569661753</v>
      </c>
      <c r="CA16" s="96">
        <f t="shared" si="21"/>
        <v>1.8996762467890928E-2</v>
      </c>
      <c r="CB16" s="112">
        <f t="shared" si="22"/>
        <v>2.1182830584178108E-2</v>
      </c>
      <c r="CC16" s="113">
        <f t="shared" si="23"/>
        <v>92.380310182063383</v>
      </c>
      <c r="CD16" s="13">
        <f t="shared" si="24"/>
        <v>91.368846931894808</v>
      </c>
      <c r="CE16" s="84">
        <f t="shared" si="25"/>
        <v>86.581254214430217</v>
      </c>
      <c r="CF16" s="112">
        <f t="shared" si="26"/>
        <v>0.2</v>
      </c>
      <c r="CG16" s="111">
        <v>0.2</v>
      </c>
      <c r="CH16" s="96">
        <v>10</v>
      </c>
      <c r="CI16" s="96">
        <v>50000</v>
      </c>
      <c r="CJ16" s="96">
        <v>6.6365789999999994E-2</v>
      </c>
      <c r="CK16" s="96">
        <v>2.4169449999999999E-2</v>
      </c>
      <c r="CL16" s="96">
        <f t="shared" si="27"/>
        <v>0.95759386027754068</v>
      </c>
      <c r="CM16" s="96">
        <f t="shared" si="28"/>
        <v>1.0110987424438451</v>
      </c>
      <c r="CN16" s="96">
        <f t="shared" si="29"/>
        <v>0.9067533522236404</v>
      </c>
      <c r="CO16" s="112">
        <f t="shared" si="30"/>
        <v>0.1529012575561548</v>
      </c>
    </row>
    <row r="17" spans="1:93" ht="15.75" thickBot="1" x14ac:dyDescent="0.3">
      <c r="A17" s="111">
        <f>IF('3'!$AC$5="",B17,NA())</f>
        <v>0.1</v>
      </c>
      <c r="B17" s="111">
        <v>0.1</v>
      </c>
      <c r="C17" s="96">
        <v>30</v>
      </c>
      <c r="D17" s="112">
        <v>50000</v>
      </c>
      <c r="E17" s="96">
        <v>1099</v>
      </c>
      <c r="F17" s="96">
        <v>488</v>
      </c>
      <c r="G17" s="96">
        <v>0</v>
      </c>
      <c r="H17" s="96">
        <v>0</v>
      </c>
      <c r="I17" s="96">
        <v>1587</v>
      </c>
      <c r="J17" s="96">
        <v>0</v>
      </c>
      <c r="K17" s="96">
        <v>1587</v>
      </c>
      <c r="L17" s="111">
        <v>1587</v>
      </c>
      <c r="M17" s="96">
        <v>1458</v>
      </c>
      <c r="N17" s="96">
        <v>1430</v>
      </c>
      <c r="O17" s="96">
        <v>1378</v>
      </c>
      <c r="P17" s="112">
        <v>52.9</v>
      </c>
      <c r="Q17" s="111">
        <v>902</v>
      </c>
      <c r="R17" s="96">
        <v>481</v>
      </c>
      <c r="S17" s="96">
        <v>0</v>
      </c>
      <c r="T17" s="96">
        <v>0</v>
      </c>
      <c r="U17" s="96">
        <v>1383</v>
      </c>
      <c r="V17" s="112">
        <v>87.15</v>
      </c>
      <c r="W17" s="96">
        <v>5.8799999999999998E-2</v>
      </c>
      <c r="X17" s="96">
        <v>5.1799999999999999E-2</v>
      </c>
      <c r="Y17" s="96">
        <v>0</v>
      </c>
      <c r="Z17" s="96">
        <v>0</v>
      </c>
      <c r="AA17" s="96">
        <v>0.1106</v>
      </c>
      <c r="AB17" s="96">
        <v>0</v>
      </c>
      <c r="AC17" s="96">
        <v>0.1106</v>
      </c>
      <c r="AD17" s="111">
        <v>131.25</v>
      </c>
      <c r="AE17" s="13">
        <v>41.53</v>
      </c>
      <c r="AF17" s="13">
        <v>0</v>
      </c>
      <c r="AG17" s="13">
        <v>0</v>
      </c>
      <c r="AH17" s="13">
        <v>172.78</v>
      </c>
      <c r="AI17" s="13">
        <v>0</v>
      </c>
      <c r="AJ17" s="84">
        <v>172.78</v>
      </c>
      <c r="AK17" s="113">
        <v>3.84</v>
      </c>
      <c r="AL17" s="13">
        <v>2.38</v>
      </c>
      <c r="AM17" s="13">
        <v>0</v>
      </c>
      <c r="AN17" s="84">
        <v>0</v>
      </c>
      <c r="AO17" s="13">
        <v>1.139</v>
      </c>
      <c r="AP17" s="13">
        <v>0</v>
      </c>
      <c r="AQ17" s="13">
        <v>0.17299999999999999</v>
      </c>
      <c r="AR17" s="13">
        <v>0</v>
      </c>
      <c r="AS17" s="13">
        <v>0.193</v>
      </c>
      <c r="AT17" s="113">
        <v>0.126</v>
      </c>
      <c r="AU17" s="13">
        <v>0</v>
      </c>
      <c r="AV17" s="13">
        <v>0.126</v>
      </c>
      <c r="AW17" s="13">
        <v>0.42399999999999999</v>
      </c>
      <c r="AX17" s="84">
        <v>0</v>
      </c>
      <c r="AY17" s="113">
        <v>1.589</v>
      </c>
      <c r="AZ17" s="13">
        <v>1.609</v>
      </c>
      <c r="BA17" s="13">
        <v>1.603</v>
      </c>
      <c r="BB17" s="13">
        <v>0.23899999999999999</v>
      </c>
      <c r="BC17" s="13">
        <v>0.379</v>
      </c>
      <c r="BD17" s="84">
        <v>0.23200000000000001</v>
      </c>
      <c r="BE17" s="147">
        <f t="shared" si="1"/>
        <v>0.15188762071992976</v>
      </c>
      <c r="BF17" s="157">
        <f t="shared" si="2"/>
        <v>52.9</v>
      </c>
      <c r="BG17" s="157">
        <f t="shared" si="3"/>
        <v>0</v>
      </c>
      <c r="BH17" s="157">
        <f t="shared" si="4"/>
        <v>52.9</v>
      </c>
      <c r="BI17" s="152">
        <f t="shared" si="5"/>
        <v>1.4430204501404227</v>
      </c>
      <c r="BJ17" s="153">
        <f t="shared" si="6"/>
        <v>1.4430204501404227</v>
      </c>
      <c r="BK17" s="116" t="e">
        <f t="shared" si="7"/>
        <v>#DIV/0!</v>
      </c>
      <c r="BL17" s="116">
        <f t="shared" si="8"/>
        <v>1</v>
      </c>
      <c r="BM17" s="154">
        <f t="shared" si="9"/>
        <v>1.4430204501404227</v>
      </c>
      <c r="BN17" s="153">
        <f t="shared" si="10"/>
        <v>1.4894231590892235</v>
      </c>
      <c r="BO17" s="116" t="e">
        <f t="shared" si="11"/>
        <v>#DIV/0!</v>
      </c>
      <c r="BP17" s="153">
        <f t="shared" si="12"/>
        <v>1.4894231590892235</v>
      </c>
      <c r="BQ17" s="141"/>
      <c r="BR17" s="111">
        <f t="shared" si="0"/>
        <v>203.136</v>
      </c>
      <c r="BS17" s="96">
        <f t="shared" si="14"/>
        <v>3.8407223058224331</v>
      </c>
      <c r="BT17" s="96">
        <f t="shared" si="15"/>
        <v>0.42478388702396114</v>
      </c>
      <c r="BU17" s="96">
        <f t="shared" si="16"/>
        <v>0</v>
      </c>
      <c r="BV17" s="96"/>
      <c r="BW17" s="96">
        <f t="shared" si="17"/>
        <v>0.97743092137960175</v>
      </c>
      <c r="BX17" s="96">
        <f t="shared" si="18"/>
        <v>0.99530046147501783</v>
      </c>
      <c r="BY17" s="96">
        <f t="shared" si="19"/>
        <v>0.11008023103913697</v>
      </c>
      <c r="BZ17" s="96">
        <f t="shared" si="20"/>
        <v>0.14369953852498218</v>
      </c>
      <c r="CA17" s="96">
        <f t="shared" si="21"/>
        <v>1.5893168960863031E-2</v>
      </c>
      <c r="CB17" s="112">
        <f t="shared" si="22"/>
        <v>1.7869540095416046E-2</v>
      </c>
      <c r="CC17" s="113">
        <f t="shared" si="23"/>
        <v>91.871455576559541</v>
      </c>
      <c r="CD17" s="13">
        <f t="shared" si="24"/>
        <v>90.107120352867042</v>
      </c>
      <c r="CE17" s="84">
        <f t="shared" si="25"/>
        <v>86.830497794580978</v>
      </c>
      <c r="CF17" s="115">
        <f t="shared" si="26"/>
        <v>0.1</v>
      </c>
      <c r="CG17" s="111">
        <v>0.1</v>
      </c>
      <c r="CH17" s="96">
        <v>10</v>
      </c>
      <c r="CI17" s="96">
        <v>50000</v>
      </c>
      <c r="CJ17" s="96">
        <v>6.7414370000000001E-2</v>
      </c>
      <c r="CK17" s="96">
        <v>2.4305670000000001E-2</v>
      </c>
      <c r="CL17" s="96">
        <f t="shared" si="27"/>
        <v>0.96512920752515674</v>
      </c>
      <c r="CM17" s="96">
        <f t="shared" si="28"/>
        <v>1.0232847582666278</v>
      </c>
      <c r="CN17" s="96">
        <f t="shared" si="29"/>
        <v>0.91010946400233872</v>
      </c>
      <c r="CO17" s="112">
        <f t="shared" si="30"/>
        <v>0.11571524173337222</v>
      </c>
    </row>
    <row r="18" spans="1:93" ht="15.75" thickBot="1" x14ac:dyDescent="0.3">
      <c r="A18" s="111">
        <f>IF('3'!$AC$5="",B18,NA())</f>
        <v>0</v>
      </c>
      <c r="B18" s="117">
        <v>0</v>
      </c>
      <c r="C18" s="118">
        <v>30</v>
      </c>
      <c r="D18" s="144">
        <v>50000</v>
      </c>
      <c r="E18" s="118">
        <v>1160</v>
      </c>
      <c r="F18" s="118">
        <v>459</v>
      </c>
      <c r="G18" s="118">
        <v>0</v>
      </c>
      <c r="H18" s="118">
        <v>0</v>
      </c>
      <c r="I18" s="118">
        <v>1619</v>
      </c>
      <c r="J18" s="118">
        <v>0</v>
      </c>
      <c r="K18" s="118">
        <v>1619</v>
      </c>
      <c r="L18" s="117">
        <v>1619</v>
      </c>
      <c r="M18" s="118">
        <v>1476</v>
      </c>
      <c r="N18" s="118">
        <v>1473</v>
      </c>
      <c r="O18" s="118">
        <v>1429</v>
      </c>
      <c r="P18" s="144">
        <v>54</v>
      </c>
      <c r="Q18" s="117">
        <v>955</v>
      </c>
      <c r="R18" s="118">
        <v>458</v>
      </c>
      <c r="S18" s="118">
        <v>0</v>
      </c>
      <c r="T18" s="118">
        <v>0</v>
      </c>
      <c r="U18" s="118">
        <v>1413</v>
      </c>
      <c r="V18" s="144">
        <v>87.28</v>
      </c>
      <c r="W18" s="118">
        <v>6.4699999999999994E-2</v>
      </c>
      <c r="X18" s="118">
        <v>4.9599999999999998E-2</v>
      </c>
      <c r="Y18" s="118">
        <v>0</v>
      </c>
      <c r="Z18" s="118">
        <v>0</v>
      </c>
      <c r="AA18" s="118">
        <v>0.1143</v>
      </c>
      <c r="AB18" s="118">
        <v>0</v>
      </c>
      <c r="AC18" s="118">
        <v>0.1143</v>
      </c>
      <c r="AD18" s="117">
        <v>138.71</v>
      </c>
      <c r="AE18" s="145">
        <v>38.78</v>
      </c>
      <c r="AF18" s="145">
        <v>0</v>
      </c>
      <c r="AG18" s="145">
        <v>0</v>
      </c>
      <c r="AH18" s="145">
        <v>177.49</v>
      </c>
      <c r="AI18" s="145">
        <v>0</v>
      </c>
      <c r="AJ18" s="144">
        <v>177.49</v>
      </c>
      <c r="AK18" s="117">
        <v>3.86</v>
      </c>
      <c r="AL18" s="118">
        <v>2.41</v>
      </c>
      <c r="AM18" s="118">
        <v>0</v>
      </c>
      <c r="AN18" s="144">
        <v>0</v>
      </c>
      <c r="AO18" s="118">
        <v>1.1379999999999999</v>
      </c>
      <c r="AP18" s="118">
        <v>0</v>
      </c>
      <c r="AQ18" s="118">
        <v>0.17299999999999999</v>
      </c>
      <c r="AR18" s="118">
        <v>0</v>
      </c>
      <c r="AS18" s="118">
        <v>0.192</v>
      </c>
      <c r="AT18" s="117">
        <v>0.13</v>
      </c>
      <c r="AU18" s="145">
        <v>0</v>
      </c>
      <c r="AV18" s="145">
        <v>0.13</v>
      </c>
      <c r="AW18" s="145">
        <v>0.442</v>
      </c>
      <c r="AX18" s="146">
        <v>0</v>
      </c>
      <c r="AY18" s="88">
        <v>1.589</v>
      </c>
      <c r="AZ18" s="89">
        <v>1.609</v>
      </c>
      <c r="BA18" s="89">
        <v>1.603</v>
      </c>
      <c r="BB18" s="89">
        <v>0.23899999999999999</v>
      </c>
      <c r="BC18" s="89">
        <v>0.379</v>
      </c>
      <c r="BD18" s="90">
        <v>0.23200000000000001</v>
      </c>
      <c r="BE18" s="164"/>
      <c r="BF18" s="159">
        <f t="shared" si="2"/>
        <v>53.966666666666669</v>
      </c>
      <c r="BG18" s="159">
        <f t="shared" si="3"/>
        <v>0</v>
      </c>
      <c r="BH18" s="160">
        <f t="shared" si="4"/>
        <v>53.966666666666669</v>
      </c>
      <c r="BI18" s="117">
        <f t="shared" si="5"/>
        <v>1.6253661734271518</v>
      </c>
      <c r="BJ18" s="118">
        <f t="shared" si="6"/>
        <v>1.6253661734271518</v>
      </c>
      <c r="BK18" s="131" t="e">
        <f t="shared" si="7"/>
        <v>#DIV/0!</v>
      </c>
      <c r="BL18" s="131">
        <f t="shared" si="8"/>
        <v>1</v>
      </c>
      <c r="BM18" s="155">
        <f t="shared" si="9"/>
        <v>1.6253661734271518</v>
      </c>
      <c r="BN18" s="118">
        <f t="shared" si="10"/>
        <v>1.6408280487275329</v>
      </c>
      <c r="BO18" s="131" t="e">
        <f t="shared" si="11"/>
        <v>#DIV/0!</v>
      </c>
      <c r="BP18" s="156">
        <f t="shared" si="12"/>
        <v>1.6408280487275329</v>
      </c>
      <c r="BQ18" s="143" t="e">
        <f t="shared" ref="BQ18" si="31">I18/H18</f>
        <v>#DIV/0!</v>
      </c>
      <c r="BR18" s="36">
        <f t="shared" si="0"/>
        <v>208.44</v>
      </c>
      <c r="BS18" s="37">
        <f t="shared" si="14"/>
        <v>3.8638796551918415</v>
      </c>
      <c r="BT18" s="37">
        <f t="shared" si="15"/>
        <v>0.44164144458842747</v>
      </c>
      <c r="BU18" s="37">
        <f t="shared" si="16"/>
        <v>0</v>
      </c>
      <c r="BV18" s="37"/>
      <c r="BW18" s="37">
        <f t="shared" si="17"/>
        <v>0.9944590615391693</v>
      </c>
      <c r="BX18" s="37">
        <f t="shared" si="18"/>
        <v>1.0108657908052423</v>
      </c>
      <c r="BY18" s="37">
        <f t="shared" si="19"/>
        <v>0.11554195988903919</v>
      </c>
      <c r="BZ18" s="37">
        <f t="shared" si="20"/>
        <v>0.1271342091947576</v>
      </c>
      <c r="CA18" s="37">
        <f t="shared" si="21"/>
        <v>1.4531440110960794E-2</v>
      </c>
      <c r="CB18" s="35">
        <f t="shared" si="22"/>
        <v>1.6406729266072929E-2</v>
      </c>
      <c r="CC18" s="88">
        <f t="shared" si="23"/>
        <v>91.167387276096363</v>
      </c>
      <c r="CD18" s="89">
        <f t="shared" si="24"/>
        <v>90.982087708462018</v>
      </c>
      <c r="CE18" s="90">
        <f t="shared" si="25"/>
        <v>88.264360716491666</v>
      </c>
      <c r="CF18" s="118">
        <f>CG18</f>
        <v>0</v>
      </c>
      <c r="CG18" s="117">
        <v>0</v>
      </c>
      <c r="CH18" s="118">
        <v>10</v>
      </c>
      <c r="CI18" s="118">
        <v>50000</v>
      </c>
      <c r="CJ18" s="118">
        <v>6.8327959999999993E-2</v>
      </c>
      <c r="CK18" s="118">
        <v>2.3721820000000001E-2</v>
      </c>
      <c r="CL18" s="118">
        <f>SQRT(2*CONVERT(CJ18, "psi", "Pa") / $J$1)</f>
        <v>0.97164684750539199</v>
      </c>
      <c r="CM18" s="118">
        <f t="shared" si="28"/>
        <v>1.0323429870807972</v>
      </c>
      <c r="CN18" s="118">
        <f t="shared" si="29"/>
        <v>0.91434618365746212</v>
      </c>
      <c r="CO18" s="118">
        <f t="shared" si="30"/>
        <v>0.10565701291920271</v>
      </c>
    </row>
    <row r="19" spans="1:93" x14ac:dyDescent="0.25">
      <c r="A19" s="111">
        <f>IF('3'!$AC$5="",-B19,NA())</f>
        <v>-0.1</v>
      </c>
      <c r="B19" s="110">
        <v>0.1</v>
      </c>
      <c r="C19" s="96">
        <v>30</v>
      </c>
      <c r="D19" s="115">
        <v>50000</v>
      </c>
      <c r="E19" s="110"/>
      <c r="F19" s="110"/>
      <c r="G19" s="110"/>
      <c r="H19" s="110"/>
      <c r="I19" s="110"/>
      <c r="J19" s="110"/>
      <c r="K19" s="109"/>
      <c r="L19" s="114"/>
      <c r="M19" s="110"/>
      <c r="N19" s="110"/>
      <c r="O19" s="110"/>
      <c r="P19" s="115"/>
      <c r="Q19" s="114"/>
      <c r="R19" s="110"/>
      <c r="S19" s="110"/>
      <c r="T19" s="110"/>
      <c r="U19" s="110"/>
      <c r="V19" s="115"/>
      <c r="W19" s="110"/>
      <c r="X19" s="110"/>
      <c r="Y19" s="110"/>
      <c r="Z19" s="110"/>
      <c r="AA19" s="110"/>
      <c r="AB19" s="110"/>
      <c r="AC19" s="110"/>
      <c r="AD19" s="114"/>
      <c r="AE19" s="3"/>
      <c r="AF19" s="3"/>
      <c r="AG19" s="3"/>
      <c r="AH19" s="3"/>
      <c r="AI19" s="3"/>
      <c r="AJ19" s="115"/>
      <c r="AK19" s="114"/>
      <c r="AL19" s="110"/>
      <c r="AM19" s="110"/>
      <c r="AN19" s="115"/>
      <c r="AO19" s="110"/>
      <c r="AP19" s="110"/>
      <c r="AQ19" s="110"/>
      <c r="AR19" s="110"/>
      <c r="AS19" s="110"/>
      <c r="AT19" s="114"/>
      <c r="AU19" s="3"/>
      <c r="AV19" s="3"/>
      <c r="AW19" s="3"/>
      <c r="AX19" s="3"/>
      <c r="AY19" s="113"/>
      <c r="BD19" s="84"/>
      <c r="BE19" s="163"/>
      <c r="BF19" s="157">
        <f t="shared" si="2"/>
        <v>0</v>
      </c>
      <c r="BG19" s="157">
        <f t="shared" si="3"/>
        <v>0</v>
      </c>
      <c r="BH19" s="157">
        <f t="shared" si="4"/>
        <v>0</v>
      </c>
      <c r="BI19" s="114">
        <f t="shared" si="5"/>
        <v>1</v>
      </c>
      <c r="BJ19" s="110">
        <f t="shared" si="6"/>
        <v>1</v>
      </c>
      <c r="BK19" s="116" t="e">
        <f t="shared" si="7"/>
        <v>#DIV/0!</v>
      </c>
      <c r="BL19" s="116">
        <f t="shared" si="8"/>
        <v>1</v>
      </c>
      <c r="BM19" s="154">
        <f t="shared" si="9"/>
        <v>1</v>
      </c>
      <c r="BN19" s="110">
        <f t="shared" si="10"/>
        <v>1</v>
      </c>
      <c r="BO19" s="116" t="e">
        <f t="shared" si="11"/>
        <v>#DIV/0!</v>
      </c>
      <c r="BP19" s="153">
        <f t="shared" si="12"/>
        <v>1</v>
      </c>
      <c r="BQ19" s="141"/>
      <c r="BR19" s="111">
        <f t="shared" si="0"/>
        <v>0</v>
      </c>
      <c r="BS19" s="96" t="e">
        <f t="shared" si="14"/>
        <v>#DIV/0!</v>
      </c>
      <c r="BT19" s="96" t="e">
        <f t="shared" si="15"/>
        <v>#DIV/0!</v>
      </c>
      <c r="BU19" s="96">
        <f t="shared" si="16"/>
        <v>0</v>
      </c>
      <c r="BV19" s="96"/>
      <c r="BW19" s="96">
        <f t="shared" si="17"/>
        <v>0.97743092137960175</v>
      </c>
      <c r="BX19" s="96">
        <f t="shared" si="18"/>
        <v>0.97743092137960175</v>
      </c>
      <c r="BY19" s="96">
        <f t="shared" si="19"/>
        <v>0</v>
      </c>
      <c r="BZ19" s="96" t="e">
        <f t="shared" si="20"/>
        <v>#DIV/0!</v>
      </c>
      <c r="CA19" s="96" t="e">
        <f t="shared" si="21"/>
        <v>#DIV/0!</v>
      </c>
      <c r="CB19" s="112" t="e">
        <f t="shared" si="22"/>
        <v>#DIV/0!</v>
      </c>
      <c r="CC19" s="113" t="e">
        <f t="shared" si="23"/>
        <v>#DIV/0!</v>
      </c>
      <c r="CD19" s="13" t="e">
        <f t="shared" si="24"/>
        <v>#DIV/0!</v>
      </c>
      <c r="CE19" s="84" t="e">
        <f t="shared" si="25"/>
        <v>#DIV/0!</v>
      </c>
      <c r="CF19" s="115">
        <f>-CG19</f>
        <v>0</v>
      </c>
      <c r="CG19" s="110"/>
      <c r="CH19" s="96"/>
      <c r="CI19" s="96"/>
      <c r="CJ19" s="110"/>
      <c r="CK19" s="110"/>
      <c r="CL19" s="96">
        <f t="shared" si="27"/>
        <v>0</v>
      </c>
      <c r="CM19" s="96" t="e">
        <f t="shared" si="28"/>
        <v>#N/A</v>
      </c>
      <c r="CN19" s="110" t="e">
        <f t="shared" si="29"/>
        <v>#N/A</v>
      </c>
      <c r="CO19" s="112">
        <f t="shared" si="30"/>
        <v>0</v>
      </c>
    </row>
    <row r="20" spans="1:93" x14ac:dyDescent="0.25">
      <c r="A20" s="111">
        <f>IF('3'!$AC$5="",-B20,NA())</f>
        <v>-0.2</v>
      </c>
      <c r="B20" s="110">
        <v>0.2</v>
      </c>
      <c r="C20" s="96">
        <v>30</v>
      </c>
      <c r="D20" s="115">
        <v>50000</v>
      </c>
      <c r="E20" s="110"/>
      <c r="F20" s="110"/>
      <c r="G20" s="110"/>
      <c r="H20" s="110"/>
      <c r="I20" s="110"/>
      <c r="J20" s="110"/>
      <c r="K20" s="109"/>
      <c r="L20" s="114"/>
      <c r="M20" s="110"/>
      <c r="N20" s="110"/>
      <c r="O20" s="110"/>
      <c r="P20" s="115"/>
      <c r="Q20" s="114"/>
      <c r="R20" s="110"/>
      <c r="S20" s="110"/>
      <c r="T20" s="110"/>
      <c r="U20" s="110"/>
      <c r="V20" s="115"/>
      <c r="W20" s="110"/>
      <c r="X20" s="110"/>
      <c r="Y20" s="110"/>
      <c r="Z20" s="110"/>
      <c r="AA20" s="110"/>
      <c r="AB20" s="110"/>
      <c r="AC20" s="110"/>
      <c r="AD20" s="114"/>
      <c r="AE20" s="3"/>
      <c r="AF20" s="3"/>
      <c r="AG20" s="3"/>
      <c r="AH20" s="3"/>
      <c r="AI20" s="3"/>
      <c r="AJ20" s="115"/>
      <c r="AK20" s="114"/>
      <c r="AL20" s="110"/>
      <c r="AM20" s="110"/>
      <c r="AN20" s="115"/>
      <c r="AO20" s="110"/>
      <c r="AP20" s="110"/>
      <c r="AQ20" s="110"/>
      <c r="AR20" s="110"/>
      <c r="AS20" s="110"/>
      <c r="AT20" s="114"/>
      <c r="AU20" s="3"/>
      <c r="AV20" s="3"/>
      <c r="AW20" s="3"/>
      <c r="AX20" s="3"/>
      <c r="AY20" s="113"/>
      <c r="BD20" s="84"/>
      <c r="BE20" s="163"/>
      <c r="BF20" s="157">
        <f t="shared" si="2"/>
        <v>0</v>
      </c>
      <c r="BG20" s="157">
        <f t="shared" si="3"/>
        <v>0</v>
      </c>
      <c r="BH20" s="157">
        <f t="shared" si="4"/>
        <v>0</v>
      </c>
      <c r="BI20" s="114">
        <f t="shared" si="5"/>
        <v>1</v>
      </c>
      <c r="BJ20" s="110">
        <f t="shared" si="6"/>
        <v>1</v>
      </c>
      <c r="BK20" s="116" t="e">
        <f t="shared" si="7"/>
        <v>#DIV/0!</v>
      </c>
      <c r="BL20" s="116">
        <f t="shared" si="8"/>
        <v>1</v>
      </c>
      <c r="BM20" s="154">
        <f t="shared" si="9"/>
        <v>1</v>
      </c>
      <c r="BN20" s="110">
        <f t="shared" si="10"/>
        <v>1</v>
      </c>
      <c r="BO20" s="116" t="e">
        <f t="shared" si="11"/>
        <v>#DIV/0!</v>
      </c>
      <c r="BP20" s="153">
        <f t="shared" si="12"/>
        <v>1</v>
      </c>
      <c r="BQ20" s="141"/>
      <c r="BR20" s="111">
        <f t="shared" si="0"/>
        <v>0</v>
      </c>
      <c r="BS20" s="96" t="e">
        <f t="shared" si="14"/>
        <v>#DIV/0!</v>
      </c>
      <c r="BT20" s="96" t="e">
        <f t="shared" si="15"/>
        <v>#DIV/0!</v>
      </c>
      <c r="BU20" s="96">
        <f t="shared" si="16"/>
        <v>0</v>
      </c>
      <c r="BV20" s="96"/>
      <c r="BW20" s="96">
        <f t="shared" si="17"/>
        <v>0.95874001371920414</v>
      </c>
      <c r="BX20" s="96">
        <f t="shared" si="18"/>
        <v>0.95874001371920414</v>
      </c>
      <c r="BY20" s="96">
        <f t="shared" si="19"/>
        <v>0</v>
      </c>
      <c r="BZ20" s="96" t="e">
        <f t="shared" si="20"/>
        <v>#DIV/0!</v>
      </c>
      <c r="CA20" s="96" t="e">
        <f t="shared" si="21"/>
        <v>#DIV/0!</v>
      </c>
      <c r="CB20" s="112" t="e">
        <f t="shared" si="22"/>
        <v>#DIV/0!</v>
      </c>
      <c r="CC20" s="113" t="e">
        <f t="shared" si="23"/>
        <v>#DIV/0!</v>
      </c>
      <c r="CD20" s="13" t="e">
        <f t="shared" si="24"/>
        <v>#DIV/0!</v>
      </c>
      <c r="CE20" s="84" t="e">
        <f t="shared" si="25"/>
        <v>#DIV/0!</v>
      </c>
      <c r="CF20" s="115">
        <f t="shared" ref="CF20:CF28" si="32">-CG20</f>
        <v>0</v>
      </c>
      <c r="CG20" s="110"/>
      <c r="CH20" s="96"/>
      <c r="CI20" s="96"/>
      <c r="CJ20" s="110"/>
      <c r="CK20" s="110"/>
      <c r="CL20" s="96">
        <f t="shared" si="27"/>
        <v>0</v>
      </c>
      <c r="CM20" s="96" t="e">
        <f t="shared" si="28"/>
        <v>#N/A</v>
      </c>
      <c r="CN20" s="110" t="e">
        <f t="shared" si="29"/>
        <v>#N/A</v>
      </c>
      <c r="CO20" s="112">
        <f t="shared" si="30"/>
        <v>0</v>
      </c>
    </row>
    <row r="21" spans="1:93" x14ac:dyDescent="0.25">
      <c r="A21" s="111">
        <f>IF('3'!$AC$5="",-B21,NA())</f>
        <v>-0.3</v>
      </c>
      <c r="B21" s="110">
        <v>0.3</v>
      </c>
      <c r="C21" s="96">
        <v>30</v>
      </c>
      <c r="D21" s="115">
        <v>50000</v>
      </c>
      <c r="E21" s="110"/>
      <c r="F21" s="110"/>
      <c r="G21" s="110"/>
      <c r="H21" s="110"/>
      <c r="I21" s="110"/>
      <c r="J21" s="110"/>
      <c r="K21" s="109"/>
      <c r="L21" s="114"/>
      <c r="M21" s="110"/>
      <c r="N21" s="110"/>
      <c r="O21" s="110"/>
      <c r="P21" s="115"/>
      <c r="Q21" s="114"/>
      <c r="R21" s="110"/>
      <c r="S21" s="110"/>
      <c r="T21" s="110"/>
      <c r="U21" s="110"/>
      <c r="V21" s="115"/>
      <c r="W21" s="110"/>
      <c r="X21" s="110"/>
      <c r="Y21" s="110"/>
      <c r="Z21" s="110"/>
      <c r="AA21" s="110"/>
      <c r="AB21" s="110"/>
      <c r="AC21" s="110"/>
      <c r="AD21" s="114"/>
      <c r="AE21" s="3"/>
      <c r="AF21" s="3"/>
      <c r="AG21" s="3"/>
      <c r="AH21" s="3"/>
      <c r="AI21" s="3"/>
      <c r="AJ21" s="115"/>
      <c r="AK21" s="114"/>
      <c r="AL21" s="110"/>
      <c r="AM21" s="110"/>
      <c r="AN21" s="115"/>
      <c r="AO21" s="110"/>
      <c r="AP21" s="110"/>
      <c r="AQ21" s="110"/>
      <c r="AR21" s="110"/>
      <c r="AS21" s="110"/>
      <c r="AT21" s="114"/>
      <c r="AU21" s="3"/>
      <c r="AV21" s="3"/>
      <c r="AW21" s="3"/>
      <c r="AX21" s="3"/>
      <c r="AY21" s="113"/>
      <c r="BD21" s="84"/>
      <c r="BE21" s="163"/>
      <c r="BF21" s="157">
        <f t="shared" si="2"/>
        <v>0</v>
      </c>
      <c r="BG21" s="157">
        <f t="shared" si="3"/>
        <v>0</v>
      </c>
      <c r="BH21" s="157">
        <f t="shared" si="4"/>
        <v>0</v>
      </c>
      <c r="BI21" s="114">
        <f t="shared" si="5"/>
        <v>1</v>
      </c>
      <c r="BJ21" s="110">
        <f t="shared" si="6"/>
        <v>1</v>
      </c>
      <c r="BK21" s="116" t="e">
        <f t="shared" si="7"/>
        <v>#DIV/0!</v>
      </c>
      <c r="BL21" s="116">
        <f t="shared" si="8"/>
        <v>1</v>
      </c>
      <c r="BM21" s="154">
        <f t="shared" si="9"/>
        <v>1</v>
      </c>
      <c r="BN21" s="110">
        <f t="shared" si="10"/>
        <v>1</v>
      </c>
      <c r="BO21" s="116" t="e">
        <f t="shared" si="11"/>
        <v>#DIV/0!</v>
      </c>
      <c r="BP21" s="153">
        <f t="shared" si="12"/>
        <v>1</v>
      </c>
      <c r="BQ21" s="141"/>
      <c r="BR21" s="111">
        <f t="shared" si="0"/>
        <v>0</v>
      </c>
      <c r="BS21" s="96" t="e">
        <f t="shared" si="14"/>
        <v>#DIV/0!</v>
      </c>
      <c r="BT21" s="96" t="e">
        <f t="shared" si="15"/>
        <v>#DIV/0!</v>
      </c>
      <c r="BU21" s="96">
        <f t="shared" si="16"/>
        <v>0</v>
      </c>
      <c r="BV21" s="96"/>
      <c r="BW21" s="96">
        <f t="shared" si="17"/>
        <v>0.93798193514099792</v>
      </c>
      <c r="BX21" s="96">
        <f t="shared" si="18"/>
        <v>0.93798193514099792</v>
      </c>
      <c r="BY21" s="96">
        <f t="shared" si="19"/>
        <v>0</v>
      </c>
      <c r="BZ21" s="96" t="e">
        <f t="shared" si="20"/>
        <v>#DIV/0!</v>
      </c>
      <c r="CA21" s="96" t="e">
        <f t="shared" si="21"/>
        <v>#DIV/0!</v>
      </c>
      <c r="CB21" s="112" t="e">
        <f t="shared" si="22"/>
        <v>#DIV/0!</v>
      </c>
      <c r="CC21" s="113" t="e">
        <f t="shared" si="23"/>
        <v>#DIV/0!</v>
      </c>
      <c r="CD21" s="13" t="e">
        <f t="shared" si="24"/>
        <v>#DIV/0!</v>
      </c>
      <c r="CE21" s="84" t="e">
        <f t="shared" si="25"/>
        <v>#DIV/0!</v>
      </c>
      <c r="CF21" s="115">
        <f t="shared" si="32"/>
        <v>0</v>
      </c>
      <c r="CG21" s="110"/>
      <c r="CH21" s="96"/>
      <c r="CI21" s="96"/>
      <c r="CJ21" s="110"/>
      <c r="CK21" s="110"/>
      <c r="CL21" s="96">
        <f t="shared" si="27"/>
        <v>0</v>
      </c>
      <c r="CM21" s="96" t="e">
        <f t="shared" si="28"/>
        <v>#N/A</v>
      </c>
      <c r="CN21" s="110" t="e">
        <f t="shared" si="29"/>
        <v>#N/A</v>
      </c>
      <c r="CO21" s="112">
        <f t="shared" si="30"/>
        <v>0</v>
      </c>
    </row>
    <row r="22" spans="1:93" x14ac:dyDescent="0.25">
      <c r="A22" s="111">
        <f>IF('3'!$AC$5="",-B22,NA())</f>
        <v>-0.4</v>
      </c>
      <c r="B22" s="110">
        <v>0.4</v>
      </c>
      <c r="C22" s="96">
        <v>30</v>
      </c>
      <c r="D22" s="115">
        <v>50000</v>
      </c>
      <c r="E22" s="110"/>
      <c r="F22" s="110"/>
      <c r="G22" s="110"/>
      <c r="H22" s="110"/>
      <c r="I22" s="110"/>
      <c r="J22" s="110"/>
      <c r="K22" s="109"/>
      <c r="L22" s="114"/>
      <c r="M22" s="110"/>
      <c r="N22" s="110"/>
      <c r="O22" s="110"/>
      <c r="P22" s="115"/>
      <c r="Q22" s="114"/>
      <c r="R22" s="110"/>
      <c r="S22" s="110"/>
      <c r="T22" s="110"/>
      <c r="U22" s="110"/>
      <c r="V22" s="115"/>
      <c r="W22" s="110"/>
      <c r="X22" s="110"/>
      <c r="Y22" s="110"/>
      <c r="Z22" s="110"/>
      <c r="AA22" s="110"/>
      <c r="AB22" s="110"/>
      <c r="AC22" s="110"/>
      <c r="AD22" s="114"/>
      <c r="AE22" s="3"/>
      <c r="AF22" s="3"/>
      <c r="AG22" s="3"/>
      <c r="AH22" s="3"/>
      <c r="AI22" s="3"/>
      <c r="AJ22" s="115"/>
      <c r="AK22" s="114"/>
      <c r="AL22" s="110"/>
      <c r="AM22" s="110"/>
      <c r="AN22" s="115"/>
      <c r="AO22" s="110"/>
      <c r="AP22" s="110"/>
      <c r="AQ22" s="110"/>
      <c r="AR22" s="110"/>
      <c r="AS22" s="110"/>
      <c r="AT22" s="114"/>
      <c r="AU22" s="3"/>
      <c r="AV22" s="3"/>
      <c r="AW22" s="3"/>
      <c r="AX22" s="3"/>
      <c r="AY22" s="113"/>
      <c r="BD22" s="84"/>
      <c r="BE22" s="163"/>
      <c r="BF22" s="157">
        <f t="shared" si="2"/>
        <v>0</v>
      </c>
      <c r="BG22" s="157">
        <f t="shared" si="3"/>
        <v>0</v>
      </c>
      <c r="BH22" s="157">
        <f t="shared" si="4"/>
        <v>0</v>
      </c>
      <c r="BI22" s="114">
        <f t="shared" si="5"/>
        <v>1</v>
      </c>
      <c r="BJ22" s="110">
        <f t="shared" si="6"/>
        <v>1</v>
      </c>
      <c r="BK22" s="116" t="e">
        <f t="shared" si="7"/>
        <v>#DIV/0!</v>
      </c>
      <c r="BL22" s="116">
        <f t="shared" si="8"/>
        <v>1</v>
      </c>
      <c r="BM22" s="154">
        <f t="shared" si="9"/>
        <v>1</v>
      </c>
      <c r="BN22" s="110">
        <f t="shared" si="10"/>
        <v>1</v>
      </c>
      <c r="BO22" s="116" t="e">
        <f t="shared" si="11"/>
        <v>#DIV/0!</v>
      </c>
      <c r="BP22" s="153">
        <f t="shared" si="12"/>
        <v>1</v>
      </c>
      <c r="BQ22" s="141"/>
      <c r="BR22" s="111">
        <f t="shared" si="0"/>
        <v>0</v>
      </c>
      <c r="BS22" s="96" t="e">
        <f t="shared" si="14"/>
        <v>#DIV/0!</v>
      </c>
      <c r="BT22" s="96" t="e">
        <f t="shared" si="15"/>
        <v>#DIV/0!</v>
      </c>
      <c r="BU22" s="96">
        <f t="shared" si="16"/>
        <v>0</v>
      </c>
      <c r="BV22" s="96"/>
      <c r="BW22" s="96">
        <f t="shared" si="17"/>
        <v>0.91457676741031746</v>
      </c>
      <c r="BX22" s="96">
        <f t="shared" si="18"/>
        <v>0.91457676741031746</v>
      </c>
      <c r="BY22" s="96">
        <f t="shared" si="19"/>
        <v>0</v>
      </c>
      <c r="BZ22" s="96" t="e">
        <f t="shared" si="20"/>
        <v>#DIV/0!</v>
      </c>
      <c r="CA22" s="96" t="e">
        <f t="shared" si="21"/>
        <v>#DIV/0!</v>
      </c>
      <c r="CB22" s="112" t="e">
        <f t="shared" si="22"/>
        <v>#DIV/0!</v>
      </c>
      <c r="CC22" s="113" t="e">
        <f t="shared" si="23"/>
        <v>#DIV/0!</v>
      </c>
      <c r="CD22" s="13" t="e">
        <f t="shared" si="24"/>
        <v>#DIV/0!</v>
      </c>
      <c r="CE22" s="84" t="e">
        <f t="shared" si="25"/>
        <v>#DIV/0!</v>
      </c>
      <c r="CF22" s="115">
        <f t="shared" si="32"/>
        <v>0</v>
      </c>
      <c r="CG22" s="110"/>
      <c r="CH22" s="96"/>
      <c r="CI22" s="96"/>
      <c r="CJ22" s="110"/>
      <c r="CK22" s="110"/>
      <c r="CL22" s="96">
        <f t="shared" si="27"/>
        <v>0</v>
      </c>
      <c r="CM22" s="96" t="e">
        <f t="shared" si="28"/>
        <v>#N/A</v>
      </c>
      <c r="CN22" s="110" t="e">
        <f t="shared" si="29"/>
        <v>#N/A</v>
      </c>
      <c r="CO22" s="112">
        <f t="shared" si="30"/>
        <v>0</v>
      </c>
    </row>
    <row r="23" spans="1:93" x14ac:dyDescent="0.25">
      <c r="A23" s="111">
        <f>IF('3'!$AC$5="",-B23,NA())</f>
        <v>-0.5</v>
      </c>
      <c r="B23" s="110">
        <v>0.5</v>
      </c>
      <c r="C23" s="96">
        <v>30</v>
      </c>
      <c r="D23" s="115">
        <v>50000</v>
      </c>
      <c r="E23" s="110"/>
      <c r="F23" s="110"/>
      <c r="G23" s="110"/>
      <c r="H23" s="110"/>
      <c r="I23" s="110"/>
      <c r="J23" s="110"/>
      <c r="K23" s="109"/>
      <c r="L23" s="114"/>
      <c r="M23" s="110"/>
      <c r="N23" s="110"/>
      <c r="O23" s="110"/>
      <c r="P23" s="115"/>
      <c r="Q23" s="114"/>
      <c r="R23" s="110"/>
      <c r="S23" s="110"/>
      <c r="T23" s="110"/>
      <c r="U23" s="110"/>
      <c r="V23" s="115"/>
      <c r="W23" s="110"/>
      <c r="X23" s="110"/>
      <c r="Y23" s="110"/>
      <c r="Z23" s="110"/>
      <c r="AA23" s="110"/>
      <c r="AB23" s="110"/>
      <c r="AC23" s="110"/>
      <c r="AD23" s="114"/>
      <c r="AE23" s="3"/>
      <c r="AF23" s="3"/>
      <c r="AG23" s="3"/>
      <c r="AH23" s="3"/>
      <c r="AI23" s="3"/>
      <c r="AJ23" s="115"/>
      <c r="AK23" s="114"/>
      <c r="AL23" s="110"/>
      <c r="AM23" s="110"/>
      <c r="AN23" s="115"/>
      <c r="AO23" s="110"/>
      <c r="AP23" s="110"/>
      <c r="AQ23" s="110"/>
      <c r="AR23" s="110"/>
      <c r="AS23" s="110"/>
      <c r="AT23" s="114"/>
      <c r="AU23" s="3"/>
      <c r="AV23" s="3"/>
      <c r="AW23" s="3"/>
      <c r="AX23" s="3"/>
      <c r="AY23" s="113"/>
      <c r="BD23" s="84"/>
      <c r="BE23" s="163"/>
      <c r="BF23" s="157">
        <f t="shared" si="2"/>
        <v>0</v>
      </c>
      <c r="BG23" s="157">
        <f t="shared" si="3"/>
        <v>0</v>
      </c>
      <c r="BH23" s="157">
        <f t="shared" si="4"/>
        <v>0</v>
      </c>
      <c r="BI23" s="114">
        <f t="shared" si="5"/>
        <v>1</v>
      </c>
      <c r="BJ23" s="110">
        <f t="shared" si="6"/>
        <v>1</v>
      </c>
      <c r="BK23" s="116" t="e">
        <f t="shared" si="7"/>
        <v>#DIV/0!</v>
      </c>
      <c r="BL23" s="116">
        <f t="shared" si="8"/>
        <v>1</v>
      </c>
      <c r="BM23" s="154">
        <f t="shared" si="9"/>
        <v>1</v>
      </c>
      <c r="BN23" s="110">
        <f t="shared" si="10"/>
        <v>1</v>
      </c>
      <c r="BO23" s="116" t="e">
        <f t="shared" si="11"/>
        <v>#DIV/0!</v>
      </c>
      <c r="BP23" s="153">
        <f t="shared" si="12"/>
        <v>1</v>
      </c>
      <c r="BQ23" s="141"/>
      <c r="BR23" s="111">
        <f t="shared" si="0"/>
        <v>0</v>
      </c>
      <c r="BS23" s="96" t="e">
        <f t="shared" si="14"/>
        <v>#DIV/0!</v>
      </c>
      <c r="BT23" s="96" t="e">
        <f t="shared" si="15"/>
        <v>#DIV/0!</v>
      </c>
      <c r="BU23" s="96">
        <f t="shared" si="16"/>
        <v>0</v>
      </c>
      <c r="BV23" s="96"/>
      <c r="BW23" s="96">
        <f t="shared" si="17"/>
        <v>0.88764704592069232</v>
      </c>
      <c r="BX23" s="96">
        <f t="shared" si="18"/>
        <v>0.88764704592069232</v>
      </c>
      <c r="BY23" s="96">
        <f t="shared" si="19"/>
        <v>0</v>
      </c>
      <c r="BZ23" s="96" t="e">
        <f t="shared" si="20"/>
        <v>#DIV/0!</v>
      </c>
      <c r="CA23" s="96" t="e">
        <f t="shared" si="21"/>
        <v>#DIV/0!</v>
      </c>
      <c r="CB23" s="112" t="e">
        <f t="shared" si="22"/>
        <v>#DIV/0!</v>
      </c>
      <c r="CC23" s="113" t="e">
        <f t="shared" si="23"/>
        <v>#DIV/0!</v>
      </c>
      <c r="CD23" s="13" t="e">
        <f t="shared" si="24"/>
        <v>#DIV/0!</v>
      </c>
      <c r="CE23" s="84" t="e">
        <f t="shared" si="25"/>
        <v>#DIV/0!</v>
      </c>
      <c r="CF23" s="115">
        <f t="shared" si="32"/>
        <v>0</v>
      </c>
      <c r="CG23" s="110"/>
      <c r="CH23" s="96"/>
      <c r="CI23" s="96"/>
      <c r="CJ23" s="110"/>
      <c r="CK23" s="110"/>
      <c r="CL23" s="96">
        <f t="shared" si="27"/>
        <v>0</v>
      </c>
      <c r="CM23" s="96" t="e">
        <f t="shared" si="28"/>
        <v>#N/A</v>
      </c>
      <c r="CN23" s="110" t="e">
        <f t="shared" si="29"/>
        <v>#N/A</v>
      </c>
      <c r="CO23" s="112">
        <f t="shared" si="30"/>
        <v>0</v>
      </c>
    </row>
    <row r="24" spans="1:93" x14ac:dyDescent="0.25">
      <c r="A24" s="111">
        <f>IF('3'!$AC$5="",-B24,NA())</f>
        <v>-0.6</v>
      </c>
      <c r="B24" s="110">
        <v>0.6</v>
      </c>
      <c r="C24" s="96">
        <v>30</v>
      </c>
      <c r="D24" s="115">
        <v>50000</v>
      </c>
      <c r="E24" s="110"/>
      <c r="F24" s="110"/>
      <c r="G24" s="110"/>
      <c r="H24" s="110"/>
      <c r="I24" s="110"/>
      <c r="J24" s="110"/>
      <c r="K24" s="109"/>
      <c r="L24" s="114"/>
      <c r="M24" s="110"/>
      <c r="N24" s="110"/>
      <c r="O24" s="110"/>
      <c r="P24" s="115"/>
      <c r="Q24" s="114"/>
      <c r="R24" s="110"/>
      <c r="S24" s="110"/>
      <c r="T24" s="110"/>
      <c r="U24" s="110"/>
      <c r="V24" s="115"/>
      <c r="W24" s="110"/>
      <c r="X24" s="110"/>
      <c r="Y24" s="110"/>
      <c r="Z24" s="110"/>
      <c r="AA24" s="110"/>
      <c r="AB24" s="110"/>
      <c r="AC24" s="110"/>
      <c r="AD24" s="114"/>
      <c r="AE24" s="3"/>
      <c r="AF24" s="3"/>
      <c r="AG24" s="3"/>
      <c r="AH24" s="3"/>
      <c r="AI24" s="3"/>
      <c r="AJ24" s="115"/>
      <c r="AK24" s="114"/>
      <c r="AL24" s="110"/>
      <c r="AM24" s="110"/>
      <c r="AN24" s="115"/>
      <c r="AO24" s="110"/>
      <c r="AP24" s="110"/>
      <c r="AQ24" s="110"/>
      <c r="AR24" s="110"/>
      <c r="AS24" s="110"/>
      <c r="AT24" s="114"/>
      <c r="AU24" s="3"/>
      <c r="AV24" s="3"/>
      <c r="AW24" s="3"/>
      <c r="AX24" s="3"/>
      <c r="AY24" s="113"/>
      <c r="BD24" s="84"/>
      <c r="BE24" s="163"/>
      <c r="BF24" s="157">
        <f t="shared" si="2"/>
        <v>0</v>
      </c>
      <c r="BG24" s="157">
        <f t="shared" si="3"/>
        <v>0</v>
      </c>
      <c r="BH24" s="157">
        <f t="shared" si="4"/>
        <v>0</v>
      </c>
      <c r="BI24" s="114">
        <f t="shared" si="5"/>
        <v>1</v>
      </c>
      <c r="BJ24" s="110">
        <f t="shared" si="6"/>
        <v>1</v>
      </c>
      <c r="BK24" s="116" t="e">
        <f t="shared" si="7"/>
        <v>#DIV/0!</v>
      </c>
      <c r="BL24" s="116">
        <f t="shared" si="8"/>
        <v>1</v>
      </c>
      <c r="BM24" s="154">
        <f t="shared" si="9"/>
        <v>1</v>
      </c>
      <c r="BN24" s="110">
        <f t="shared" si="10"/>
        <v>1</v>
      </c>
      <c r="BO24" s="116" t="e">
        <f t="shared" si="11"/>
        <v>#DIV/0!</v>
      </c>
      <c r="BP24" s="153">
        <f t="shared" si="12"/>
        <v>1</v>
      </c>
      <c r="BQ24" s="141"/>
      <c r="BR24" s="111">
        <f t="shared" si="0"/>
        <v>0</v>
      </c>
      <c r="BS24" s="96" t="e">
        <f t="shared" si="14"/>
        <v>#DIV/0!</v>
      </c>
      <c r="BT24" s="96" t="e">
        <f t="shared" si="15"/>
        <v>#DIV/0!</v>
      </c>
      <c r="BU24" s="96">
        <f t="shared" si="16"/>
        <v>0</v>
      </c>
      <c r="BV24" s="96"/>
      <c r="BW24" s="96">
        <f t="shared" si="17"/>
        <v>0.85576447930058497</v>
      </c>
      <c r="BX24" s="96">
        <f t="shared" si="18"/>
        <v>0.85576447930058497</v>
      </c>
      <c r="BY24" s="96">
        <f t="shared" si="19"/>
        <v>0</v>
      </c>
      <c r="BZ24" s="96" t="e">
        <f t="shared" si="20"/>
        <v>#DIV/0!</v>
      </c>
      <c r="CA24" s="96" t="e">
        <f t="shared" si="21"/>
        <v>#DIV/0!</v>
      </c>
      <c r="CB24" s="112" t="e">
        <f t="shared" si="22"/>
        <v>#DIV/0!</v>
      </c>
      <c r="CC24" s="113" t="e">
        <f t="shared" si="23"/>
        <v>#DIV/0!</v>
      </c>
      <c r="CD24" s="13" t="e">
        <f t="shared" si="24"/>
        <v>#DIV/0!</v>
      </c>
      <c r="CE24" s="84" t="e">
        <f t="shared" si="25"/>
        <v>#DIV/0!</v>
      </c>
      <c r="CF24" s="112">
        <f t="shared" si="32"/>
        <v>0</v>
      </c>
      <c r="CG24" s="110"/>
      <c r="CH24" s="96"/>
      <c r="CI24" s="96"/>
      <c r="CJ24" s="110"/>
      <c r="CK24" s="110"/>
      <c r="CL24" s="96">
        <f t="shared" si="27"/>
        <v>0</v>
      </c>
      <c r="CM24" s="96" t="e">
        <f t="shared" si="28"/>
        <v>#N/A</v>
      </c>
      <c r="CN24" s="110" t="e">
        <f t="shared" si="29"/>
        <v>#N/A</v>
      </c>
      <c r="CO24" s="112">
        <f t="shared" si="30"/>
        <v>0</v>
      </c>
    </row>
    <row r="25" spans="1:93" x14ac:dyDescent="0.25">
      <c r="A25" s="111">
        <f>IF('3'!$AC$5="",-B25,NA())</f>
        <v>-0.7</v>
      </c>
      <c r="B25" s="110">
        <v>0.7</v>
      </c>
      <c r="C25" s="96">
        <v>30</v>
      </c>
      <c r="D25" s="115">
        <v>50000</v>
      </c>
      <c r="E25" s="110"/>
      <c r="F25" s="110"/>
      <c r="G25" s="110"/>
      <c r="H25" s="110"/>
      <c r="I25" s="110"/>
      <c r="J25" s="110"/>
      <c r="K25" s="109"/>
      <c r="L25" s="114"/>
      <c r="M25" s="110"/>
      <c r="N25" s="110"/>
      <c r="O25" s="110"/>
      <c r="P25" s="115"/>
      <c r="Q25" s="114"/>
      <c r="R25" s="110"/>
      <c r="S25" s="110"/>
      <c r="T25" s="110"/>
      <c r="U25" s="110"/>
      <c r="V25" s="115"/>
      <c r="W25" s="110"/>
      <c r="X25" s="110"/>
      <c r="Y25" s="110"/>
      <c r="Z25" s="110"/>
      <c r="AA25" s="110"/>
      <c r="AB25" s="110"/>
      <c r="AC25" s="110"/>
      <c r="AD25" s="114"/>
      <c r="AE25" s="3"/>
      <c r="AF25" s="3"/>
      <c r="AG25" s="3"/>
      <c r="AH25" s="3"/>
      <c r="AI25" s="3"/>
      <c r="AJ25" s="115"/>
      <c r="AK25" s="114"/>
      <c r="AL25" s="110"/>
      <c r="AM25" s="110"/>
      <c r="AN25" s="115"/>
      <c r="AO25" s="110"/>
      <c r="AP25" s="110"/>
      <c r="AQ25" s="110"/>
      <c r="AR25" s="110"/>
      <c r="AS25" s="110"/>
      <c r="AT25" s="114"/>
      <c r="AU25" s="3"/>
      <c r="AV25" s="3"/>
      <c r="AW25" s="3"/>
      <c r="AX25" s="3"/>
      <c r="AY25" s="113"/>
      <c r="BD25" s="84"/>
      <c r="BE25" s="163"/>
      <c r="BF25" s="157">
        <f t="shared" si="2"/>
        <v>0</v>
      </c>
      <c r="BG25" s="157">
        <f t="shared" si="3"/>
        <v>0</v>
      </c>
      <c r="BH25" s="157">
        <f t="shared" si="4"/>
        <v>0</v>
      </c>
      <c r="BI25" s="114">
        <f t="shared" si="5"/>
        <v>1</v>
      </c>
      <c r="BJ25" s="110">
        <f t="shared" si="6"/>
        <v>1</v>
      </c>
      <c r="BK25" s="116" t="e">
        <f t="shared" si="7"/>
        <v>#DIV/0!</v>
      </c>
      <c r="BL25" s="116">
        <f t="shared" si="8"/>
        <v>1</v>
      </c>
      <c r="BM25" s="154">
        <f t="shared" si="9"/>
        <v>1</v>
      </c>
      <c r="BN25" s="110">
        <f t="shared" si="10"/>
        <v>1</v>
      </c>
      <c r="BO25" s="116" t="e">
        <f t="shared" si="11"/>
        <v>#DIV/0!</v>
      </c>
      <c r="BP25" s="153">
        <f t="shared" si="12"/>
        <v>1</v>
      </c>
      <c r="BQ25" s="141"/>
      <c r="BR25" s="111">
        <f t="shared" si="0"/>
        <v>0</v>
      </c>
      <c r="BS25" s="96" t="e">
        <f t="shared" si="14"/>
        <v>#DIV/0!</v>
      </c>
      <c r="BT25" s="96" t="e">
        <f t="shared" si="15"/>
        <v>#DIV/0!</v>
      </c>
      <c r="BU25" s="96">
        <f t="shared" si="16"/>
        <v>0</v>
      </c>
      <c r="BV25" s="96"/>
      <c r="BW25" s="96">
        <f t="shared" si="17"/>
        <v>0.81634468150249617</v>
      </c>
      <c r="BX25" s="96">
        <f t="shared" si="18"/>
        <v>0.81634468150249617</v>
      </c>
      <c r="BY25" s="96">
        <f t="shared" si="19"/>
        <v>0</v>
      </c>
      <c r="BZ25" s="96" t="e">
        <f t="shared" si="20"/>
        <v>#DIV/0!</v>
      </c>
      <c r="CA25" s="96" t="e">
        <f t="shared" si="21"/>
        <v>#DIV/0!</v>
      </c>
      <c r="CB25" s="112" t="e">
        <f t="shared" si="22"/>
        <v>#DIV/0!</v>
      </c>
      <c r="CC25" s="113" t="e">
        <f t="shared" si="23"/>
        <v>#DIV/0!</v>
      </c>
      <c r="CD25" s="13" t="e">
        <f t="shared" si="24"/>
        <v>#DIV/0!</v>
      </c>
      <c r="CE25" s="84" t="e">
        <f t="shared" si="25"/>
        <v>#DIV/0!</v>
      </c>
      <c r="CF25" s="112">
        <f t="shared" si="32"/>
        <v>0</v>
      </c>
      <c r="CG25" s="110"/>
      <c r="CH25" s="96"/>
      <c r="CI25" s="96"/>
      <c r="CJ25" s="110"/>
      <c r="CK25" s="110"/>
      <c r="CL25" s="96">
        <f t="shared" si="27"/>
        <v>0</v>
      </c>
      <c r="CM25" s="96" t="e">
        <f t="shared" si="28"/>
        <v>#N/A</v>
      </c>
      <c r="CN25" s="110" t="e">
        <f t="shared" si="29"/>
        <v>#N/A</v>
      </c>
      <c r="CO25" s="112">
        <f t="shared" si="30"/>
        <v>0</v>
      </c>
    </row>
    <row r="26" spans="1:93" x14ac:dyDescent="0.25">
      <c r="A26" s="111">
        <f>IF('3'!$AC$5="",-B26,NA())</f>
        <v>-0.8</v>
      </c>
      <c r="B26" s="111">
        <v>0.8</v>
      </c>
      <c r="C26" s="96">
        <v>30</v>
      </c>
      <c r="D26" s="112">
        <v>50000</v>
      </c>
      <c r="E26" s="110"/>
      <c r="F26" s="110"/>
      <c r="G26" s="110"/>
      <c r="H26" s="110"/>
      <c r="I26" s="110"/>
      <c r="J26" s="110"/>
      <c r="K26" s="109"/>
      <c r="L26" s="114"/>
      <c r="M26" s="110"/>
      <c r="N26" s="110"/>
      <c r="O26" s="110"/>
      <c r="P26" s="115"/>
      <c r="Q26" s="114"/>
      <c r="R26" s="110"/>
      <c r="S26" s="110"/>
      <c r="T26" s="110"/>
      <c r="U26" s="110"/>
      <c r="V26" s="115"/>
      <c r="W26" s="110"/>
      <c r="X26" s="110"/>
      <c r="Y26" s="110"/>
      <c r="Z26" s="110"/>
      <c r="AA26" s="110"/>
      <c r="AB26" s="110"/>
      <c r="AC26" s="110"/>
      <c r="AD26" s="114"/>
      <c r="AE26" s="3"/>
      <c r="AF26" s="3"/>
      <c r="AG26" s="3"/>
      <c r="AH26" s="3"/>
      <c r="AI26" s="3"/>
      <c r="AJ26" s="115"/>
      <c r="AK26" s="114"/>
      <c r="AL26" s="110"/>
      <c r="AM26" s="110"/>
      <c r="AN26" s="115"/>
      <c r="AO26" s="110"/>
      <c r="AP26" s="110"/>
      <c r="AQ26" s="110"/>
      <c r="AR26" s="110"/>
      <c r="AS26" s="110"/>
      <c r="AT26" s="114"/>
      <c r="AU26" s="3"/>
      <c r="AV26" s="3"/>
      <c r="AW26" s="3"/>
      <c r="AX26" s="3"/>
      <c r="AY26" s="113"/>
      <c r="BD26" s="84"/>
      <c r="BE26" s="163"/>
      <c r="BF26" s="157">
        <f t="shared" si="2"/>
        <v>0</v>
      </c>
      <c r="BG26" s="157">
        <f t="shared" si="3"/>
        <v>0</v>
      </c>
      <c r="BH26" s="157">
        <f t="shared" si="4"/>
        <v>0</v>
      </c>
      <c r="BI26" s="114">
        <f t="shared" si="5"/>
        <v>1</v>
      </c>
      <c r="BJ26" s="110">
        <f t="shared" si="6"/>
        <v>1</v>
      </c>
      <c r="BK26" s="116" t="e">
        <f t="shared" si="7"/>
        <v>#DIV/0!</v>
      </c>
      <c r="BL26" s="116">
        <f t="shared" si="8"/>
        <v>1</v>
      </c>
      <c r="BM26" s="154">
        <f t="shared" si="9"/>
        <v>1</v>
      </c>
      <c r="BN26" s="110">
        <f t="shared" si="10"/>
        <v>1</v>
      </c>
      <c r="BO26" s="116" t="e">
        <f t="shared" si="11"/>
        <v>#DIV/0!</v>
      </c>
      <c r="BP26" s="153">
        <f t="shared" si="12"/>
        <v>1</v>
      </c>
      <c r="BQ26" s="141"/>
      <c r="BR26" s="111">
        <f t="shared" si="0"/>
        <v>0</v>
      </c>
      <c r="BS26" s="96" t="e">
        <f t="shared" si="14"/>
        <v>#DIV/0!</v>
      </c>
      <c r="BT26" s="96" t="e">
        <f t="shared" si="15"/>
        <v>#DIV/0!</v>
      </c>
      <c r="BU26" s="96">
        <f t="shared" si="16"/>
        <v>0</v>
      </c>
      <c r="BV26" s="96"/>
      <c r="BW26" s="96">
        <f t="shared" si="17"/>
        <v>0.76384925376347856</v>
      </c>
      <c r="BX26" s="96">
        <f t="shared" si="18"/>
        <v>0.76384925376347856</v>
      </c>
      <c r="BY26" s="96">
        <f t="shared" si="19"/>
        <v>0</v>
      </c>
      <c r="BZ26" s="96" t="e">
        <f t="shared" si="20"/>
        <v>#DIV/0!</v>
      </c>
      <c r="CA26" s="96" t="e">
        <f t="shared" si="21"/>
        <v>#DIV/0!</v>
      </c>
      <c r="CB26" s="112" t="e">
        <f t="shared" si="22"/>
        <v>#DIV/0!</v>
      </c>
      <c r="CC26" s="113" t="e">
        <f t="shared" si="23"/>
        <v>#DIV/0!</v>
      </c>
      <c r="CD26" s="13" t="e">
        <f t="shared" si="24"/>
        <v>#DIV/0!</v>
      </c>
      <c r="CE26" s="84" t="e">
        <f t="shared" si="25"/>
        <v>#DIV/0!</v>
      </c>
      <c r="CF26" s="112">
        <f t="shared" si="32"/>
        <v>0</v>
      </c>
      <c r="CG26" s="111"/>
      <c r="CH26" s="96"/>
      <c r="CI26" s="96"/>
      <c r="CJ26" s="110"/>
      <c r="CK26" s="110"/>
      <c r="CL26" s="96">
        <f t="shared" si="27"/>
        <v>0</v>
      </c>
      <c r="CM26" s="96" t="e">
        <f t="shared" si="28"/>
        <v>#N/A</v>
      </c>
      <c r="CN26" s="110" t="e">
        <f t="shared" si="29"/>
        <v>#N/A</v>
      </c>
      <c r="CO26" s="112">
        <f t="shared" si="30"/>
        <v>0</v>
      </c>
    </row>
    <row r="27" spans="1:93" x14ac:dyDescent="0.25">
      <c r="A27" s="111">
        <f>IF('3'!$AC$5="",-B27,NA())</f>
        <v>-0.9</v>
      </c>
      <c r="B27" s="110">
        <v>0.9</v>
      </c>
      <c r="C27" s="96"/>
      <c r="D27" s="115"/>
      <c r="E27" s="110"/>
      <c r="F27" s="110"/>
      <c r="G27" s="110"/>
      <c r="H27" s="110"/>
      <c r="I27" s="110"/>
      <c r="J27" s="110"/>
      <c r="K27" s="109"/>
      <c r="L27" s="114"/>
      <c r="M27" s="110"/>
      <c r="N27" s="110"/>
      <c r="O27" s="110"/>
      <c r="P27" s="115"/>
      <c r="Q27" s="114"/>
      <c r="R27" s="110"/>
      <c r="S27" s="110"/>
      <c r="T27" s="110"/>
      <c r="U27" s="110"/>
      <c r="V27" s="115"/>
      <c r="W27" s="110"/>
      <c r="X27" s="110"/>
      <c r="Y27" s="110"/>
      <c r="Z27" s="110"/>
      <c r="AA27" s="110"/>
      <c r="AB27" s="110"/>
      <c r="AC27" s="110"/>
      <c r="AD27" s="114"/>
      <c r="AE27" s="3"/>
      <c r="AF27" s="3"/>
      <c r="AG27" s="3"/>
      <c r="AH27" s="3"/>
      <c r="AI27" s="3"/>
      <c r="AJ27" s="115"/>
      <c r="AK27" s="114"/>
      <c r="AL27" s="110"/>
      <c r="AM27" s="110"/>
      <c r="AN27" s="115"/>
      <c r="AO27" s="110"/>
      <c r="AP27" s="110"/>
      <c r="AQ27" s="110"/>
      <c r="AR27" s="110"/>
      <c r="AS27" s="110"/>
      <c r="AT27" s="114"/>
      <c r="AU27" s="3"/>
      <c r="AV27" s="3"/>
      <c r="AW27" s="3"/>
      <c r="AX27" s="3"/>
      <c r="AY27" s="113"/>
      <c r="BD27" s="84"/>
      <c r="BE27" s="163"/>
      <c r="BF27" s="157" t="e">
        <f t="shared" si="2"/>
        <v>#DIV/0!</v>
      </c>
      <c r="BG27" s="157" t="e">
        <f t="shared" si="3"/>
        <v>#DIV/0!</v>
      </c>
      <c r="BH27" s="157" t="e">
        <f t="shared" si="4"/>
        <v>#DIV/0!</v>
      </c>
      <c r="BI27" s="114">
        <f t="shared" si="5"/>
        <v>1</v>
      </c>
      <c r="BJ27" s="110">
        <f t="shared" si="6"/>
        <v>1</v>
      </c>
      <c r="BK27" s="116" t="e">
        <f t="shared" si="7"/>
        <v>#DIV/0!</v>
      </c>
      <c r="BL27" s="116">
        <f t="shared" si="8"/>
        <v>1</v>
      </c>
      <c r="BM27" s="154">
        <f t="shared" si="9"/>
        <v>1</v>
      </c>
      <c r="BN27" s="110">
        <f t="shared" si="10"/>
        <v>1</v>
      </c>
      <c r="BO27" s="116" t="e">
        <f t="shared" si="11"/>
        <v>#DIV/0!</v>
      </c>
      <c r="BP27" s="153">
        <f t="shared" si="12"/>
        <v>1</v>
      </c>
      <c r="BQ27" s="141"/>
      <c r="BR27" s="111">
        <f t="shared" si="0"/>
        <v>0</v>
      </c>
      <c r="BS27" s="96" t="e">
        <f t="shared" si="14"/>
        <v>#DIV/0!</v>
      </c>
      <c r="BT27" s="96" t="e">
        <f t="shared" si="15"/>
        <v>#DIV/0!</v>
      </c>
      <c r="BU27" s="96">
        <f t="shared" si="16"/>
        <v>0</v>
      </c>
      <c r="BV27" s="96"/>
      <c r="BW27" s="96">
        <f t="shared" si="17"/>
        <v>0.68180638083025913</v>
      </c>
      <c r="BX27" s="96">
        <f t="shared" si="18"/>
        <v>0.68180638083025913</v>
      </c>
      <c r="BY27" s="96">
        <f t="shared" si="19"/>
        <v>0</v>
      </c>
      <c r="BZ27" s="96" t="e">
        <f t="shared" si="20"/>
        <v>#DIV/0!</v>
      </c>
      <c r="CA27" s="96" t="e">
        <f t="shared" si="21"/>
        <v>#DIV/0!</v>
      </c>
      <c r="CB27" s="112" t="e">
        <f t="shared" si="22"/>
        <v>#DIV/0!</v>
      </c>
      <c r="CC27" s="113" t="e">
        <f t="shared" si="23"/>
        <v>#DIV/0!</v>
      </c>
      <c r="CD27" s="13" t="e">
        <f t="shared" si="24"/>
        <v>#DIV/0!</v>
      </c>
      <c r="CE27" s="84" t="e">
        <f t="shared" si="25"/>
        <v>#DIV/0!</v>
      </c>
      <c r="CF27" s="112">
        <f t="shared" si="32"/>
        <v>0</v>
      </c>
      <c r="CG27" s="96"/>
      <c r="CH27" s="96"/>
      <c r="CI27" s="96"/>
      <c r="CJ27" s="96"/>
      <c r="CK27" s="96"/>
      <c r="CL27" s="96">
        <f t="shared" si="27"/>
        <v>0</v>
      </c>
      <c r="CM27" s="96" t="e">
        <f t="shared" si="28"/>
        <v>#N/A</v>
      </c>
      <c r="CN27" s="96" t="e">
        <f t="shared" si="29"/>
        <v>#N/A</v>
      </c>
      <c r="CO27" s="112">
        <f t="shared" si="30"/>
        <v>0</v>
      </c>
    </row>
    <row r="28" spans="1:93" ht="15.75" thickBot="1" x14ac:dyDescent="0.3">
      <c r="A28" s="111">
        <f>IF('3'!$AC$5="",-B28,NA())</f>
        <v>-1</v>
      </c>
      <c r="B28" s="110">
        <v>1</v>
      </c>
      <c r="C28" s="110"/>
      <c r="D28" s="115"/>
      <c r="E28" s="110"/>
      <c r="F28" s="110"/>
      <c r="G28" s="110"/>
      <c r="H28" s="110"/>
      <c r="I28" s="110"/>
      <c r="J28" s="110"/>
      <c r="K28" s="109"/>
      <c r="L28" s="114"/>
      <c r="M28" s="110"/>
      <c r="N28" s="110"/>
      <c r="O28" s="110"/>
      <c r="P28" s="115"/>
      <c r="Q28" s="114"/>
      <c r="R28" s="110"/>
      <c r="S28" s="110"/>
      <c r="T28" s="110"/>
      <c r="U28" s="110"/>
      <c r="V28" s="115"/>
      <c r="W28" s="110"/>
      <c r="X28" s="110"/>
      <c r="Y28" s="110"/>
      <c r="Z28" s="110"/>
      <c r="AA28" s="110"/>
      <c r="AB28" s="110"/>
      <c r="AC28" s="110"/>
      <c r="AD28" s="114"/>
      <c r="AE28" s="3"/>
      <c r="AF28" s="3"/>
      <c r="AG28" s="3"/>
      <c r="AH28" s="3"/>
      <c r="AI28" s="3"/>
      <c r="AJ28" s="115"/>
      <c r="AK28" s="114"/>
      <c r="AL28" s="110"/>
      <c r="AM28" s="110"/>
      <c r="AN28" s="115"/>
      <c r="AO28" s="110"/>
      <c r="AP28" s="110"/>
      <c r="AQ28" s="110"/>
      <c r="AR28" s="110"/>
      <c r="AS28" s="110"/>
      <c r="AT28" s="114"/>
      <c r="AU28" s="3"/>
      <c r="AV28" s="3"/>
      <c r="AW28" s="3"/>
      <c r="AX28" s="3"/>
      <c r="AY28" s="113"/>
      <c r="BD28" s="84"/>
      <c r="BE28" s="163"/>
      <c r="BF28" s="110"/>
      <c r="BG28" s="110"/>
      <c r="BH28" s="110"/>
      <c r="BI28" s="133"/>
      <c r="BJ28" s="134"/>
      <c r="BK28" s="134"/>
      <c r="BL28" s="134"/>
      <c r="BM28" s="135"/>
      <c r="BN28" s="110"/>
      <c r="BO28" s="110"/>
      <c r="BP28" s="110"/>
      <c r="BQ28" s="142"/>
      <c r="BR28" s="111"/>
      <c r="BS28" s="96"/>
      <c r="BT28" s="96"/>
      <c r="BU28" s="96"/>
      <c r="BV28" s="96"/>
      <c r="BW28" s="96">
        <v>0</v>
      </c>
      <c r="BX28" s="96"/>
      <c r="BY28" s="96"/>
      <c r="BZ28" s="96"/>
      <c r="CA28" s="96"/>
      <c r="CB28" s="112"/>
      <c r="CC28" s="85"/>
      <c r="CD28" s="86"/>
      <c r="CE28" s="87"/>
      <c r="CF28" s="86">
        <f t="shared" si="32"/>
        <v>-1</v>
      </c>
      <c r="CG28" s="195">
        <v>1</v>
      </c>
      <c r="CH28" s="195"/>
      <c r="CI28" s="195"/>
      <c r="CJ28" s="195"/>
      <c r="CK28" s="195"/>
      <c r="CL28" s="96">
        <f t="shared" si="27"/>
        <v>0</v>
      </c>
      <c r="CM28" s="195">
        <f t="shared" si="28"/>
        <v>0</v>
      </c>
      <c r="CN28" s="195">
        <f>(1-AC27)*CM28</f>
        <v>0</v>
      </c>
      <c r="CO28" s="196">
        <f t="shared" si="30"/>
        <v>0</v>
      </c>
    </row>
    <row r="29" spans="1:93" ht="15.75" thickBot="1" x14ac:dyDescent="0.3">
      <c r="A29" s="233" t="s">
        <v>55</v>
      </c>
      <c r="B29" s="234"/>
      <c r="C29" s="235"/>
      <c r="D29" s="39" t="s">
        <v>54</v>
      </c>
      <c r="E29" s="38">
        <f t="shared" ref="E29:AJ29" si="33">0.1/3*($B8*E8+4*$B9*E9+2*$B10*E10+4*$B11*E11+2*$B12*E12+4*$B13*E13+2*$B14*E14+4*$B15*E15+2*$B16*E16+4*$B17*E17+2*$B18*E18+4*$B19*E19+1*$B20*E20)+0.2/3*($B20*E20+4*$B22*E22+2*$B24*E24+4*$B26*E26+$B28*E28)</f>
        <v>429.26666666666671</v>
      </c>
      <c r="F29" s="38">
        <f t="shared" si="33"/>
        <v>213.8133333333333</v>
      </c>
      <c r="G29" s="38">
        <f t="shared" si="33"/>
        <v>0</v>
      </c>
      <c r="H29" s="38">
        <f t="shared" si="33"/>
        <v>0</v>
      </c>
      <c r="I29" s="38">
        <f t="shared" si="33"/>
        <v>643.08000000000004</v>
      </c>
      <c r="J29" s="38">
        <f t="shared" si="33"/>
        <v>0</v>
      </c>
      <c r="K29" s="38">
        <f t="shared" si="33"/>
        <v>643.08000000000004</v>
      </c>
      <c r="L29" s="38">
        <f t="shared" si="33"/>
        <v>643.08000000000004</v>
      </c>
      <c r="M29" s="38">
        <f t="shared" si="33"/>
        <v>585.78666666666675</v>
      </c>
      <c r="N29" s="38">
        <f t="shared" si="33"/>
        <v>558.66666666666663</v>
      </c>
      <c r="O29" s="38">
        <f t="shared" si="33"/>
        <v>532.66666666666663</v>
      </c>
      <c r="P29" s="38">
        <f t="shared" si="33"/>
        <v>21.437333333333335</v>
      </c>
      <c r="Q29" s="38">
        <f t="shared" si="33"/>
        <v>337</v>
      </c>
      <c r="R29" s="38">
        <f t="shared" si="33"/>
        <v>203.71999999999997</v>
      </c>
      <c r="S29" s="38">
        <f t="shared" si="33"/>
        <v>0</v>
      </c>
      <c r="T29" s="38">
        <f t="shared" si="33"/>
        <v>0</v>
      </c>
      <c r="U29" s="38">
        <f t="shared" si="33"/>
        <v>540.72</v>
      </c>
      <c r="V29" s="38">
        <f t="shared" si="33"/>
        <v>39.282399999999996</v>
      </c>
      <c r="W29" s="38">
        <f t="shared" si="33"/>
        <v>2.4997333333333337E-2</v>
      </c>
      <c r="X29" s="38">
        <f t="shared" si="33"/>
        <v>2.5250666666666661E-2</v>
      </c>
      <c r="Y29" s="38">
        <f t="shared" si="33"/>
        <v>0</v>
      </c>
      <c r="Z29" s="38">
        <f t="shared" si="33"/>
        <v>0</v>
      </c>
      <c r="AA29" s="38">
        <f t="shared" si="33"/>
        <v>5.024399999999999E-2</v>
      </c>
      <c r="AB29" s="38">
        <f t="shared" si="33"/>
        <v>0</v>
      </c>
      <c r="AC29" s="38">
        <f t="shared" si="33"/>
        <v>5.024399999999999E-2</v>
      </c>
      <c r="AD29" s="38">
        <f t="shared" si="33"/>
        <v>55.011866666666656</v>
      </c>
      <c r="AE29" s="38">
        <f t="shared" si="33"/>
        <v>22.801866666666665</v>
      </c>
      <c r="AF29" s="38">
        <f t="shared" si="33"/>
        <v>0</v>
      </c>
      <c r="AG29" s="38">
        <f t="shared" si="33"/>
        <v>0</v>
      </c>
      <c r="AH29" s="38">
        <f t="shared" si="33"/>
        <v>77.814133333333331</v>
      </c>
      <c r="AI29" s="38">
        <f t="shared" si="33"/>
        <v>0</v>
      </c>
      <c r="AJ29" s="38">
        <f t="shared" si="33"/>
        <v>77.814133333333331</v>
      </c>
      <c r="AK29" s="38">
        <f t="shared" ref="AK29:BP29" si="34">0.1/3*($B8*AK8+4*$B9*AK9+2*$B10*AK10+4*$B11*AK11+2*$B12*AK12+4*$B13*AK13+2*$B14*AK14+4*$B15*AK15+2*$B16*AK16+4*$B17*AK17+2*$B18*AK18+4*$B19*AK19+1*$B20*AK20)+0.2/3*($B20*AK20+4*$B22*AK22+2*$B24*AK24+4*$B26*AK26+$B28*AK28)</f>
        <v>1.8</v>
      </c>
      <c r="AL29" s="38">
        <f t="shared" si="34"/>
        <v>1.1415999999999999</v>
      </c>
      <c r="AM29" s="38">
        <f t="shared" si="34"/>
        <v>0</v>
      </c>
      <c r="AN29" s="38">
        <f t="shared" si="34"/>
        <v>0</v>
      </c>
      <c r="AO29" s="38">
        <f t="shared" si="34"/>
        <v>0.49022666666666664</v>
      </c>
      <c r="AP29" s="38">
        <f t="shared" si="34"/>
        <v>0</v>
      </c>
      <c r="AQ29" s="38">
        <f t="shared" si="34"/>
        <v>9.2733333333333334E-2</v>
      </c>
      <c r="AR29" s="38">
        <f t="shared" si="34"/>
        <v>0</v>
      </c>
      <c r="AS29" s="38">
        <f t="shared" si="34"/>
        <v>0.10660000000000001</v>
      </c>
      <c r="AT29" s="38">
        <f t="shared" si="34"/>
        <v>5.2639999999999999E-2</v>
      </c>
      <c r="AU29" s="38">
        <f t="shared" si="34"/>
        <v>0</v>
      </c>
      <c r="AV29" s="38">
        <f t="shared" si="34"/>
        <v>5.2639999999999999E-2</v>
      </c>
      <c r="AW29" s="38">
        <f t="shared" si="34"/>
        <v>0.19525333333333339</v>
      </c>
      <c r="AX29" s="38">
        <f t="shared" si="34"/>
        <v>0</v>
      </c>
      <c r="AY29" s="38">
        <f t="shared" si="34"/>
        <v>0.74153333333333338</v>
      </c>
      <c r="AZ29" s="38">
        <f t="shared" si="34"/>
        <v>0.75086666666666668</v>
      </c>
      <c r="BA29" s="38">
        <f t="shared" si="34"/>
        <v>0.74806666666666666</v>
      </c>
      <c r="BB29" s="38">
        <f t="shared" si="34"/>
        <v>0.11153333333333333</v>
      </c>
      <c r="BC29" s="38">
        <f t="shared" si="34"/>
        <v>0.17686666666666667</v>
      </c>
      <c r="BD29" s="38">
        <f t="shared" si="34"/>
        <v>0.10826666666666668</v>
      </c>
      <c r="BE29" s="38">
        <f t="shared" si="34"/>
        <v>8.8950056467255026E-2</v>
      </c>
      <c r="BF29" s="38">
        <f t="shared" si="34"/>
        <v>21.435999999999996</v>
      </c>
      <c r="BG29" s="38">
        <f t="shared" si="34"/>
        <v>0</v>
      </c>
      <c r="BH29" s="38">
        <f t="shared" si="34"/>
        <v>21.435999999999996</v>
      </c>
      <c r="BI29" s="38">
        <f t="shared" si="34"/>
        <v>1.1079841066358584</v>
      </c>
      <c r="BJ29" s="38">
        <f t="shared" si="34"/>
        <v>1.1079841066358584</v>
      </c>
      <c r="BK29" s="38" t="e">
        <f t="shared" si="34"/>
        <v>#DIV/0!</v>
      </c>
      <c r="BL29" s="38">
        <f t="shared" si="34"/>
        <v>0.89999999999999991</v>
      </c>
      <c r="BM29" s="38">
        <f t="shared" si="34"/>
        <v>1.1079841066358584</v>
      </c>
      <c r="BN29" s="38">
        <f t="shared" si="34"/>
        <v>1.0800581000588849</v>
      </c>
      <c r="BO29" s="38" t="e">
        <f t="shared" si="34"/>
        <v>#DIV/0!</v>
      </c>
      <c r="BP29" s="38">
        <f t="shared" si="34"/>
        <v>1.0800581000588849</v>
      </c>
      <c r="BQ29" s="38" t="e">
        <f t="shared" ref="BQ29:CB29" si="35">0.1/3*($B8*BQ8+4*$B9*BQ9+2*$B10*BQ10+4*$B11*BQ11+2*$B12*BQ12+4*$B13*BQ13+2*$B14*BQ14+4*$B15*BQ15+2*$B16*BQ16+4*$B17*BQ17+2*$B18*BQ18+4*$B19*BQ19+1*$B20*BQ20)+0.2/3*($B20*BQ20+4*$B22*BQ22+2*$B24*BQ24+4*$B26*BQ26+$B28*BQ28)</f>
        <v>#DIV/0!</v>
      </c>
      <c r="BR29" s="38">
        <f t="shared" si="35"/>
        <v>83.121559999999988</v>
      </c>
      <c r="BS29" s="38" t="e">
        <f t="shared" si="35"/>
        <v>#DIV/0!</v>
      </c>
      <c r="BT29" s="38" t="e">
        <f t="shared" si="35"/>
        <v>#DIV/0!</v>
      </c>
      <c r="BU29" s="38">
        <f t="shared" si="35"/>
        <v>0</v>
      </c>
      <c r="BV29" s="38">
        <f t="shared" si="35"/>
        <v>0</v>
      </c>
      <c r="BW29" s="38">
        <f t="shared" si="35"/>
        <v>0.74105594897535321</v>
      </c>
      <c r="BX29" s="38">
        <f t="shared" si="35"/>
        <v>0.7527639838848208</v>
      </c>
      <c r="BY29" s="38">
        <f t="shared" si="35"/>
        <v>4.2200341430518228E-2</v>
      </c>
      <c r="BZ29" s="38" t="e">
        <f t="shared" si="35"/>
        <v>#DIV/0!</v>
      </c>
      <c r="CA29" s="38" t="e">
        <f t="shared" si="35"/>
        <v>#DIV/0!</v>
      </c>
      <c r="CB29" s="38" t="e">
        <f t="shared" si="35"/>
        <v>#DIV/0!</v>
      </c>
      <c r="CC29" s="96"/>
      <c r="CL29" s="38">
        <f t="shared" ref="CL29:CO29" si="36">0.1/3*($B8*CL8+4*$B9*CL9+2*$B10*CL10+4*$B11*CL11+2*$B12*CL12+4*$B13*CL13+2*$B14*CL14+4*$B15*CL15+2*$B16*CL16+4*$B17*CL17+2*$B18*CL18+4*$B19*CL19+1*$B20*CL20)+0.2/3*($B20*CL20+4*$B22*CL22+2*$B24*CL24+4*$B26*CL26+$B28*CL28)</f>
        <v>0.39692161454896357</v>
      </c>
      <c r="CM29" s="38" t="e">
        <f t="shared" si="36"/>
        <v>#N/A</v>
      </c>
      <c r="CN29" s="38" t="e">
        <f t="shared" si="36"/>
        <v>#N/A</v>
      </c>
      <c r="CO29" s="38">
        <f t="shared" si="36"/>
        <v>6.9986459598004661E-2</v>
      </c>
    </row>
    <row r="50" spans="1:187" ht="15.75" thickBot="1" x14ac:dyDescent="0.3">
      <c r="A50" s="17" t="s">
        <v>271</v>
      </c>
      <c r="B50" s="13" t="s">
        <v>291</v>
      </c>
      <c r="CQ50" s="17" t="s">
        <v>271</v>
      </c>
      <c r="CR50" s="13" t="s">
        <v>294</v>
      </c>
    </row>
    <row r="51" spans="1:187" ht="18.75" customHeight="1" thickBot="1" x14ac:dyDescent="0.3">
      <c r="A51" s="236" t="s">
        <v>14</v>
      </c>
      <c r="B51" s="236" t="s">
        <v>49</v>
      </c>
      <c r="C51" s="238" t="s">
        <v>10</v>
      </c>
      <c r="D51" s="240" t="s">
        <v>58</v>
      </c>
      <c r="E51" s="230" t="s">
        <v>15</v>
      </c>
      <c r="F51" s="231"/>
      <c r="G51" s="231"/>
      <c r="H51" s="231"/>
      <c r="I51" s="231"/>
      <c r="J51" s="231"/>
      <c r="K51" s="232"/>
      <c r="L51" s="230" t="s">
        <v>53</v>
      </c>
      <c r="M51" s="231"/>
      <c r="N51" s="231"/>
      <c r="O51" s="231"/>
      <c r="P51" s="232"/>
      <c r="Q51" s="230" t="s">
        <v>33</v>
      </c>
      <c r="R51" s="231"/>
      <c r="S51" s="231"/>
      <c r="T51" s="231"/>
      <c r="U51" s="231"/>
      <c r="V51" s="232"/>
      <c r="W51" s="230" t="s">
        <v>16</v>
      </c>
      <c r="X51" s="231"/>
      <c r="Y51" s="231"/>
      <c r="Z51" s="231"/>
      <c r="AA51" s="231"/>
      <c r="AB51" s="231"/>
      <c r="AC51" s="232"/>
      <c r="AD51" s="230" t="s">
        <v>17</v>
      </c>
      <c r="AE51" s="231"/>
      <c r="AF51" s="231"/>
      <c r="AG51" s="231"/>
      <c r="AH51" s="231"/>
      <c r="AI51" s="231"/>
      <c r="AJ51" s="232"/>
      <c r="AK51" s="244" t="s">
        <v>34</v>
      </c>
      <c r="AL51" s="245"/>
      <c r="AM51" s="245"/>
      <c r="AN51" s="246"/>
      <c r="AO51" s="244" t="s">
        <v>18</v>
      </c>
      <c r="AP51" s="245"/>
      <c r="AQ51" s="245"/>
      <c r="AR51" s="245"/>
      <c r="AS51" s="246"/>
      <c r="AT51" s="244" t="s">
        <v>50</v>
      </c>
      <c r="AU51" s="245"/>
      <c r="AV51" s="247"/>
      <c r="AW51" s="248" t="s">
        <v>52</v>
      </c>
      <c r="AX51" s="246"/>
      <c r="AY51" s="244" t="s">
        <v>51</v>
      </c>
      <c r="AZ51" s="245"/>
      <c r="BA51" s="245"/>
      <c r="BB51" s="245"/>
      <c r="BC51" s="245"/>
      <c r="BD51" s="246"/>
      <c r="BE51" s="14"/>
      <c r="BF51" s="224" t="s">
        <v>187</v>
      </c>
      <c r="BG51" s="225"/>
      <c r="BH51" s="226"/>
      <c r="BI51" s="224" t="s">
        <v>180</v>
      </c>
      <c r="BJ51" s="225"/>
      <c r="BK51" s="225"/>
      <c r="BL51" s="225"/>
      <c r="BM51" s="226"/>
      <c r="BN51" s="224" t="s">
        <v>181</v>
      </c>
      <c r="BO51" s="225"/>
      <c r="BP51" s="226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5"/>
      <c r="CC51" s="227" t="s">
        <v>121</v>
      </c>
      <c r="CD51" s="228"/>
      <c r="CE51" s="229"/>
      <c r="CF51" s="236" t="s">
        <v>14</v>
      </c>
      <c r="CG51" s="236" t="s">
        <v>49</v>
      </c>
      <c r="CH51" s="238" t="s">
        <v>10</v>
      </c>
      <c r="CI51" s="240" t="s">
        <v>58</v>
      </c>
      <c r="CJ51" s="242" t="s">
        <v>297</v>
      </c>
      <c r="CK51" s="222" t="s">
        <v>298</v>
      </c>
      <c r="CL51" s="222" t="s">
        <v>300</v>
      </c>
      <c r="CM51" s="222" t="s">
        <v>299</v>
      </c>
      <c r="CN51" s="222" t="s">
        <v>303</v>
      </c>
      <c r="CO51" s="222" t="s">
        <v>307</v>
      </c>
      <c r="CQ51" s="236" t="s">
        <v>14</v>
      </c>
      <c r="CR51" s="236" t="s">
        <v>49</v>
      </c>
      <c r="CS51" s="238" t="s">
        <v>10</v>
      </c>
      <c r="CT51" s="240" t="s">
        <v>58</v>
      </c>
      <c r="CU51" s="230" t="s">
        <v>15</v>
      </c>
      <c r="CV51" s="231"/>
      <c r="CW51" s="231"/>
      <c r="CX51" s="231"/>
      <c r="CY51" s="231"/>
      <c r="CZ51" s="231"/>
      <c r="DA51" s="232"/>
      <c r="DB51" s="230" t="s">
        <v>53</v>
      </c>
      <c r="DC51" s="231"/>
      <c r="DD51" s="231"/>
      <c r="DE51" s="231"/>
      <c r="DF51" s="232"/>
      <c r="DG51" s="230" t="s">
        <v>33</v>
      </c>
      <c r="DH51" s="231"/>
      <c r="DI51" s="231"/>
      <c r="DJ51" s="231"/>
      <c r="DK51" s="231"/>
      <c r="DL51" s="232"/>
      <c r="DM51" s="230" t="s">
        <v>16</v>
      </c>
      <c r="DN51" s="231"/>
      <c r="DO51" s="231"/>
      <c r="DP51" s="231"/>
      <c r="DQ51" s="231"/>
      <c r="DR51" s="231"/>
      <c r="DS51" s="232"/>
      <c r="DT51" s="230" t="s">
        <v>17</v>
      </c>
      <c r="DU51" s="231"/>
      <c r="DV51" s="231"/>
      <c r="DW51" s="231"/>
      <c r="DX51" s="231"/>
      <c r="DY51" s="231"/>
      <c r="DZ51" s="232"/>
      <c r="EA51" s="244" t="s">
        <v>34</v>
      </c>
      <c r="EB51" s="245"/>
      <c r="EC51" s="245"/>
      <c r="ED51" s="246"/>
      <c r="EE51" s="244" t="s">
        <v>18</v>
      </c>
      <c r="EF51" s="245"/>
      <c r="EG51" s="245"/>
      <c r="EH51" s="245"/>
      <c r="EI51" s="246"/>
      <c r="EJ51" s="244" t="s">
        <v>50</v>
      </c>
      <c r="EK51" s="245"/>
      <c r="EL51" s="247"/>
      <c r="EM51" s="248" t="s">
        <v>52</v>
      </c>
      <c r="EN51" s="246"/>
      <c r="EO51" s="244" t="s">
        <v>51</v>
      </c>
      <c r="EP51" s="245"/>
      <c r="EQ51" s="245"/>
      <c r="ER51" s="245"/>
      <c r="ES51" s="245"/>
      <c r="ET51" s="246"/>
      <c r="EU51" s="14"/>
      <c r="EV51" s="224" t="s">
        <v>187</v>
      </c>
      <c r="EW51" s="225"/>
      <c r="EX51" s="226"/>
      <c r="EY51" s="224" t="s">
        <v>180</v>
      </c>
      <c r="EZ51" s="225"/>
      <c r="FA51" s="225"/>
      <c r="FB51" s="225"/>
      <c r="FC51" s="226"/>
      <c r="FD51" s="224" t="s">
        <v>181</v>
      </c>
      <c r="FE51" s="225"/>
      <c r="FF51" s="226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5"/>
      <c r="FS51" s="227" t="s">
        <v>121</v>
      </c>
      <c r="FT51" s="228"/>
      <c r="FU51" s="229"/>
      <c r="FV51" s="236" t="s">
        <v>14</v>
      </c>
      <c r="FW51" s="236" t="s">
        <v>49</v>
      </c>
      <c r="FX51" s="238" t="s">
        <v>10</v>
      </c>
      <c r="FY51" s="240" t="s">
        <v>58</v>
      </c>
      <c r="FZ51" s="242" t="s">
        <v>297</v>
      </c>
      <c r="GA51" s="222" t="s">
        <v>298</v>
      </c>
      <c r="GB51" s="222" t="s">
        <v>300</v>
      </c>
      <c r="GC51" s="222" t="s">
        <v>299</v>
      </c>
      <c r="GD51" s="222" t="s">
        <v>303</v>
      </c>
      <c r="GE51" s="222" t="s">
        <v>307</v>
      </c>
    </row>
    <row r="52" spans="1:187" ht="18" thickBot="1" x14ac:dyDescent="0.35">
      <c r="A52" s="237"/>
      <c r="B52" s="237"/>
      <c r="C52" s="239"/>
      <c r="D52" s="241"/>
      <c r="E52" s="16" t="s">
        <v>19</v>
      </c>
      <c r="F52" s="17" t="s">
        <v>20</v>
      </c>
      <c r="G52" s="17" t="s">
        <v>35</v>
      </c>
      <c r="H52" s="17" t="s">
        <v>36</v>
      </c>
      <c r="I52" s="18" t="s">
        <v>47</v>
      </c>
      <c r="J52" s="18" t="s">
        <v>48</v>
      </c>
      <c r="K52" s="19" t="s">
        <v>21</v>
      </c>
      <c r="L52" s="20" t="s">
        <v>37</v>
      </c>
      <c r="M52" s="18" t="s">
        <v>38</v>
      </c>
      <c r="N52" s="18" t="s">
        <v>39</v>
      </c>
      <c r="O52" s="18" t="s">
        <v>40</v>
      </c>
      <c r="P52" s="19" t="s">
        <v>59</v>
      </c>
      <c r="Q52" s="20" t="s">
        <v>41</v>
      </c>
      <c r="R52" s="17" t="s">
        <v>42</v>
      </c>
      <c r="S52" s="18" t="s">
        <v>43</v>
      </c>
      <c r="T52" s="17" t="s">
        <v>44</v>
      </c>
      <c r="U52" s="18" t="s">
        <v>45</v>
      </c>
      <c r="V52" s="19" t="s">
        <v>46</v>
      </c>
      <c r="W52" s="21" t="s">
        <v>19</v>
      </c>
      <c r="X52" s="22" t="s">
        <v>20</v>
      </c>
      <c r="Y52" s="22" t="s">
        <v>35</v>
      </c>
      <c r="Z52" s="22" t="s">
        <v>36</v>
      </c>
      <c r="AA52" s="22" t="s">
        <v>47</v>
      </c>
      <c r="AB52" s="22" t="s">
        <v>48</v>
      </c>
      <c r="AC52" s="23" t="s">
        <v>21</v>
      </c>
      <c r="AD52" s="21" t="s">
        <v>19</v>
      </c>
      <c r="AE52" s="22" t="s">
        <v>20</v>
      </c>
      <c r="AF52" s="22" t="s">
        <v>35</v>
      </c>
      <c r="AG52" s="22" t="s">
        <v>36</v>
      </c>
      <c r="AH52" s="22" t="s">
        <v>47</v>
      </c>
      <c r="AI52" s="22" t="s">
        <v>48</v>
      </c>
      <c r="AJ52" s="23" t="s">
        <v>21</v>
      </c>
      <c r="AK52" s="24" t="s">
        <v>60</v>
      </c>
      <c r="AL52" s="25" t="s">
        <v>61</v>
      </c>
      <c r="AM52" s="25" t="s">
        <v>62</v>
      </c>
      <c r="AN52" s="26" t="s">
        <v>63</v>
      </c>
      <c r="AO52" s="27" t="s">
        <v>64</v>
      </c>
      <c r="AP52" s="25" t="s">
        <v>65</v>
      </c>
      <c r="AQ52" s="25" t="s">
        <v>66</v>
      </c>
      <c r="AR52" s="25" t="s">
        <v>67</v>
      </c>
      <c r="AS52" s="26" t="s">
        <v>68</v>
      </c>
      <c r="AT52" s="27" t="s">
        <v>69</v>
      </c>
      <c r="AU52" s="25" t="s">
        <v>70</v>
      </c>
      <c r="AV52" s="25" t="s">
        <v>71</v>
      </c>
      <c r="AW52" s="25" t="s">
        <v>72</v>
      </c>
      <c r="AX52" s="28" t="s">
        <v>73</v>
      </c>
      <c r="AY52" s="24" t="s">
        <v>23</v>
      </c>
      <c r="AZ52" s="25" t="s">
        <v>24</v>
      </c>
      <c r="BA52" s="25" t="s">
        <v>25</v>
      </c>
      <c r="BB52" s="25" t="s">
        <v>28</v>
      </c>
      <c r="BC52" s="25" t="s">
        <v>26</v>
      </c>
      <c r="BD52" s="28" t="s">
        <v>27</v>
      </c>
      <c r="BE52" s="26" t="s">
        <v>68</v>
      </c>
      <c r="BF52" s="132" t="s">
        <v>188</v>
      </c>
      <c r="BG52" s="132" t="s">
        <v>189</v>
      </c>
      <c r="BH52" s="132" t="s">
        <v>190</v>
      </c>
      <c r="BI52" s="150" t="s">
        <v>177</v>
      </c>
      <c r="BJ52" s="148" t="s">
        <v>204</v>
      </c>
      <c r="BK52" s="130" t="s">
        <v>178</v>
      </c>
      <c r="BL52" s="130" t="s">
        <v>205</v>
      </c>
      <c r="BM52" s="149" t="s">
        <v>179</v>
      </c>
      <c r="BN52" s="150" t="s">
        <v>177</v>
      </c>
      <c r="BO52" s="130" t="s">
        <v>178</v>
      </c>
      <c r="BP52" s="149" t="s">
        <v>179</v>
      </c>
      <c r="BQ52" s="27" t="s">
        <v>194</v>
      </c>
      <c r="BR52" s="129" t="s">
        <v>74</v>
      </c>
      <c r="BS52" s="25" t="s">
        <v>128</v>
      </c>
      <c r="BT52" s="25" t="s">
        <v>129</v>
      </c>
      <c r="BU52" s="25" t="s">
        <v>196</v>
      </c>
      <c r="BV52" s="26" t="s">
        <v>199</v>
      </c>
      <c r="BW52" s="30" t="s">
        <v>75</v>
      </c>
      <c r="BX52" s="29" t="s">
        <v>57</v>
      </c>
      <c r="BY52" s="29" t="s">
        <v>76</v>
      </c>
      <c r="BZ52" s="29" t="s">
        <v>77</v>
      </c>
      <c r="CA52" s="29" t="s">
        <v>78</v>
      </c>
      <c r="CB52" s="31" t="s">
        <v>79</v>
      </c>
      <c r="CC52" s="21" t="s">
        <v>122</v>
      </c>
      <c r="CD52" s="22" t="s">
        <v>123</v>
      </c>
      <c r="CE52" s="23" t="s">
        <v>124</v>
      </c>
      <c r="CF52" s="237"/>
      <c r="CG52" s="237"/>
      <c r="CH52" s="239"/>
      <c r="CI52" s="241"/>
      <c r="CJ52" s="243"/>
      <c r="CK52" s="223"/>
      <c r="CL52" s="223"/>
      <c r="CM52" s="223"/>
      <c r="CN52" s="223"/>
      <c r="CO52" s="223"/>
      <c r="CP52" s="116"/>
      <c r="CQ52" s="237"/>
      <c r="CR52" s="237"/>
      <c r="CS52" s="239"/>
      <c r="CT52" s="241"/>
      <c r="CU52" s="16" t="s">
        <v>19</v>
      </c>
      <c r="CV52" s="17" t="s">
        <v>20</v>
      </c>
      <c r="CW52" s="17" t="s">
        <v>35</v>
      </c>
      <c r="CX52" s="17" t="s">
        <v>36</v>
      </c>
      <c r="CY52" s="18" t="s">
        <v>47</v>
      </c>
      <c r="CZ52" s="18" t="s">
        <v>48</v>
      </c>
      <c r="DA52" s="19" t="s">
        <v>21</v>
      </c>
      <c r="DB52" s="20" t="s">
        <v>37</v>
      </c>
      <c r="DC52" s="18" t="s">
        <v>38</v>
      </c>
      <c r="DD52" s="18" t="s">
        <v>39</v>
      </c>
      <c r="DE52" s="18" t="s">
        <v>40</v>
      </c>
      <c r="DF52" s="19" t="s">
        <v>59</v>
      </c>
      <c r="DG52" s="20" t="s">
        <v>41</v>
      </c>
      <c r="DH52" s="17" t="s">
        <v>42</v>
      </c>
      <c r="DI52" s="18" t="s">
        <v>43</v>
      </c>
      <c r="DJ52" s="17" t="s">
        <v>44</v>
      </c>
      <c r="DK52" s="18" t="s">
        <v>45</v>
      </c>
      <c r="DL52" s="19" t="s">
        <v>46</v>
      </c>
      <c r="DM52" s="21" t="s">
        <v>19</v>
      </c>
      <c r="DN52" s="22" t="s">
        <v>20</v>
      </c>
      <c r="DO52" s="22" t="s">
        <v>35</v>
      </c>
      <c r="DP52" s="22" t="s">
        <v>36</v>
      </c>
      <c r="DQ52" s="22" t="s">
        <v>47</v>
      </c>
      <c r="DR52" s="22" t="s">
        <v>48</v>
      </c>
      <c r="DS52" s="23" t="s">
        <v>21</v>
      </c>
      <c r="DT52" s="21" t="s">
        <v>19</v>
      </c>
      <c r="DU52" s="22" t="s">
        <v>20</v>
      </c>
      <c r="DV52" s="22" t="s">
        <v>35</v>
      </c>
      <c r="DW52" s="22" t="s">
        <v>36</v>
      </c>
      <c r="DX52" s="22" t="s">
        <v>47</v>
      </c>
      <c r="DY52" s="22" t="s">
        <v>48</v>
      </c>
      <c r="DZ52" s="23" t="s">
        <v>21</v>
      </c>
      <c r="EA52" s="24" t="s">
        <v>60</v>
      </c>
      <c r="EB52" s="25" t="s">
        <v>61</v>
      </c>
      <c r="EC52" s="25" t="s">
        <v>62</v>
      </c>
      <c r="ED52" s="26" t="s">
        <v>63</v>
      </c>
      <c r="EE52" s="27" t="s">
        <v>64</v>
      </c>
      <c r="EF52" s="25" t="s">
        <v>65</v>
      </c>
      <c r="EG52" s="25" t="s">
        <v>66</v>
      </c>
      <c r="EH52" s="25" t="s">
        <v>67</v>
      </c>
      <c r="EI52" s="26" t="s">
        <v>68</v>
      </c>
      <c r="EJ52" s="27" t="s">
        <v>69</v>
      </c>
      <c r="EK52" s="25" t="s">
        <v>70</v>
      </c>
      <c r="EL52" s="25" t="s">
        <v>71</v>
      </c>
      <c r="EM52" s="25" t="s">
        <v>72</v>
      </c>
      <c r="EN52" s="28" t="s">
        <v>73</v>
      </c>
      <c r="EO52" s="24" t="s">
        <v>23</v>
      </c>
      <c r="EP52" s="25" t="s">
        <v>24</v>
      </c>
      <c r="EQ52" s="25" t="s">
        <v>25</v>
      </c>
      <c r="ER52" s="25" t="s">
        <v>28</v>
      </c>
      <c r="ES52" s="25" t="s">
        <v>26</v>
      </c>
      <c r="ET52" s="28" t="s">
        <v>27</v>
      </c>
      <c r="EU52" s="26" t="s">
        <v>68</v>
      </c>
      <c r="EV52" s="132" t="s">
        <v>188</v>
      </c>
      <c r="EW52" s="132" t="s">
        <v>189</v>
      </c>
      <c r="EX52" s="132" t="s">
        <v>190</v>
      </c>
      <c r="EY52" s="150" t="s">
        <v>177</v>
      </c>
      <c r="EZ52" s="148" t="s">
        <v>204</v>
      </c>
      <c r="FA52" s="130" t="s">
        <v>178</v>
      </c>
      <c r="FB52" s="130" t="s">
        <v>205</v>
      </c>
      <c r="FC52" s="149" t="s">
        <v>179</v>
      </c>
      <c r="FD52" s="150" t="s">
        <v>177</v>
      </c>
      <c r="FE52" s="130" t="s">
        <v>178</v>
      </c>
      <c r="FF52" s="149" t="s">
        <v>179</v>
      </c>
      <c r="FG52" s="27" t="s">
        <v>194</v>
      </c>
      <c r="FH52" s="129" t="s">
        <v>74</v>
      </c>
      <c r="FI52" s="25" t="s">
        <v>128</v>
      </c>
      <c r="FJ52" s="25" t="s">
        <v>129</v>
      </c>
      <c r="FK52" s="25" t="s">
        <v>196</v>
      </c>
      <c r="FL52" s="26" t="s">
        <v>199</v>
      </c>
      <c r="FM52" s="30" t="s">
        <v>75</v>
      </c>
      <c r="FN52" s="29" t="s">
        <v>57</v>
      </c>
      <c r="FO52" s="29" t="s">
        <v>76</v>
      </c>
      <c r="FP52" s="29" t="s">
        <v>77</v>
      </c>
      <c r="FQ52" s="29" t="s">
        <v>78</v>
      </c>
      <c r="FR52" s="31" t="s">
        <v>79</v>
      </c>
      <c r="FS52" s="21" t="s">
        <v>122</v>
      </c>
      <c r="FT52" s="22" t="s">
        <v>123</v>
      </c>
      <c r="FU52" s="23" t="s">
        <v>124</v>
      </c>
      <c r="FV52" s="237"/>
      <c r="FW52" s="237"/>
      <c r="FX52" s="239"/>
      <c r="FY52" s="241"/>
      <c r="FZ52" s="243"/>
      <c r="GA52" s="223"/>
      <c r="GB52" s="223"/>
      <c r="GC52" s="223"/>
      <c r="GD52" s="223"/>
      <c r="GE52" s="223"/>
    </row>
    <row r="53" spans="1:187" x14ac:dyDescent="0.25">
      <c r="A53" s="111">
        <f>IF('3'!$AC$6="",B53,NA())</f>
        <v>1</v>
      </c>
      <c r="B53" s="111">
        <v>1</v>
      </c>
      <c r="C53" s="96"/>
      <c r="D53" s="112"/>
      <c r="E53" s="96"/>
      <c r="F53" s="96"/>
      <c r="G53" s="96"/>
      <c r="H53" s="96"/>
      <c r="I53" s="96"/>
      <c r="J53" s="96"/>
      <c r="K53" s="96"/>
      <c r="L53" s="111"/>
      <c r="M53" s="96"/>
      <c r="N53" s="96"/>
      <c r="O53" s="96"/>
      <c r="P53" s="96"/>
      <c r="Q53" s="111"/>
      <c r="R53" s="96"/>
      <c r="S53" s="96"/>
      <c r="T53" s="96"/>
      <c r="U53" s="96"/>
      <c r="V53" s="96"/>
      <c r="W53" s="96"/>
      <c r="X53" s="96"/>
      <c r="Y53" s="96"/>
      <c r="Z53" s="96"/>
      <c r="AA53" s="96"/>
      <c r="AB53" s="96"/>
      <c r="AC53" s="96"/>
      <c r="AD53" s="111"/>
      <c r="AJ53" s="84"/>
      <c r="AK53" s="113"/>
      <c r="AN53" s="84"/>
      <c r="AT53" s="113"/>
      <c r="AX53" s="84"/>
      <c r="AY53" s="113"/>
      <c r="BD53" s="84"/>
      <c r="BE53" s="163"/>
      <c r="BI53" s="81"/>
      <c r="BJ53" s="82"/>
      <c r="BK53" s="82"/>
      <c r="BL53" s="82"/>
      <c r="BM53" s="83"/>
      <c r="BQ53" s="140"/>
      <c r="BR53" s="32">
        <f t="shared" ref="BR53:BR72" si="37">AK53*P53</f>
        <v>0</v>
      </c>
      <c r="BS53" s="33"/>
      <c r="BT53" s="33"/>
      <c r="BU53" s="33">
        <f t="shared" ref="BU53:BU72" si="38">AB53*AN53</f>
        <v>0</v>
      </c>
      <c r="BV53" s="33"/>
      <c r="BW53" s="33">
        <f t="shared" ref="BW53:BW72" si="39">$G$2*(1-ABS(A53))^(1/$G$1)</f>
        <v>0</v>
      </c>
      <c r="BX53" s="33">
        <f t="shared" ref="BX53" si="40">SUM(W53:X53)*AO53+SUM(Y53:Z53)*AP53+(1-AC53)*BW53</f>
        <v>0</v>
      </c>
      <c r="BY53" s="33">
        <f t="shared" ref="BY53:BY72" si="41">AC53*BX53</f>
        <v>0</v>
      </c>
      <c r="BZ53" s="33"/>
      <c r="CA53" s="33"/>
      <c r="CB53" s="34"/>
      <c r="CC53" s="81"/>
      <c r="CD53" s="82"/>
      <c r="CE53" s="83"/>
      <c r="CF53" s="112">
        <f>CG53</f>
        <v>1</v>
      </c>
      <c r="CG53" s="96">
        <v>1</v>
      </c>
      <c r="CH53" s="96"/>
      <c r="CI53" s="96"/>
      <c r="CJ53" s="96"/>
      <c r="CK53" s="96"/>
      <c r="CL53" s="96">
        <f>SQRT(2*CONVERT(CJ53, "psi", "Pa") / $J$1)</f>
        <v>0</v>
      </c>
      <c r="CM53" s="96">
        <f>IF(CF53=A53,SQRT((2*CONVERT(CJ53,"psi","Pa")-AC53*$J$2*AO53^2)/((1-AC53)*$CM$1*$J$1)), NA())</f>
        <v>0</v>
      </c>
      <c r="CN53" s="96">
        <f>(1-AC53)*CM53</f>
        <v>0</v>
      </c>
      <c r="CO53" s="112">
        <f>IF(AO53&gt;0, AO53-CM53, 0)</f>
        <v>0</v>
      </c>
      <c r="CQ53" s="111" t="e">
        <f>IF('3'!$AC$4="",CR53,NA())</f>
        <v>#N/A</v>
      </c>
      <c r="CR53" s="111">
        <v>1</v>
      </c>
      <c r="CS53" s="96"/>
      <c r="CT53" s="112"/>
      <c r="CU53" s="96"/>
      <c r="CV53" s="96"/>
      <c r="CW53" s="96"/>
      <c r="CX53" s="96"/>
      <c r="CY53" s="96"/>
      <c r="CZ53" s="96"/>
      <c r="DA53" s="96"/>
      <c r="DB53" s="111"/>
      <c r="DC53" s="96"/>
      <c r="DD53" s="96"/>
      <c r="DE53" s="96"/>
      <c r="DF53" s="96"/>
      <c r="DG53" s="111"/>
      <c r="DH53" s="96"/>
      <c r="DI53" s="96"/>
      <c r="DJ53" s="96"/>
      <c r="DK53" s="96"/>
      <c r="DL53" s="96"/>
      <c r="DM53" s="96"/>
      <c r="DN53" s="96"/>
      <c r="DO53" s="96"/>
      <c r="DP53" s="96"/>
      <c r="DQ53" s="96"/>
      <c r="DR53" s="96"/>
      <c r="DS53" s="96"/>
      <c r="DT53" s="111"/>
      <c r="DZ53" s="84"/>
      <c r="EA53" s="113"/>
      <c r="ED53" s="84"/>
      <c r="EJ53" s="113"/>
      <c r="EN53" s="84"/>
      <c r="EO53" s="113"/>
      <c r="ET53" s="84"/>
      <c r="EU53" s="163"/>
      <c r="EY53" s="81"/>
      <c r="EZ53" s="82"/>
      <c r="FA53" s="82"/>
      <c r="FB53" s="82"/>
      <c r="FC53" s="83"/>
      <c r="FG53" s="140"/>
      <c r="FH53" s="32">
        <f t="shared" ref="FH53:FH72" si="42">EA53*DF53</f>
        <v>0</v>
      </c>
      <c r="FI53" s="33"/>
      <c r="FJ53" s="33"/>
      <c r="FK53" s="33">
        <f t="shared" ref="FK53:FK72" si="43">DR53*ED53</f>
        <v>0</v>
      </c>
      <c r="FL53" s="33"/>
      <c r="FM53" s="33" t="e">
        <f t="shared" ref="FM53:FM72" si="44">$G$2*(1-ABS(CQ53))^(1/$G$1)</f>
        <v>#N/A</v>
      </c>
      <c r="FN53" s="33" t="e">
        <f t="shared" ref="FN53" si="45">SUM(DM53:DN53)*EE53+SUM(DO53:DP53)*EF53+(1-DS53)*FM53</f>
        <v>#N/A</v>
      </c>
      <c r="FO53" s="33" t="e">
        <f t="shared" ref="FO53:FO72" si="46">DS53*FN53</f>
        <v>#N/A</v>
      </c>
      <c r="FP53" s="33"/>
      <c r="FQ53" s="33"/>
      <c r="FR53" s="34"/>
      <c r="FS53" s="81"/>
      <c r="FT53" s="82"/>
      <c r="FU53" s="83"/>
      <c r="FV53" s="112">
        <f>FW53</f>
        <v>1</v>
      </c>
      <c r="FW53" s="96">
        <v>1</v>
      </c>
      <c r="FX53" s="96"/>
      <c r="FY53" s="96"/>
      <c r="FZ53" s="96"/>
      <c r="GA53" s="96"/>
      <c r="GB53" s="96">
        <f>SQRT(2*CONVERT(FZ53, "psi", "Pa") / $J$1)</f>
        <v>0</v>
      </c>
      <c r="GC53" s="96" t="e">
        <f>IF(FV53=CQ53,SQRT((2*CONVERT(FZ53,"psi","Pa")-DS53*$J$2*EE53^2)/((1-DS53)*$CM$1*$J$1)), NA())</f>
        <v>#N/A</v>
      </c>
      <c r="GD53" s="96" t="e">
        <f>(1-DS53)*GC53</f>
        <v>#N/A</v>
      </c>
      <c r="GE53" s="112">
        <f>IF(EE53&gt;0, EE53-GC53, 0)</f>
        <v>0</v>
      </c>
    </row>
    <row r="54" spans="1:187" x14ac:dyDescent="0.25">
      <c r="A54" s="111">
        <f>IF('3'!$AC$6="",B54,NA())</f>
        <v>0.9</v>
      </c>
      <c r="B54" s="111">
        <v>0.9</v>
      </c>
      <c r="C54" s="96">
        <v>30</v>
      </c>
      <c r="D54" s="112">
        <v>50000</v>
      </c>
      <c r="E54" s="96"/>
      <c r="F54" s="96"/>
      <c r="G54" s="96"/>
      <c r="H54" s="96"/>
      <c r="I54" s="96"/>
      <c r="J54" s="96"/>
      <c r="K54" s="96"/>
      <c r="L54" s="111"/>
      <c r="M54" s="96"/>
      <c r="N54" s="96"/>
      <c r="O54" s="96"/>
      <c r="P54" s="112"/>
      <c r="Q54" s="111"/>
      <c r="R54" s="96"/>
      <c r="S54" s="96"/>
      <c r="T54" s="96"/>
      <c r="U54" s="96"/>
      <c r="V54" s="112"/>
      <c r="W54" s="96"/>
      <c r="X54" s="96"/>
      <c r="Y54" s="96"/>
      <c r="Z54" s="96"/>
      <c r="AA54" s="96"/>
      <c r="AB54" s="96"/>
      <c r="AC54" s="96"/>
      <c r="AD54" s="111"/>
      <c r="AJ54" s="84"/>
      <c r="AK54" s="113"/>
      <c r="AN54" s="84"/>
      <c r="AT54" s="113"/>
      <c r="AX54" s="84"/>
      <c r="AY54" s="113"/>
      <c r="BD54" s="84"/>
      <c r="BE54" s="147" t="e">
        <f t="shared" ref="BE54:BE62" si="47">AQ54/AO54</f>
        <v>#DIV/0!</v>
      </c>
      <c r="BF54" s="157">
        <f t="shared" ref="BF54:BF72" si="48">I54/C54</f>
        <v>0</v>
      </c>
      <c r="BG54" s="157">
        <f t="shared" ref="BG54:BG72" si="49">J54/C54</f>
        <v>0</v>
      </c>
      <c r="BH54" s="157">
        <f t="shared" ref="BH54:BH72" si="50">K54/C54</f>
        <v>0</v>
      </c>
      <c r="BI54" s="152">
        <f t="shared" ref="BI54:BI72" si="51">(AA54/$E$246-1)^2</f>
        <v>1</v>
      </c>
      <c r="BJ54" s="153">
        <f t="shared" ref="BJ54:BJ72" si="52">(AA54/$G$246-1)^2</f>
        <v>1</v>
      </c>
      <c r="BK54" s="116" t="e">
        <f t="shared" ref="BK54:BK72" si="53">(AB54/$F$246-1)^2</f>
        <v>#DIV/0!</v>
      </c>
      <c r="BL54" s="116">
        <f t="shared" ref="BL54:BL72" si="54">(AB54/$G$246-1)^2</f>
        <v>1</v>
      </c>
      <c r="BM54" s="154">
        <f t="shared" ref="BM54:BM72" si="55">(AC54/$G$246-1)^2</f>
        <v>1</v>
      </c>
      <c r="BN54" s="153">
        <f t="shared" ref="BN54:BN72" si="56">(AH54/$H$246-1)^2</f>
        <v>1</v>
      </c>
      <c r="BO54" s="116" t="e">
        <f t="shared" ref="BO54:BO72" si="57">(AI54/$I$246-1)^2</f>
        <v>#DIV/0!</v>
      </c>
      <c r="BP54" s="153">
        <f t="shared" ref="BP54:BP72" si="58">(AJ54/$J$246-1)^2</f>
        <v>1</v>
      </c>
      <c r="BQ54" s="141" t="e">
        <f t="shared" ref="BQ54:BQ58" si="59">I54/H54</f>
        <v>#DIV/0!</v>
      </c>
      <c r="BR54" s="111">
        <f t="shared" si="37"/>
        <v>0</v>
      </c>
      <c r="BS54" s="96" t="e">
        <f t="shared" ref="BS54:BS72" si="60">6000*AC54/AJ54</f>
        <v>#DIV/0!</v>
      </c>
      <c r="BT54" s="96" t="e">
        <f t="shared" ref="BT54:BT72" si="61">BS54*AC54</f>
        <v>#DIV/0!</v>
      </c>
      <c r="BU54" s="96">
        <f t="shared" si="38"/>
        <v>0</v>
      </c>
      <c r="BV54" s="96"/>
      <c r="BW54" s="96">
        <f t="shared" si="39"/>
        <v>0.68180638083025913</v>
      </c>
      <c r="BX54" s="96">
        <f t="shared" ref="BX54:BX72" si="62">SUM(W54:X54)*AO54+SUM(Y54:Z54)*AP54+(1-AC54)*BW54</f>
        <v>0.68180638083025913</v>
      </c>
      <c r="BY54" s="96">
        <f t="shared" si="41"/>
        <v>0</v>
      </c>
      <c r="BZ54" s="96" t="e">
        <f t="shared" ref="BZ54:BZ72" si="63">(AO54*SUM(W54:X54)/AC54)+(AP54*SUM(Y54:Z54)/AC54)-BX54</f>
        <v>#DIV/0!</v>
      </c>
      <c r="CA54" s="96" t="e">
        <f t="shared" ref="CA54:CA72" si="64">AC54*BZ54</f>
        <v>#DIV/0!</v>
      </c>
      <c r="CB54" s="112" t="e">
        <f t="shared" ref="CB54:CB72" si="65">CA54/(1-AC54)</f>
        <v>#DIV/0!</v>
      </c>
      <c r="CC54" s="113" t="e">
        <f t="shared" ref="CC54:CC72" si="66">M54/L54*100</f>
        <v>#DIV/0!</v>
      </c>
      <c r="CD54" s="13" t="e">
        <f t="shared" ref="CD54:CD72" si="67">N54/L54*100</f>
        <v>#DIV/0!</v>
      </c>
      <c r="CE54" s="84" t="e">
        <f t="shared" ref="CE54:CE72" si="68">O54/L54*100</f>
        <v>#DIV/0!</v>
      </c>
      <c r="CF54" s="112">
        <f t="shared" ref="CF54:CF62" si="69">CG54</f>
        <v>0</v>
      </c>
      <c r="CG54" s="96"/>
      <c r="CH54" s="96"/>
      <c r="CI54" s="96"/>
      <c r="CJ54" s="96"/>
      <c r="CK54" s="96"/>
      <c r="CL54" s="96">
        <f t="shared" ref="CL54:CL62" si="70">SQRT(2*CONVERT(CJ54, "psi", "Pa") / $J$1)</f>
        <v>0</v>
      </c>
      <c r="CM54" s="96" t="e">
        <f t="shared" ref="CM54:CM73" si="71">IF(CF54=A54,SQRT((2*CONVERT(CJ54,"psi","Pa")-AC54*$J$2*AO54^2)/((1-AC54)*$CM$1*$J$1)), NA())</f>
        <v>#N/A</v>
      </c>
      <c r="CN54" s="96" t="e">
        <f t="shared" ref="CN54:CN72" si="72">(1-AC54)*CM54</f>
        <v>#N/A</v>
      </c>
      <c r="CO54" s="112">
        <f t="shared" ref="CO54:CO73" si="73">IF(AO54&gt;0, AO54-CM54, 0)</f>
        <v>0</v>
      </c>
      <c r="CQ54" s="111" t="e">
        <f>IF('3'!$AC$4="",CR54,NA())</f>
        <v>#N/A</v>
      </c>
      <c r="CR54" s="111">
        <v>0.9</v>
      </c>
      <c r="CS54" s="96">
        <v>30</v>
      </c>
      <c r="CT54" s="112">
        <v>50000</v>
      </c>
      <c r="CU54" s="96"/>
      <c r="CV54" s="96"/>
      <c r="CW54" s="96"/>
      <c r="CX54" s="96"/>
      <c r="CY54" s="96"/>
      <c r="CZ54" s="96"/>
      <c r="DA54" s="96"/>
      <c r="DB54" s="111"/>
      <c r="DC54" s="96"/>
      <c r="DD54" s="96"/>
      <c r="DE54" s="96"/>
      <c r="DF54" s="112"/>
      <c r="DG54" s="111"/>
      <c r="DH54" s="96"/>
      <c r="DI54" s="96"/>
      <c r="DJ54" s="96"/>
      <c r="DK54" s="96"/>
      <c r="DL54" s="112"/>
      <c r="DM54" s="96"/>
      <c r="DN54" s="96"/>
      <c r="DO54" s="96"/>
      <c r="DP54" s="96"/>
      <c r="DQ54" s="96"/>
      <c r="DR54" s="96"/>
      <c r="DS54" s="96"/>
      <c r="DT54" s="111"/>
      <c r="DZ54" s="84"/>
      <c r="EA54" s="113"/>
      <c r="ED54" s="84"/>
      <c r="EJ54" s="113"/>
      <c r="EN54" s="84"/>
      <c r="EO54" s="113"/>
      <c r="ET54" s="84"/>
      <c r="EU54" s="147" t="e">
        <f t="shared" ref="EU54:EU62" si="74">EG54/EE54</f>
        <v>#DIV/0!</v>
      </c>
      <c r="EV54" s="157">
        <f t="shared" ref="EV54:EV72" si="75">CY54/CS54</f>
        <v>0</v>
      </c>
      <c r="EW54" s="157">
        <f t="shared" ref="EW54:EW72" si="76">CZ54/CS54</f>
        <v>0</v>
      </c>
      <c r="EX54" s="157">
        <f t="shared" ref="EX54:EX72" si="77">DA54/CS54</f>
        <v>0</v>
      </c>
      <c r="EY54" s="152">
        <f t="shared" ref="EY54:EY72" si="78">(DQ54/$E$246-1)^2</f>
        <v>1</v>
      </c>
      <c r="EZ54" s="153">
        <f t="shared" ref="EZ54:EZ72" si="79">(DQ54/$G$246-1)^2</f>
        <v>1</v>
      </c>
      <c r="FA54" s="116" t="e">
        <f t="shared" ref="FA54:FA72" si="80">(DR54/$F$246-1)^2</f>
        <v>#DIV/0!</v>
      </c>
      <c r="FB54" s="116">
        <f t="shared" ref="FB54:FB72" si="81">(DR54/$G$246-1)^2</f>
        <v>1</v>
      </c>
      <c r="FC54" s="154">
        <f t="shared" ref="FC54:FC72" si="82">(DS54/$G$246-1)^2</f>
        <v>1</v>
      </c>
      <c r="FD54" s="153">
        <f t="shared" ref="FD54:FD72" si="83">(DX54/$H$246-1)^2</f>
        <v>1</v>
      </c>
      <c r="FE54" s="116" t="e">
        <f t="shared" ref="FE54:FE72" si="84">(DY54/$I$246-1)^2</f>
        <v>#DIV/0!</v>
      </c>
      <c r="FF54" s="153">
        <f t="shared" ref="FF54:FF72" si="85">(DZ54/$J$246-1)^2</f>
        <v>1</v>
      </c>
      <c r="FG54" s="141" t="e">
        <f t="shared" ref="FG54:FG58" si="86">CY54/CX54</f>
        <v>#DIV/0!</v>
      </c>
      <c r="FH54" s="111">
        <f t="shared" si="42"/>
        <v>0</v>
      </c>
      <c r="FI54" s="96" t="e">
        <f t="shared" ref="FI54:FI72" si="87">6000*DS54/DZ54</f>
        <v>#DIV/0!</v>
      </c>
      <c r="FJ54" s="96" t="e">
        <f t="shared" ref="FJ54:FJ72" si="88">FI54*DS54</f>
        <v>#DIV/0!</v>
      </c>
      <c r="FK54" s="96">
        <f t="shared" si="43"/>
        <v>0</v>
      </c>
      <c r="FL54" s="96"/>
      <c r="FM54" s="96" t="e">
        <f t="shared" si="44"/>
        <v>#N/A</v>
      </c>
      <c r="FN54" s="96" t="e">
        <f t="shared" ref="FN54:FN72" si="89">SUM(DM54:DN54)*EE54+SUM(DO54:DP54)*EF54+(1-DS54)*FM54</f>
        <v>#N/A</v>
      </c>
      <c r="FO54" s="96" t="e">
        <f t="shared" si="46"/>
        <v>#N/A</v>
      </c>
      <c r="FP54" s="96" t="e">
        <f t="shared" ref="FP54:FP72" si="90">(EE54*SUM(DM54:DN54)/DS54)+(EF54*SUM(DO54:DP54)/DS54)-FN54</f>
        <v>#DIV/0!</v>
      </c>
      <c r="FQ54" s="96" t="e">
        <f t="shared" ref="FQ54:FQ72" si="91">DS54*FP54</f>
        <v>#DIV/0!</v>
      </c>
      <c r="FR54" s="112" t="e">
        <f t="shared" ref="FR54:FR72" si="92">FQ54/(1-DS54)</f>
        <v>#DIV/0!</v>
      </c>
      <c r="FS54" s="113" t="e">
        <f t="shared" ref="FS54:FS72" si="93">DC54/DB54*100</f>
        <v>#DIV/0!</v>
      </c>
      <c r="FT54" s="13" t="e">
        <f t="shared" ref="FT54:FT72" si="94">DD54/DB54*100</f>
        <v>#DIV/0!</v>
      </c>
      <c r="FU54" s="84" t="e">
        <f t="shared" ref="FU54:FU72" si="95">DE54/DB54*100</f>
        <v>#DIV/0!</v>
      </c>
      <c r="FV54" s="112">
        <f t="shared" ref="FV54:FV62" si="96">FW54</f>
        <v>0</v>
      </c>
      <c r="FW54" s="96"/>
      <c r="FX54" s="96"/>
      <c r="FY54" s="96"/>
      <c r="FZ54" s="96"/>
      <c r="GA54" s="96"/>
      <c r="GB54" s="96">
        <f t="shared" ref="GB54:GB62" si="97">SQRT(2*CONVERT(FZ54, "psi", "Pa") / $J$1)</f>
        <v>0</v>
      </c>
      <c r="GC54" s="96" t="e">
        <f t="shared" ref="GC54:GC73" si="98">IF(FV54=CQ54,SQRT((2*CONVERT(FZ54,"psi","Pa")-DS54*$J$2*EE54^2)/((1-DS54)*$CM$1*$J$1)), NA())</f>
        <v>#N/A</v>
      </c>
      <c r="GD54" s="96" t="e">
        <f t="shared" ref="GD54:GD72" si="99">(1-DS54)*GC54</f>
        <v>#N/A</v>
      </c>
      <c r="GE54" s="112">
        <f t="shared" ref="GE54:GE73" si="100">IF(EE54&gt;0, EE54-GC54, 0)</f>
        <v>0</v>
      </c>
    </row>
    <row r="55" spans="1:187" x14ac:dyDescent="0.25">
      <c r="A55" s="111">
        <f>IF('3'!$AC$6="",B55,NA())</f>
        <v>0.8</v>
      </c>
      <c r="B55" s="111">
        <v>0.8</v>
      </c>
      <c r="C55" s="96">
        <v>30</v>
      </c>
      <c r="D55" s="112">
        <v>50000</v>
      </c>
      <c r="E55" s="96"/>
      <c r="F55" s="96"/>
      <c r="G55" s="96"/>
      <c r="H55" s="96"/>
      <c r="I55" s="96"/>
      <c r="J55" s="96"/>
      <c r="K55" s="96"/>
      <c r="L55" s="111"/>
      <c r="M55" s="96"/>
      <c r="N55" s="96"/>
      <c r="O55" s="96"/>
      <c r="P55" s="112"/>
      <c r="Q55" s="111"/>
      <c r="R55" s="96"/>
      <c r="S55" s="96"/>
      <c r="T55" s="96"/>
      <c r="U55" s="96"/>
      <c r="V55" s="112"/>
      <c r="W55" s="96"/>
      <c r="X55" s="96"/>
      <c r="Y55" s="96"/>
      <c r="Z55" s="96"/>
      <c r="AA55" s="96"/>
      <c r="AB55" s="96"/>
      <c r="AC55" s="96"/>
      <c r="AD55" s="111"/>
      <c r="AJ55" s="84"/>
      <c r="AK55" s="113"/>
      <c r="AN55" s="84"/>
      <c r="AT55" s="113"/>
      <c r="AX55" s="84"/>
      <c r="AY55" s="113"/>
      <c r="BD55" s="84"/>
      <c r="BE55" s="147" t="e">
        <f t="shared" si="47"/>
        <v>#DIV/0!</v>
      </c>
      <c r="BF55" s="157">
        <f t="shared" si="48"/>
        <v>0</v>
      </c>
      <c r="BG55" s="157">
        <f t="shared" si="49"/>
        <v>0</v>
      </c>
      <c r="BH55" s="157">
        <f t="shared" si="50"/>
        <v>0</v>
      </c>
      <c r="BI55" s="152">
        <f t="shared" si="51"/>
        <v>1</v>
      </c>
      <c r="BJ55" s="153">
        <f t="shared" si="52"/>
        <v>1</v>
      </c>
      <c r="BK55" s="116" t="e">
        <f t="shared" si="53"/>
        <v>#DIV/0!</v>
      </c>
      <c r="BL55" s="116">
        <f t="shared" si="54"/>
        <v>1</v>
      </c>
      <c r="BM55" s="154">
        <f t="shared" si="55"/>
        <v>1</v>
      </c>
      <c r="BN55" s="153">
        <f t="shared" si="56"/>
        <v>1</v>
      </c>
      <c r="BO55" s="116" t="e">
        <f t="shared" si="57"/>
        <v>#DIV/0!</v>
      </c>
      <c r="BP55" s="153">
        <f t="shared" si="58"/>
        <v>1</v>
      </c>
      <c r="BQ55" s="141" t="e">
        <f t="shared" si="59"/>
        <v>#DIV/0!</v>
      </c>
      <c r="BR55" s="111">
        <f t="shared" si="37"/>
        <v>0</v>
      </c>
      <c r="BS55" s="96" t="e">
        <f t="shared" si="60"/>
        <v>#DIV/0!</v>
      </c>
      <c r="BT55" s="96" t="e">
        <f t="shared" si="61"/>
        <v>#DIV/0!</v>
      </c>
      <c r="BU55" s="96">
        <f t="shared" si="38"/>
        <v>0</v>
      </c>
      <c r="BV55" s="96"/>
      <c r="BW55" s="96">
        <f t="shared" si="39"/>
        <v>0.76384925376347856</v>
      </c>
      <c r="BX55" s="96">
        <f t="shared" si="62"/>
        <v>0.76384925376347856</v>
      </c>
      <c r="BY55" s="96">
        <f t="shared" si="41"/>
        <v>0</v>
      </c>
      <c r="BZ55" s="96" t="e">
        <f t="shared" si="63"/>
        <v>#DIV/0!</v>
      </c>
      <c r="CA55" s="96" t="e">
        <f t="shared" si="64"/>
        <v>#DIV/0!</v>
      </c>
      <c r="CB55" s="112" t="e">
        <f t="shared" si="65"/>
        <v>#DIV/0!</v>
      </c>
      <c r="CC55" s="113" t="e">
        <f t="shared" si="66"/>
        <v>#DIV/0!</v>
      </c>
      <c r="CD55" s="13" t="e">
        <f t="shared" si="67"/>
        <v>#DIV/0!</v>
      </c>
      <c r="CE55" s="84" t="e">
        <f t="shared" si="68"/>
        <v>#DIV/0!</v>
      </c>
      <c r="CF55" s="112">
        <f t="shared" si="69"/>
        <v>0</v>
      </c>
      <c r="CG55" s="111"/>
      <c r="CH55" s="96"/>
      <c r="CI55" s="96"/>
      <c r="CJ55" s="96"/>
      <c r="CK55" s="96"/>
      <c r="CL55" s="96">
        <f t="shared" si="70"/>
        <v>0</v>
      </c>
      <c r="CM55" s="96" t="e">
        <f t="shared" si="71"/>
        <v>#N/A</v>
      </c>
      <c r="CN55" s="96" t="e">
        <f t="shared" si="72"/>
        <v>#N/A</v>
      </c>
      <c r="CO55" s="112">
        <f t="shared" si="73"/>
        <v>0</v>
      </c>
      <c r="CQ55" s="111" t="e">
        <f>IF('3'!$AC$4="",CR55,NA())</f>
        <v>#N/A</v>
      </c>
      <c r="CR55" s="111">
        <v>0.8</v>
      </c>
      <c r="CS55" s="96">
        <v>30</v>
      </c>
      <c r="CT55" s="112">
        <v>50000</v>
      </c>
      <c r="CU55" s="96"/>
      <c r="CV55" s="96"/>
      <c r="CW55" s="96"/>
      <c r="CX55" s="96"/>
      <c r="CY55" s="96"/>
      <c r="CZ55" s="96"/>
      <c r="DA55" s="96"/>
      <c r="DB55" s="111"/>
      <c r="DC55" s="96"/>
      <c r="DD55" s="96"/>
      <c r="DE55" s="96"/>
      <c r="DF55" s="112"/>
      <c r="DG55" s="111"/>
      <c r="DH55" s="96"/>
      <c r="DI55" s="96"/>
      <c r="DJ55" s="96"/>
      <c r="DK55" s="96"/>
      <c r="DL55" s="112"/>
      <c r="DM55" s="96"/>
      <c r="DN55" s="96"/>
      <c r="DO55" s="96"/>
      <c r="DP55" s="96"/>
      <c r="DQ55" s="96"/>
      <c r="DR55" s="96"/>
      <c r="DS55" s="96"/>
      <c r="DT55" s="111"/>
      <c r="DZ55" s="84"/>
      <c r="EA55" s="113"/>
      <c r="ED55" s="84"/>
      <c r="EJ55" s="113"/>
      <c r="EN55" s="84"/>
      <c r="EO55" s="113"/>
      <c r="ET55" s="84"/>
      <c r="EU55" s="147" t="e">
        <f t="shared" si="74"/>
        <v>#DIV/0!</v>
      </c>
      <c r="EV55" s="157">
        <f t="shared" si="75"/>
        <v>0</v>
      </c>
      <c r="EW55" s="157">
        <f t="shared" si="76"/>
        <v>0</v>
      </c>
      <c r="EX55" s="157">
        <f t="shared" si="77"/>
        <v>0</v>
      </c>
      <c r="EY55" s="152">
        <f t="shared" si="78"/>
        <v>1</v>
      </c>
      <c r="EZ55" s="153">
        <f t="shared" si="79"/>
        <v>1</v>
      </c>
      <c r="FA55" s="116" t="e">
        <f t="shared" si="80"/>
        <v>#DIV/0!</v>
      </c>
      <c r="FB55" s="116">
        <f t="shared" si="81"/>
        <v>1</v>
      </c>
      <c r="FC55" s="154">
        <f t="shared" si="82"/>
        <v>1</v>
      </c>
      <c r="FD55" s="153">
        <f t="shared" si="83"/>
        <v>1</v>
      </c>
      <c r="FE55" s="116" t="e">
        <f t="shared" si="84"/>
        <v>#DIV/0!</v>
      </c>
      <c r="FF55" s="153">
        <f t="shared" si="85"/>
        <v>1</v>
      </c>
      <c r="FG55" s="141" t="e">
        <f t="shared" si="86"/>
        <v>#DIV/0!</v>
      </c>
      <c r="FH55" s="111">
        <f t="shared" si="42"/>
        <v>0</v>
      </c>
      <c r="FI55" s="96" t="e">
        <f t="shared" si="87"/>
        <v>#DIV/0!</v>
      </c>
      <c r="FJ55" s="96" t="e">
        <f t="shared" si="88"/>
        <v>#DIV/0!</v>
      </c>
      <c r="FK55" s="96">
        <f t="shared" si="43"/>
        <v>0</v>
      </c>
      <c r="FL55" s="96"/>
      <c r="FM55" s="96" t="e">
        <f t="shared" si="44"/>
        <v>#N/A</v>
      </c>
      <c r="FN55" s="96" t="e">
        <f t="shared" si="89"/>
        <v>#N/A</v>
      </c>
      <c r="FO55" s="96" t="e">
        <f t="shared" si="46"/>
        <v>#N/A</v>
      </c>
      <c r="FP55" s="96" t="e">
        <f t="shared" si="90"/>
        <v>#DIV/0!</v>
      </c>
      <c r="FQ55" s="96" t="e">
        <f t="shared" si="91"/>
        <v>#DIV/0!</v>
      </c>
      <c r="FR55" s="112" t="e">
        <f t="shared" si="92"/>
        <v>#DIV/0!</v>
      </c>
      <c r="FS55" s="113" t="e">
        <f t="shared" si="93"/>
        <v>#DIV/0!</v>
      </c>
      <c r="FT55" s="13" t="e">
        <f t="shared" si="94"/>
        <v>#DIV/0!</v>
      </c>
      <c r="FU55" s="84" t="e">
        <f t="shared" si="95"/>
        <v>#DIV/0!</v>
      </c>
      <c r="FV55" s="112">
        <f t="shared" si="96"/>
        <v>0</v>
      </c>
      <c r="FW55" s="111"/>
      <c r="FX55" s="96"/>
      <c r="FY55" s="96"/>
      <c r="FZ55" s="96"/>
      <c r="GA55" s="96"/>
      <c r="GB55" s="96">
        <f t="shared" si="97"/>
        <v>0</v>
      </c>
      <c r="GC55" s="96" t="e">
        <f t="shared" si="98"/>
        <v>#N/A</v>
      </c>
      <c r="GD55" s="96" t="e">
        <f t="shared" si="99"/>
        <v>#N/A</v>
      </c>
      <c r="GE55" s="112">
        <f t="shared" si="100"/>
        <v>0</v>
      </c>
    </row>
    <row r="56" spans="1:187" x14ac:dyDescent="0.25">
      <c r="A56" s="111">
        <f>IF('3'!$AC$6="",B56,NA())</f>
        <v>0.7</v>
      </c>
      <c r="B56" s="111">
        <v>0.7</v>
      </c>
      <c r="C56" s="96">
        <v>30</v>
      </c>
      <c r="D56" s="112">
        <v>50000</v>
      </c>
      <c r="E56" s="96"/>
      <c r="F56" s="96"/>
      <c r="G56" s="96"/>
      <c r="H56" s="96"/>
      <c r="I56" s="96"/>
      <c r="J56" s="96"/>
      <c r="K56" s="96"/>
      <c r="L56" s="111"/>
      <c r="M56" s="96"/>
      <c r="N56" s="96"/>
      <c r="O56" s="96"/>
      <c r="P56" s="112"/>
      <c r="Q56" s="111"/>
      <c r="R56" s="96"/>
      <c r="S56" s="96"/>
      <c r="T56" s="96"/>
      <c r="U56" s="96"/>
      <c r="V56" s="112"/>
      <c r="W56" s="96"/>
      <c r="X56" s="96"/>
      <c r="Y56" s="96"/>
      <c r="Z56" s="96"/>
      <c r="AA56" s="96"/>
      <c r="AB56" s="96"/>
      <c r="AC56" s="96"/>
      <c r="AD56" s="111"/>
      <c r="AJ56" s="84"/>
      <c r="AK56" s="113"/>
      <c r="AN56" s="84"/>
      <c r="AT56" s="113"/>
      <c r="AX56" s="84"/>
      <c r="AY56" s="113"/>
      <c r="BD56" s="84"/>
      <c r="BE56" s="147" t="e">
        <f t="shared" si="47"/>
        <v>#DIV/0!</v>
      </c>
      <c r="BF56" s="157">
        <f t="shared" si="48"/>
        <v>0</v>
      </c>
      <c r="BG56" s="157">
        <f t="shared" si="49"/>
        <v>0</v>
      </c>
      <c r="BH56" s="157">
        <f t="shared" si="50"/>
        <v>0</v>
      </c>
      <c r="BI56" s="152">
        <f t="shared" si="51"/>
        <v>1</v>
      </c>
      <c r="BJ56" s="153">
        <f t="shared" si="52"/>
        <v>1</v>
      </c>
      <c r="BK56" s="116" t="e">
        <f t="shared" si="53"/>
        <v>#DIV/0!</v>
      </c>
      <c r="BL56" s="116">
        <f t="shared" si="54"/>
        <v>1</v>
      </c>
      <c r="BM56" s="154">
        <f t="shared" si="55"/>
        <v>1</v>
      </c>
      <c r="BN56" s="153">
        <f t="shared" si="56"/>
        <v>1</v>
      </c>
      <c r="BO56" s="116" t="e">
        <f t="shared" si="57"/>
        <v>#DIV/0!</v>
      </c>
      <c r="BP56" s="153">
        <f t="shared" si="58"/>
        <v>1</v>
      </c>
      <c r="BQ56" s="141" t="e">
        <f t="shared" si="59"/>
        <v>#DIV/0!</v>
      </c>
      <c r="BR56" s="111">
        <f t="shared" si="37"/>
        <v>0</v>
      </c>
      <c r="BS56" s="96" t="e">
        <f t="shared" si="60"/>
        <v>#DIV/0!</v>
      </c>
      <c r="BT56" s="96" t="e">
        <f t="shared" si="61"/>
        <v>#DIV/0!</v>
      </c>
      <c r="BU56" s="96">
        <f t="shared" si="38"/>
        <v>0</v>
      </c>
      <c r="BV56" s="96"/>
      <c r="BW56" s="96">
        <f t="shared" si="39"/>
        <v>0.81634468150249617</v>
      </c>
      <c r="BX56" s="96">
        <f t="shared" si="62"/>
        <v>0.81634468150249617</v>
      </c>
      <c r="BY56" s="96">
        <f t="shared" si="41"/>
        <v>0</v>
      </c>
      <c r="BZ56" s="96" t="e">
        <f t="shared" si="63"/>
        <v>#DIV/0!</v>
      </c>
      <c r="CA56" s="96" t="e">
        <f t="shared" si="64"/>
        <v>#DIV/0!</v>
      </c>
      <c r="CB56" s="112" t="e">
        <f t="shared" si="65"/>
        <v>#DIV/0!</v>
      </c>
      <c r="CC56" s="113" t="e">
        <f t="shared" si="66"/>
        <v>#DIV/0!</v>
      </c>
      <c r="CD56" s="13" t="e">
        <f t="shared" si="67"/>
        <v>#DIV/0!</v>
      </c>
      <c r="CE56" s="84" t="e">
        <f t="shared" si="68"/>
        <v>#DIV/0!</v>
      </c>
      <c r="CF56" s="112">
        <f t="shared" si="69"/>
        <v>0</v>
      </c>
      <c r="CG56" s="111"/>
      <c r="CH56" s="96"/>
      <c r="CI56" s="96"/>
      <c r="CJ56" s="96"/>
      <c r="CK56" s="96"/>
      <c r="CL56" s="96">
        <f t="shared" si="70"/>
        <v>0</v>
      </c>
      <c r="CM56" s="96" t="e">
        <f t="shared" si="71"/>
        <v>#N/A</v>
      </c>
      <c r="CN56" s="96" t="e">
        <f t="shared" si="72"/>
        <v>#N/A</v>
      </c>
      <c r="CO56" s="112">
        <f t="shared" si="73"/>
        <v>0</v>
      </c>
      <c r="CQ56" s="111" t="e">
        <f>IF('3'!$AC$4="",CR56,NA())</f>
        <v>#N/A</v>
      </c>
      <c r="CR56" s="111">
        <v>0.7</v>
      </c>
      <c r="CS56" s="96">
        <v>30</v>
      </c>
      <c r="CT56" s="112">
        <v>50000</v>
      </c>
      <c r="CU56" s="96"/>
      <c r="CV56" s="96"/>
      <c r="CW56" s="96"/>
      <c r="CX56" s="96"/>
      <c r="CY56" s="96"/>
      <c r="CZ56" s="96"/>
      <c r="DA56" s="96"/>
      <c r="DB56" s="111"/>
      <c r="DC56" s="96"/>
      <c r="DD56" s="96"/>
      <c r="DE56" s="96"/>
      <c r="DF56" s="112"/>
      <c r="DG56" s="111"/>
      <c r="DH56" s="96"/>
      <c r="DI56" s="96"/>
      <c r="DJ56" s="96"/>
      <c r="DK56" s="96"/>
      <c r="DL56" s="112"/>
      <c r="DM56" s="96"/>
      <c r="DN56" s="96"/>
      <c r="DO56" s="96"/>
      <c r="DP56" s="96"/>
      <c r="DQ56" s="96"/>
      <c r="DR56" s="96"/>
      <c r="DS56" s="96"/>
      <c r="DT56" s="111"/>
      <c r="DZ56" s="84"/>
      <c r="EA56" s="113"/>
      <c r="ED56" s="84"/>
      <c r="EJ56" s="113"/>
      <c r="EN56" s="84"/>
      <c r="EO56" s="113"/>
      <c r="ET56" s="84"/>
      <c r="EU56" s="147" t="e">
        <f t="shared" si="74"/>
        <v>#DIV/0!</v>
      </c>
      <c r="EV56" s="157">
        <f t="shared" si="75"/>
        <v>0</v>
      </c>
      <c r="EW56" s="157">
        <f t="shared" si="76"/>
        <v>0</v>
      </c>
      <c r="EX56" s="157">
        <f t="shared" si="77"/>
        <v>0</v>
      </c>
      <c r="EY56" s="152">
        <f t="shared" si="78"/>
        <v>1</v>
      </c>
      <c r="EZ56" s="153">
        <f t="shared" si="79"/>
        <v>1</v>
      </c>
      <c r="FA56" s="116" t="e">
        <f t="shared" si="80"/>
        <v>#DIV/0!</v>
      </c>
      <c r="FB56" s="116">
        <f t="shared" si="81"/>
        <v>1</v>
      </c>
      <c r="FC56" s="154">
        <f t="shared" si="82"/>
        <v>1</v>
      </c>
      <c r="FD56" s="153">
        <f t="shared" si="83"/>
        <v>1</v>
      </c>
      <c r="FE56" s="116" t="e">
        <f t="shared" si="84"/>
        <v>#DIV/0!</v>
      </c>
      <c r="FF56" s="153">
        <f t="shared" si="85"/>
        <v>1</v>
      </c>
      <c r="FG56" s="141" t="e">
        <f t="shared" si="86"/>
        <v>#DIV/0!</v>
      </c>
      <c r="FH56" s="111">
        <f t="shared" si="42"/>
        <v>0</v>
      </c>
      <c r="FI56" s="96" t="e">
        <f t="shared" si="87"/>
        <v>#DIV/0!</v>
      </c>
      <c r="FJ56" s="96" t="e">
        <f t="shared" si="88"/>
        <v>#DIV/0!</v>
      </c>
      <c r="FK56" s="96">
        <f t="shared" si="43"/>
        <v>0</v>
      </c>
      <c r="FL56" s="96"/>
      <c r="FM56" s="96" t="e">
        <f t="shared" si="44"/>
        <v>#N/A</v>
      </c>
      <c r="FN56" s="96" t="e">
        <f t="shared" si="89"/>
        <v>#N/A</v>
      </c>
      <c r="FO56" s="96" t="e">
        <f t="shared" si="46"/>
        <v>#N/A</v>
      </c>
      <c r="FP56" s="96" t="e">
        <f t="shared" si="90"/>
        <v>#DIV/0!</v>
      </c>
      <c r="FQ56" s="96" t="e">
        <f t="shared" si="91"/>
        <v>#DIV/0!</v>
      </c>
      <c r="FR56" s="112" t="e">
        <f t="shared" si="92"/>
        <v>#DIV/0!</v>
      </c>
      <c r="FS56" s="113" t="e">
        <f t="shared" si="93"/>
        <v>#DIV/0!</v>
      </c>
      <c r="FT56" s="13" t="e">
        <f t="shared" si="94"/>
        <v>#DIV/0!</v>
      </c>
      <c r="FU56" s="84" t="e">
        <f t="shared" si="95"/>
        <v>#DIV/0!</v>
      </c>
      <c r="FV56" s="112">
        <f t="shared" si="96"/>
        <v>0</v>
      </c>
      <c r="FW56" s="111"/>
      <c r="FX56" s="96"/>
      <c r="FY56" s="96"/>
      <c r="FZ56" s="96"/>
      <c r="GA56" s="96"/>
      <c r="GB56" s="96">
        <f t="shared" si="97"/>
        <v>0</v>
      </c>
      <c r="GC56" s="96" t="e">
        <f t="shared" si="98"/>
        <v>#N/A</v>
      </c>
      <c r="GD56" s="96" t="e">
        <f t="shared" si="99"/>
        <v>#N/A</v>
      </c>
      <c r="GE56" s="112">
        <f t="shared" si="100"/>
        <v>0</v>
      </c>
    </row>
    <row r="57" spans="1:187" x14ac:dyDescent="0.25">
      <c r="A57" s="111">
        <f>IF('3'!$AC$6="",B57,NA())</f>
        <v>0.6</v>
      </c>
      <c r="B57" s="111">
        <v>0.6</v>
      </c>
      <c r="C57" s="96">
        <v>30</v>
      </c>
      <c r="D57" s="112">
        <v>50000</v>
      </c>
      <c r="E57" s="96"/>
      <c r="F57" s="96"/>
      <c r="G57" s="96"/>
      <c r="H57" s="96"/>
      <c r="I57" s="96"/>
      <c r="J57" s="96"/>
      <c r="K57" s="96"/>
      <c r="L57" s="111"/>
      <c r="M57" s="96"/>
      <c r="N57" s="96"/>
      <c r="O57" s="96"/>
      <c r="P57" s="112"/>
      <c r="Q57" s="111"/>
      <c r="R57" s="96"/>
      <c r="S57" s="96"/>
      <c r="T57" s="96"/>
      <c r="U57" s="96"/>
      <c r="V57" s="112"/>
      <c r="W57" s="96"/>
      <c r="X57" s="96"/>
      <c r="Y57" s="96"/>
      <c r="Z57" s="96"/>
      <c r="AA57" s="96"/>
      <c r="AB57" s="96"/>
      <c r="AC57" s="96"/>
      <c r="AD57" s="111"/>
      <c r="AJ57" s="84"/>
      <c r="AK57" s="113"/>
      <c r="AN57" s="84"/>
      <c r="AT57" s="113"/>
      <c r="AX57" s="84"/>
      <c r="AY57" s="113"/>
      <c r="BD57" s="84"/>
      <c r="BE57" s="147" t="e">
        <f t="shared" si="47"/>
        <v>#DIV/0!</v>
      </c>
      <c r="BF57" s="157">
        <f t="shared" si="48"/>
        <v>0</v>
      </c>
      <c r="BG57" s="157">
        <f t="shared" si="49"/>
        <v>0</v>
      </c>
      <c r="BH57" s="157">
        <f t="shared" si="50"/>
        <v>0</v>
      </c>
      <c r="BI57" s="152">
        <f t="shared" si="51"/>
        <v>1</v>
      </c>
      <c r="BJ57" s="153">
        <f t="shared" si="52"/>
        <v>1</v>
      </c>
      <c r="BK57" s="116" t="e">
        <f t="shared" si="53"/>
        <v>#DIV/0!</v>
      </c>
      <c r="BL57" s="116">
        <f t="shared" si="54"/>
        <v>1</v>
      </c>
      <c r="BM57" s="154">
        <f t="shared" si="55"/>
        <v>1</v>
      </c>
      <c r="BN57" s="153">
        <f t="shared" si="56"/>
        <v>1</v>
      </c>
      <c r="BO57" s="116" t="e">
        <f t="shared" si="57"/>
        <v>#DIV/0!</v>
      </c>
      <c r="BP57" s="153">
        <f t="shared" si="58"/>
        <v>1</v>
      </c>
      <c r="BQ57" s="141" t="e">
        <f t="shared" si="59"/>
        <v>#DIV/0!</v>
      </c>
      <c r="BR57" s="111">
        <f t="shared" si="37"/>
        <v>0</v>
      </c>
      <c r="BS57" s="96" t="e">
        <f t="shared" si="60"/>
        <v>#DIV/0!</v>
      </c>
      <c r="BT57" s="96" t="e">
        <f t="shared" si="61"/>
        <v>#DIV/0!</v>
      </c>
      <c r="BU57" s="96">
        <f t="shared" si="38"/>
        <v>0</v>
      </c>
      <c r="BV57" s="96"/>
      <c r="BW57" s="96">
        <f t="shared" si="39"/>
        <v>0.85576447930058497</v>
      </c>
      <c r="BX57" s="96">
        <f t="shared" si="62"/>
        <v>0.85576447930058497</v>
      </c>
      <c r="BY57" s="96">
        <f t="shared" si="41"/>
        <v>0</v>
      </c>
      <c r="BZ57" s="96" t="e">
        <f t="shared" si="63"/>
        <v>#DIV/0!</v>
      </c>
      <c r="CA57" s="96" t="e">
        <f t="shared" si="64"/>
        <v>#DIV/0!</v>
      </c>
      <c r="CB57" s="112" t="e">
        <f t="shared" si="65"/>
        <v>#DIV/0!</v>
      </c>
      <c r="CC57" s="113" t="e">
        <f t="shared" si="66"/>
        <v>#DIV/0!</v>
      </c>
      <c r="CD57" s="13" t="e">
        <f t="shared" si="67"/>
        <v>#DIV/0!</v>
      </c>
      <c r="CE57" s="84" t="e">
        <f t="shared" si="68"/>
        <v>#DIV/0!</v>
      </c>
      <c r="CF57" s="112">
        <f t="shared" si="69"/>
        <v>0</v>
      </c>
      <c r="CG57" s="111"/>
      <c r="CH57" s="96"/>
      <c r="CI57" s="96"/>
      <c r="CJ57" s="96"/>
      <c r="CK57" s="96"/>
      <c r="CL57" s="96">
        <f t="shared" si="70"/>
        <v>0</v>
      </c>
      <c r="CM57" s="96" t="e">
        <f t="shared" si="71"/>
        <v>#N/A</v>
      </c>
      <c r="CN57" s="96" t="e">
        <f t="shared" si="72"/>
        <v>#N/A</v>
      </c>
      <c r="CO57" s="112">
        <f t="shared" si="73"/>
        <v>0</v>
      </c>
      <c r="CQ57" s="111" t="e">
        <f>IF('3'!$AC$4="",CR57,NA())</f>
        <v>#N/A</v>
      </c>
      <c r="CR57" s="111">
        <v>0.6</v>
      </c>
      <c r="CS57" s="96">
        <v>30</v>
      </c>
      <c r="CT57" s="112">
        <v>50000</v>
      </c>
      <c r="CU57" s="96"/>
      <c r="CV57" s="96"/>
      <c r="CW57" s="96"/>
      <c r="CX57" s="96"/>
      <c r="CY57" s="96"/>
      <c r="CZ57" s="96"/>
      <c r="DA57" s="96"/>
      <c r="DB57" s="111"/>
      <c r="DC57" s="96"/>
      <c r="DD57" s="96"/>
      <c r="DE57" s="96"/>
      <c r="DF57" s="112"/>
      <c r="DG57" s="111"/>
      <c r="DH57" s="96"/>
      <c r="DI57" s="96"/>
      <c r="DJ57" s="96"/>
      <c r="DK57" s="96"/>
      <c r="DL57" s="112"/>
      <c r="DM57" s="96"/>
      <c r="DN57" s="96"/>
      <c r="DO57" s="96"/>
      <c r="DP57" s="96"/>
      <c r="DQ57" s="96"/>
      <c r="DR57" s="96"/>
      <c r="DS57" s="96"/>
      <c r="DT57" s="111"/>
      <c r="DZ57" s="84"/>
      <c r="EA57" s="113"/>
      <c r="ED57" s="84"/>
      <c r="EJ57" s="113"/>
      <c r="EN57" s="84"/>
      <c r="EO57" s="113"/>
      <c r="ET57" s="84"/>
      <c r="EU57" s="147" t="e">
        <f t="shared" si="74"/>
        <v>#DIV/0!</v>
      </c>
      <c r="EV57" s="157">
        <f t="shared" si="75"/>
        <v>0</v>
      </c>
      <c r="EW57" s="157">
        <f t="shared" si="76"/>
        <v>0</v>
      </c>
      <c r="EX57" s="157">
        <f t="shared" si="77"/>
        <v>0</v>
      </c>
      <c r="EY57" s="152">
        <f t="shared" si="78"/>
        <v>1</v>
      </c>
      <c r="EZ57" s="153">
        <f t="shared" si="79"/>
        <v>1</v>
      </c>
      <c r="FA57" s="116" t="e">
        <f t="shared" si="80"/>
        <v>#DIV/0!</v>
      </c>
      <c r="FB57" s="116">
        <f t="shared" si="81"/>
        <v>1</v>
      </c>
      <c r="FC57" s="154">
        <f t="shared" si="82"/>
        <v>1</v>
      </c>
      <c r="FD57" s="153">
        <f t="shared" si="83"/>
        <v>1</v>
      </c>
      <c r="FE57" s="116" t="e">
        <f t="shared" si="84"/>
        <v>#DIV/0!</v>
      </c>
      <c r="FF57" s="153">
        <f t="shared" si="85"/>
        <v>1</v>
      </c>
      <c r="FG57" s="141" t="e">
        <f t="shared" si="86"/>
        <v>#DIV/0!</v>
      </c>
      <c r="FH57" s="111">
        <f t="shared" si="42"/>
        <v>0</v>
      </c>
      <c r="FI57" s="96" t="e">
        <f t="shared" si="87"/>
        <v>#DIV/0!</v>
      </c>
      <c r="FJ57" s="96" t="e">
        <f t="shared" si="88"/>
        <v>#DIV/0!</v>
      </c>
      <c r="FK57" s="96">
        <f t="shared" si="43"/>
        <v>0</v>
      </c>
      <c r="FL57" s="96"/>
      <c r="FM57" s="96" t="e">
        <f t="shared" si="44"/>
        <v>#N/A</v>
      </c>
      <c r="FN57" s="96" t="e">
        <f t="shared" si="89"/>
        <v>#N/A</v>
      </c>
      <c r="FO57" s="96" t="e">
        <f t="shared" si="46"/>
        <v>#N/A</v>
      </c>
      <c r="FP57" s="96" t="e">
        <f t="shared" si="90"/>
        <v>#DIV/0!</v>
      </c>
      <c r="FQ57" s="96" t="e">
        <f t="shared" si="91"/>
        <v>#DIV/0!</v>
      </c>
      <c r="FR57" s="112" t="e">
        <f t="shared" si="92"/>
        <v>#DIV/0!</v>
      </c>
      <c r="FS57" s="113" t="e">
        <f t="shared" si="93"/>
        <v>#DIV/0!</v>
      </c>
      <c r="FT57" s="13" t="e">
        <f t="shared" si="94"/>
        <v>#DIV/0!</v>
      </c>
      <c r="FU57" s="84" t="e">
        <f t="shared" si="95"/>
        <v>#DIV/0!</v>
      </c>
      <c r="FV57" s="112">
        <f t="shared" si="96"/>
        <v>0</v>
      </c>
      <c r="FW57" s="111"/>
      <c r="FX57" s="96"/>
      <c r="FY57" s="96"/>
      <c r="FZ57" s="96"/>
      <c r="GA57" s="96"/>
      <c r="GB57" s="96">
        <f t="shared" si="97"/>
        <v>0</v>
      </c>
      <c r="GC57" s="96" t="e">
        <f t="shared" si="98"/>
        <v>#N/A</v>
      </c>
      <c r="GD57" s="96" t="e">
        <f t="shared" si="99"/>
        <v>#N/A</v>
      </c>
      <c r="GE57" s="112">
        <f t="shared" si="100"/>
        <v>0</v>
      </c>
    </row>
    <row r="58" spans="1:187" x14ac:dyDescent="0.25">
      <c r="A58" s="111">
        <f>IF('3'!$AC$6="",B58,NA())</f>
        <v>0.5</v>
      </c>
      <c r="B58" s="111">
        <v>0.5</v>
      </c>
      <c r="C58" s="96">
        <v>30</v>
      </c>
      <c r="D58" s="112">
        <v>50000</v>
      </c>
      <c r="E58" s="96"/>
      <c r="F58" s="96"/>
      <c r="G58" s="96"/>
      <c r="H58" s="96"/>
      <c r="I58" s="96"/>
      <c r="J58" s="96"/>
      <c r="K58" s="96"/>
      <c r="L58" s="111"/>
      <c r="M58" s="96"/>
      <c r="N58" s="96"/>
      <c r="O58" s="96"/>
      <c r="P58" s="112"/>
      <c r="Q58" s="111"/>
      <c r="R58" s="96"/>
      <c r="S58" s="96"/>
      <c r="T58" s="96"/>
      <c r="U58" s="96"/>
      <c r="V58" s="112"/>
      <c r="W58" s="96"/>
      <c r="X58" s="96"/>
      <c r="Y58" s="96"/>
      <c r="Z58" s="96"/>
      <c r="AA58" s="96"/>
      <c r="AB58" s="96"/>
      <c r="AC58" s="96"/>
      <c r="AD58" s="111"/>
      <c r="AJ58" s="84"/>
      <c r="AK58" s="113"/>
      <c r="AN58" s="84"/>
      <c r="AT58" s="113"/>
      <c r="AX58" s="84"/>
      <c r="AY58" s="113"/>
      <c r="BD58" s="84"/>
      <c r="BE58" s="147" t="e">
        <f t="shared" si="47"/>
        <v>#DIV/0!</v>
      </c>
      <c r="BF58" s="157">
        <f t="shared" si="48"/>
        <v>0</v>
      </c>
      <c r="BG58" s="157">
        <f t="shared" si="49"/>
        <v>0</v>
      </c>
      <c r="BH58" s="157">
        <f t="shared" si="50"/>
        <v>0</v>
      </c>
      <c r="BI58" s="152">
        <f t="shared" si="51"/>
        <v>1</v>
      </c>
      <c r="BJ58" s="153">
        <f t="shared" si="52"/>
        <v>1</v>
      </c>
      <c r="BK58" s="116" t="e">
        <f t="shared" si="53"/>
        <v>#DIV/0!</v>
      </c>
      <c r="BL58" s="116">
        <f t="shared" si="54"/>
        <v>1</v>
      </c>
      <c r="BM58" s="154">
        <f t="shared" si="55"/>
        <v>1</v>
      </c>
      <c r="BN58" s="153">
        <f t="shared" si="56"/>
        <v>1</v>
      </c>
      <c r="BO58" s="116" t="e">
        <f t="shared" si="57"/>
        <v>#DIV/0!</v>
      </c>
      <c r="BP58" s="153">
        <f t="shared" si="58"/>
        <v>1</v>
      </c>
      <c r="BQ58" s="141" t="e">
        <f t="shared" si="59"/>
        <v>#DIV/0!</v>
      </c>
      <c r="BR58" s="111">
        <f t="shared" si="37"/>
        <v>0</v>
      </c>
      <c r="BS58" s="96" t="e">
        <f t="shared" si="60"/>
        <v>#DIV/0!</v>
      </c>
      <c r="BT58" s="96" t="e">
        <f t="shared" si="61"/>
        <v>#DIV/0!</v>
      </c>
      <c r="BU58" s="96">
        <f t="shared" si="38"/>
        <v>0</v>
      </c>
      <c r="BV58" s="96"/>
      <c r="BW58" s="96">
        <f t="shared" si="39"/>
        <v>0.88764704592069232</v>
      </c>
      <c r="BX58" s="96">
        <f t="shared" si="62"/>
        <v>0.88764704592069232</v>
      </c>
      <c r="BY58" s="96">
        <f t="shared" si="41"/>
        <v>0</v>
      </c>
      <c r="BZ58" s="96" t="e">
        <f t="shared" si="63"/>
        <v>#DIV/0!</v>
      </c>
      <c r="CA58" s="96" t="e">
        <f t="shared" si="64"/>
        <v>#DIV/0!</v>
      </c>
      <c r="CB58" s="112" t="e">
        <f t="shared" si="65"/>
        <v>#DIV/0!</v>
      </c>
      <c r="CC58" s="113" t="e">
        <f t="shared" si="66"/>
        <v>#DIV/0!</v>
      </c>
      <c r="CD58" s="13" t="e">
        <f t="shared" si="67"/>
        <v>#DIV/0!</v>
      </c>
      <c r="CE58" s="84" t="e">
        <f t="shared" si="68"/>
        <v>#DIV/0!</v>
      </c>
      <c r="CF58" s="112">
        <f t="shared" si="69"/>
        <v>0</v>
      </c>
      <c r="CG58" s="111"/>
      <c r="CH58" s="96"/>
      <c r="CI58" s="96"/>
      <c r="CJ58" s="96"/>
      <c r="CK58" s="96"/>
      <c r="CL58" s="96">
        <f t="shared" si="70"/>
        <v>0</v>
      </c>
      <c r="CM58" s="96" t="e">
        <f t="shared" si="71"/>
        <v>#N/A</v>
      </c>
      <c r="CN58" s="96" t="e">
        <f t="shared" si="72"/>
        <v>#N/A</v>
      </c>
      <c r="CO58" s="112">
        <f t="shared" si="73"/>
        <v>0</v>
      </c>
      <c r="CQ58" s="111" t="e">
        <f>IF('3'!$AC$4="",CR58,NA())</f>
        <v>#N/A</v>
      </c>
      <c r="CR58" s="111">
        <v>0.5</v>
      </c>
      <c r="CS58" s="96">
        <v>30</v>
      </c>
      <c r="CT58" s="112">
        <v>50000</v>
      </c>
      <c r="CU58" s="96"/>
      <c r="CV58" s="96"/>
      <c r="CW58" s="96"/>
      <c r="CX58" s="96"/>
      <c r="CY58" s="96"/>
      <c r="CZ58" s="96"/>
      <c r="DA58" s="96"/>
      <c r="DB58" s="111"/>
      <c r="DC58" s="96"/>
      <c r="DD58" s="96"/>
      <c r="DE58" s="96"/>
      <c r="DF58" s="112"/>
      <c r="DG58" s="111"/>
      <c r="DH58" s="96"/>
      <c r="DI58" s="96"/>
      <c r="DJ58" s="96"/>
      <c r="DK58" s="96"/>
      <c r="DL58" s="112"/>
      <c r="DM58" s="96"/>
      <c r="DN58" s="96"/>
      <c r="DO58" s="96"/>
      <c r="DP58" s="96"/>
      <c r="DQ58" s="96"/>
      <c r="DR58" s="96"/>
      <c r="DS58" s="96"/>
      <c r="DT58" s="111"/>
      <c r="DZ58" s="84"/>
      <c r="EA58" s="113"/>
      <c r="ED58" s="84"/>
      <c r="EJ58" s="113"/>
      <c r="EN58" s="84"/>
      <c r="EO58" s="113"/>
      <c r="ET58" s="84"/>
      <c r="EU58" s="147" t="e">
        <f t="shared" si="74"/>
        <v>#DIV/0!</v>
      </c>
      <c r="EV58" s="157">
        <f t="shared" si="75"/>
        <v>0</v>
      </c>
      <c r="EW58" s="157">
        <f t="shared" si="76"/>
        <v>0</v>
      </c>
      <c r="EX58" s="157">
        <f t="shared" si="77"/>
        <v>0</v>
      </c>
      <c r="EY58" s="152">
        <f t="shared" si="78"/>
        <v>1</v>
      </c>
      <c r="EZ58" s="153">
        <f t="shared" si="79"/>
        <v>1</v>
      </c>
      <c r="FA58" s="116" t="e">
        <f t="shared" si="80"/>
        <v>#DIV/0!</v>
      </c>
      <c r="FB58" s="116">
        <f t="shared" si="81"/>
        <v>1</v>
      </c>
      <c r="FC58" s="154">
        <f t="shared" si="82"/>
        <v>1</v>
      </c>
      <c r="FD58" s="153">
        <f t="shared" si="83"/>
        <v>1</v>
      </c>
      <c r="FE58" s="116" t="e">
        <f t="shared" si="84"/>
        <v>#DIV/0!</v>
      </c>
      <c r="FF58" s="153">
        <f t="shared" si="85"/>
        <v>1</v>
      </c>
      <c r="FG58" s="141" t="e">
        <f t="shared" si="86"/>
        <v>#DIV/0!</v>
      </c>
      <c r="FH58" s="111">
        <f t="shared" si="42"/>
        <v>0</v>
      </c>
      <c r="FI58" s="96" t="e">
        <f t="shared" si="87"/>
        <v>#DIV/0!</v>
      </c>
      <c r="FJ58" s="96" t="e">
        <f t="shared" si="88"/>
        <v>#DIV/0!</v>
      </c>
      <c r="FK58" s="96">
        <f t="shared" si="43"/>
        <v>0</v>
      </c>
      <c r="FL58" s="96"/>
      <c r="FM58" s="96" t="e">
        <f t="shared" si="44"/>
        <v>#N/A</v>
      </c>
      <c r="FN58" s="96" t="e">
        <f t="shared" si="89"/>
        <v>#N/A</v>
      </c>
      <c r="FO58" s="96" t="e">
        <f t="shared" si="46"/>
        <v>#N/A</v>
      </c>
      <c r="FP58" s="96" t="e">
        <f t="shared" si="90"/>
        <v>#DIV/0!</v>
      </c>
      <c r="FQ58" s="96" t="e">
        <f t="shared" si="91"/>
        <v>#DIV/0!</v>
      </c>
      <c r="FR58" s="112" t="e">
        <f t="shared" si="92"/>
        <v>#DIV/0!</v>
      </c>
      <c r="FS58" s="113" t="e">
        <f t="shared" si="93"/>
        <v>#DIV/0!</v>
      </c>
      <c r="FT58" s="13" t="e">
        <f t="shared" si="94"/>
        <v>#DIV/0!</v>
      </c>
      <c r="FU58" s="84" t="e">
        <f t="shared" si="95"/>
        <v>#DIV/0!</v>
      </c>
      <c r="FV58" s="112">
        <f t="shared" si="96"/>
        <v>0</v>
      </c>
      <c r="FW58" s="111"/>
      <c r="FX58" s="96"/>
      <c r="FY58" s="96"/>
      <c r="FZ58" s="96"/>
      <c r="GA58" s="96"/>
      <c r="GB58" s="96">
        <f t="shared" si="97"/>
        <v>0</v>
      </c>
      <c r="GC58" s="96" t="e">
        <f t="shared" si="98"/>
        <v>#N/A</v>
      </c>
      <c r="GD58" s="96" t="e">
        <f t="shared" si="99"/>
        <v>#N/A</v>
      </c>
      <c r="GE58" s="112">
        <f t="shared" si="100"/>
        <v>0</v>
      </c>
    </row>
    <row r="59" spans="1:187" x14ac:dyDescent="0.25">
      <c r="A59" s="111">
        <f>IF('3'!$AC$6="",B59,NA())</f>
        <v>0.4</v>
      </c>
      <c r="B59" s="111">
        <v>0.4</v>
      </c>
      <c r="C59" s="96">
        <v>30</v>
      </c>
      <c r="D59" s="112">
        <v>50000</v>
      </c>
      <c r="E59" s="96"/>
      <c r="F59" s="96"/>
      <c r="G59" s="96"/>
      <c r="H59" s="96"/>
      <c r="I59" s="96"/>
      <c r="J59" s="96"/>
      <c r="K59" s="96"/>
      <c r="L59" s="111"/>
      <c r="M59" s="96"/>
      <c r="N59" s="96"/>
      <c r="O59" s="96"/>
      <c r="P59" s="112"/>
      <c r="Q59" s="111"/>
      <c r="R59" s="96"/>
      <c r="S59" s="96"/>
      <c r="T59" s="96"/>
      <c r="U59" s="96"/>
      <c r="V59" s="112"/>
      <c r="W59" s="96"/>
      <c r="X59" s="96"/>
      <c r="Y59" s="96"/>
      <c r="Z59" s="96"/>
      <c r="AA59" s="96"/>
      <c r="AB59" s="96"/>
      <c r="AC59" s="96"/>
      <c r="AD59" s="111"/>
      <c r="AJ59" s="84"/>
      <c r="AK59" s="113"/>
      <c r="AN59" s="84"/>
      <c r="AT59" s="113"/>
      <c r="AX59" s="84"/>
      <c r="AY59" s="113"/>
      <c r="BD59" s="84"/>
      <c r="BE59" s="147" t="e">
        <f t="shared" si="47"/>
        <v>#DIV/0!</v>
      </c>
      <c r="BF59" s="157">
        <f t="shared" si="48"/>
        <v>0</v>
      </c>
      <c r="BG59" s="157">
        <f t="shared" si="49"/>
        <v>0</v>
      </c>
      <c r="BH59" s="157">
        <f t="shared" si="50"/>
        <v>0</v>
      </c>
      <c r="BI59" s="152">
        <f t="shared" si="51"/>
        <v>1</v>
      </c>
      <c r="BJ59" s="153">
        <f t="shared" si="52"/>
        <v>1</v>
      </c>
      <c r="BK59" s="116" t="e">
        <f t="shared" si="53"/>
        <v>#DIV/0!</v>
      </c>
      <c r="BL59" s="116">
        <f t="shared" si="54"/>
        <v>1</v>
      </c>
      <c r="BM59" s="154">
        <f t="shared" si="55"/>
        <v>1</v>
      </c>
      <c r="BN59" s="153">
        <f t="shared" si="56"/>
        <v>1</v>
      </c>
      <c r="BO59" s="116" t="e">
        <f t="shared" si="57"/>
        <v>#DIV/0!</v>
      </c>
      <c r="BP59" s="153">
        <f t="shared" si="58"/>
        <v>1</v>
      </c>
      <c r="BQ59" s="141"/>
      <c r="BR59" s="111">
        <f t="shared" si="37"/>
        <v>0</v>
      </c>
      <c r="BS59" s="96" t="e">
        <f t="shared" si="60"/>
        <v>#DIV/0!</v>
      </c>
      <c r="BT59" s="96" t="e">
        <f t="shared" si="61"/>
        <v>#DIV/0!</v>
      </c>
      <c r="BU59" s="96">
        <f t="shared" si="38"/>
        <v>0</v>
      </c>
      <c r="BV59" s="96"/>
      <c r="BW59" s="96">
        <f t="shared" si="39"/>
        <v>0.91457676741031746</v>
      </c>
      <c r="BX59" s="96">
        <f t="shared" si="62"/>
        <v>0.91457676741031746</v>
      </c>
      <c r="BY59" s="96">
        <f t="shared" si="41"/>
        <v>0</v>
      </c>
      <c r="BZ59" s="96" t="e">
        <f t="shared" si="63"/>
        <v>#DIV/0!</v>
      </c>
      <c r="CA59" s="96" t="e">
        <f t="shared" si="64"/>
        <v>#DIV/0!</v>
      </c>
      <c r="CB59" s="112" t="e">
        <f t="shared" si="65"/>
        <v>#DIV/0!</v>
      </c>
      <c r="CC59" s="113" t="e">
        <f t="shared" si="66"/>
        <v>#DIV/0!</v>
      </c>
      <c r="CD59" s="13" t="e">
        <f t="shared" si="67"/>
        <v>#DIV/0!</v>
      </c>
      <c r="CE59" s="84" t="e">
        <f t="shared" si="68"/>
        <v>#DIV/0!</v>
      </c>
      <c r="CF59" s="112">
        <f t="shared" si="69"/>
        <v>0</v>
      </c>
      <c r="CG59" s="111"/>
      <c r="CH59" s="96"/>
      <c r="CI59" s="96"/>
      <c r="CJ59" s="96"/>
      <c r="CK59" s="96"/>
      <c r="CL59" s="96">
        <f t="shared" si="70"/>
        <v>0</v>
      </c>
      <c r="CM59" s="96" t="e">
        <f t="shared" si="71"/>
        <v>#N/A</v>
      </c>
      <c r="CN59" s="96" t="e">
        <f t="shared" si="72"/>
        <v>#N/A</v>
      </c>
      <c r="CO59" s="112">
        <f t="shared" si="73"/>
        <v>0</v>
      </c>
      <c r="CQ59" s="111" t="e">
        <f>IF('3'!$AC$4="",CR59,NA())</f>
        <v>#N/A</v>
      </c>
      <c r="CR59" s="111">
        <v>0.4</v>
      </c>
      <c r="CS59" s="96">
        <v>30</v>
      </c>
      <c r="CT59" s="112">
        <v>50000</v>
      </c>
      <c r="CU59" s="96"/>
      <c r="CV59" s="96"/>
      <c r="CW59" s="96"/>
      <c r="CX59" s="96"/>
      <c r="CY59" s="96"/>
      <c r="CZ59" s="96"/>
      <c r="DA59" s="96"/>
      <c r="DB59" s="111"/>
      <c r="DC59" s="96"/>
      <c r="DD59" s="96"/>
      <c r="DE59" s="96"/>
      <c r="DF59" s="112"/>
      <c r="DG59" s="111"/>
      <c r="DH59" s="96"/>
      <c r="DI59" s="96"/>
      <c r="DJ59" s="96"/>
      <c r="DK59" s="96"/>
      <c r="DL59" s="112"/>
      <c r="DM59" s="96"/>
      <c r="DN59" s="96"/>
      <c r="DO59" s="96"/>
      <c r="DP59" s="96"/>
      <c r="DQ59" s="96"/>
      <c r="DR59" s="96"/>
      <c r="DS59" s="96"/>
      <c r="DT59" s="111"/>
      <c r="DZ59" s="84"/>
      <c r="EA59" s="113"/>
      <c r="ED59" s="84"/>
      <c r="EJ59" s="113"/>
      <c r="EN59" s="84"/>
      <c r="EO59" s="113"/>
      <c r="ET59" s="84"/>
      <c r="EU59" s="147" t="e">
        <f t="shared" si="74"/>
        <v>#DIV/0!</v>
      </c>
      <c r="EV59" s="157">
        <f t="shared" si="75"/>
        <v>0</v>
      </c>
      <c r="EW59" s="157">
        <f t="shared" si="76"/>
        <v>0</v>
      </c>
      <c r="EX59" s="157">
        <f t="shared" si="77"/>
        <v>0</v>
      </c>
      <c r="EY59" s="152">
        <f t="shared" si="78"/>
        <v>1</v>
      </c>
      <c r="EZ59" s="153">
        <f t="shared" si="79"/>
        <v>1</v>
      </c>
      <c r="FA59" s="116" t="e">
        <f t="shared" si="80"/>
        <v>#DIV/0!</v>
      </c>
      <c r="FB59" s="116">
        <f t="shared" si="81"/>
        <v>1</v>
      </c>
      <c r="FC59" s="154">
        <f t="shared" si="82"/>
        <v>1</v>
      </c>
      <c r="FD59" s="153">
        <f t="shared" si="83"/>
        <v>1</v>
      </c>
      <c r="FE59" s="116" t="e">
        <f t="shared" si="84"/>
        <v>#DIV/0!</v>
      </c>
      <c r="FF59" s="153">
        <f t="shared" si="85"/>
        <v>1</v>
      </c>
      <c r="FG59" s="141"/>
      <c r="FH59" s="111">
        <f t="shared" si="42"/>
        <v>0</v>
      </c>
      <c r="FI59" s="96" t="e">
        <f t="shared" si="87"/>
        <v>#DIV/0!</v>
      </c>
      <c r="FJ59" s="96" t="e">
        <f t="shared" si="88"/>
        <v>#DIV/0!</v>
      </c>
      <c r="FK59" s="96">
        <f t="shared" si="43"/>
        <v>0</v>
      </c>
      <c r="FL59" s="96"/>
      <c r="FM59" s="96" t="e">
        <f t="shared" si="44"/>
        <v>#N/A</v>
      </c>
      <c r="FN59" s="96" t="e">
        <f t="shared" si="89"/>
        <v>#N/A</v>
      </c>
      <c r="FO59" s="96" t="e">
        <f t="shared" si="46"/>
        <v>#N/A</v>
      </c>
      <c r="FP59" s="96" t="e">
        <f t="shared" si="90"/>
        <v>#DIV/0!</v>
      </c>
      <c r="FQ59" s="96" t="e">
        <f t="shared" si="91"/>
        <v>#DIV/0!</v>
      </c>
      <c r="FR59" s="112" t="e">
        <f t="shared" si="92"/>
        <v>#DIV/0!</v>
      </c>
      <c r="FS59" s="113" t="e">
        <f t="shared" si="93"/>
        <v>#DIV/0!</v>
      </c>
      <c r="FT59" s="13" t="e">
        <f t="shared" si="94"/>
        <v>#DIV/0!</v>
      </c>
      <c r="FU59" s="84" t="e">
        <f t="shared" si="95"/>
        <v>#DIV/0!</v>
      </c>
      <c r="FV59" s="112">
        <f t="shared" si="96"/>
        <v>0</v>
      </c>
      <c r="FW59" s="111"/>
      <c r="FX59" s="96"/>
      <c r="FY59" s="96"/>
      <c r="FZ59" s="96"/>
      <c r="GA59" s="96"/>
      <c r="GB59" s="96">
        <f t="shared" si="97"/>
        <v>0</v>
      </c>
      <c r="GC59" s="96" t="e">
        <f t="shared" si="98"/>
        <v>#N/A</v>
      </c>
      <c r="GD59" s="96" t="e">
        <f t="shared" si="99"/>
        <v>#N/A</v>
      </c>
      <c r="GE59" s="112">
        <f t="shared" si="100"/>
        <v>0</v>
      </c>
    </row>
    <row r="60" spans="1:187" x14ac:dyDescent="0.25">
      <c r="A60" s="111">
        <f>IF('3'!$AC$6="",B60,NA())</f>
        <v>0.3</v>
      </c>
      <c r="B60" s="111">
        <v>0.3</v>
      </c>
      <c r="C60" s="96">
        <v>30</v>
      </c>
      <c r="D60" s="112">
        <v>50000</v>
      </c>
      <c r="E60" s="96"/>
      <c r="F60" s="96"/>
      <c r="G60" s="96"/>
      <c r="H60" s="96"/>
      <c r="I60" s="96"/>
      <c r="J60" s="96"/>
      <c r="K60" s="96"/>
      <c r="L60" s="111"/>
      <c r="M60" s="96"/>
      <c r="N60" s="96"/>
      <c r="O60" s="96"/>
      <c r="P60" s="112"/>
      <c r="Q60" s="111"/>
      <c r="R60" s="96"/>
      <c r="S60" s="96"/>
      <c r="T60" s="96"/>
      <c r="U60" s="96"/>
      <c r="V60" s="112"/>
      <c r="W60" s="96"/>
      <c r="X60" s="96"/>
      <c r="Y60" s="96"/>
      <c r="Z60" s="96"/>
      <c r="AA60" s="96"/>
      <c r="AB60" s="96"/>
      <c r="AC60" s="96"/>
      <c r="AD60" s="111"/>
      <c r="AJ60" s="84"/>
      <c r="AK60" s="113"/>
      <c r="AN60" s="84"/>
      <c r="AT60" s="113"/>
      <c r="AX60" s="84"/>
      <c r="AY60" s="113"/>
      <c r="BD60" s="84"/>
      <c r="BE60" s="147" t="e">
        <f t="shared" si="47"/>
        <v>#DIV/0!</v>
      </c>
      <c r="BF60" s="157">
        <f t="shared" si="48"/>
        <v>0</v>
      </c>
      <c r="BG60" s="157">
        <f t="shared" si="49"/>
        <v>0</v>
      </c>
      <c r="BH60" s="157">
        <f t="shared" si="50"/>
        <v>0</v>
      </c>
      <c r="BI60" s="152">
        <f t="shared" si="51"/>
        <v>1</v>
      </c>
      <c r="BJ60" s="153">
        <f t="shared" si="52"/>
        <v>1</v>
      </c>
      <c r="BK60" s="116" t="e">
        <f t="shared" si="53"/>
        <v>#DIV/0!</v>
      </c>
      <c r="BL60" s="116">
        <f t="shared" si="54"/>
        <v>1</v>
      </c>
      <c r="BM60" s="154">
        <f t="shared" si="55"/>
        <v>1</v>
      </c>
      <c r="BN60" s="153">
        <f t="shared" si="56"/>
        <v>1</v>
      </c>
      <c r="BO60" s="116" t="e">
        <f t="shared" si="57"/>
        <v>#DIV/0!</v>
      </c>
      <c r="BP60" s="153">
        <f t="shared" si="58"/>
        <v>1</v>
      </c>
      <c r="BQ60" s="141"/>
      <c r="BR60" s="111">
        <f t="shared" si="37"/>
        <v>0</v>
      </c>
      <c r="BS60" s="96" t="e">
        <f t="shared" si="60"/>
        <v>#DIV/0!</v>
      </c>
      <c r="BT60" s="96" t="e">
        <f t="shared" si="61"/>
        <v>#DIV/0!</v>
      </c>
      <c r="BU60" s="96">
        <f t="shared" si="38"/>
        <v>0</v>
      </c>
      <c r="BV60" s="96"/>
      <c r="BW60" s="96">
        <f t="shared" si="39"/>
        <v>0.93798193514099792</v>
      </c>
      <c r="BX60" s="96">
        <f t="shared" si="62"/>
        <v>0.93798193514099792</v>
      </c>
      <c r="BY60" s="96">
        <f t="shared" si="41"/>
        <v>0</v>
      </c>
      <c r="BZ60" s="96" t="e">
        <f t="shared" si="63"/>
        <v>#DIV/0!</v>
      </c>
      <c r="CA60" s="96" t="e">
        <f t="shared" si="64"/>
        <v>#DIV/0!</v>
      </c>
      <c r="CB60" s="112" t="e">
        <f t="shared" si="65"/>
        <v>#DIV/0!</v>
      </c>
      <c r="CC60" s="113" t="e">
        <f t="shared" si="66"/>
        <v>#DIV/0!</v>
      </c>
      <c r="CD60" s="13" t="e">
        <f t="shared" si="67"/>
        <v>#DIV/0!</v>
      </c>
      <c r="CE60" s="84" t="e">
        <f t="shared" si="68"/>
        <v>#DIV/0!</v>
      </c>
      <c r="CF60" s="112">
        <f t="shared" si="69"/>
        <v>0</v>
      </c>
      <c r="CG60" s="111"/>
      <c r="CH60" s="96"/>
      <c r="CI60" s="96"/>
      <c r="CJ60" s="96"/>
      <c r="CK60" s="96"/>
      <c r="CL60" s="96">
        <f t="shared" si="70"/>
        <v>0</v>
      </c>
      <c r="CM60" s="96" t="e">
        <f t="shared" si="71"/>
        <v>#N/A</v>
      </c>
      <c r="CN60" s="96" t="e">
        <f t="shared" si="72"/>
        <v>#N/A</v>
      </c>
      <c r="CO60" s="112">
        <f t="shared" si="73"/>
        <v>0</v>
      </c>
      <c r="CQ60" s="111" t="e">
        <f>IF('3'!$AC$4="",CR60,NA())</f>
        <v>#N/A</v>
      </c>
      <c r="CR60" s="111">
        <v>0.3</v>
      </c>
      <c r="CS60" s="96">
        <v>30</v>
      </c>
      <c r="CT60" s="112">
        <v>50000</v>
      </c>
      <c r="CU60" s="96"/>
      <c r="CV60" s="96"/>
      <c r="CW60" s="96"/>
      <c r="CX60" s="96"/>
      <c r="CY60" s="96"/>
      <c r="CZ60" s="96"/>
      <c r="DA60" s="96"/>
      <c r="DB60" s="111"/>
      <c r="DC60" s="96"/>
      <c r="DD60" s="96"/>
      <c r="DE60" s="96"/>
      <c r="DF60" s="112"/>
      <c r="DG60" s="111"/>
      <c r="DH60" s="96"/>
      <c r="DI60" s="96"/>
      <c r="DJ60" s="96"/>
      <c r="DK60" s="96"/>
      <c r="DL60" s="112"/>
      <c r="DM60" s="96"/>
      <c r="DN60" s="96"/>
      <c r="DO60" s="96"/>
      <c r="DP60" s="96"/>
      <c r="DQ60" s="96"/>
      <c r="DR60" s="96"/>
      <c r="DS60" s="96"/>
      <c r="DT60" s="111"/>
      <c r="DZ60" s="84"/>
      <c r="EA60" s="113"/>
      <c r="ED60" s="84"/>
      <c r="EJ60" s="113"/>
      <c r="EN60" s="84"/>
      <c r="EO60" s="113"/>
      <c r="ET60" s="84"/>
      <c r="EU60" s="147" t="e">
        <f t="shared" si="74"/>
        <v>#DIV/0!</v>
      </c>
      <c r="EV60" s="157">
        <f t="shared" si="75"/>
        <v>0</v>
      </c>
      <c r="EW60" s="157">
        <f t="shared" si="76"/>
        <v>0</v>
      </c>
      <c r="EX60" s="157">
        <f t="shared" si="77"/>
        <v>0</v>
      </c>
      <c r="EY60" s="152">
        <f t="shared" si="78"/>
        <v>1</v>
      </c>
      <c r="EZ60" s="153">
        <f t="shared" si="79"/>
        <v>1</v>
      </c>
      <c r="FA60" s="116" t="e">
        <f t="shared" si="80"/>
        <v>#DIV/0!</v>
      </c>
      <c r="FB60" s="116">
        <f t="shared" si="81"/>
        <v>1</v>
      </c>
      <c r="FC60" s="154">
        <f t="shared" si="82"/>
        <v>1</v>
      </c>
      <c r="FD60" s="153">
        <f t="shared" si="83"/>
        <v>1</v>
      </c>
      <c r="FE60" s="116" t="e">
        <f t="shared" si="84"/>
        <v>#DIV/0!</v>
      </c>
      <c r="FF60" s="153">
        <f t="shared" si="85"/>
        <v>1</v>
      </c>
      <c r="FG60" s="141"/>
      <c r="FH60" s="111">
        <f t="shared" si="42"/>
        <v>0</v>
      </c>
      <c r="FI60" s="96" t="e">
        <f t="shared" si="87"/>
        <v>#DIV/0!</v>
      </c>
      <c r="FJ60" s="96" t="e">
        <f t="shared" si="88"/>
        <v>#DIV/0!</v>
      </c>
      <c r="FK60" s="96">
        <f t="shared" si="43"/>
        <v>0</v>
      </c>
      <c r="FL60" s="96"/>
      <c r="FM60" s="96" t="e">
        <f t="shared" si="44"/>
        <v>#N/A</v>
      </c>
      <c r="FN60" s="96" t="e">
        <f t="shared" si="89"/>
        <v>#N/A</v>
      </c>
      <c r="FO60" s="96" t="e">
        <f t="shared" si="46"/>
        <v>#N/A</v>
      </c>
      <c r="FP60" s="96" t="e">
        <f t="shared" si="90"/>
        <v>#DIV/0!</v>
      </c>
      <c r="FQ60" s="96" t="e">
        <f t="shared" si="91"/>
        <v>#DIV/0!</v>
      </c>
      <c r="FR60" s="112" t="e">
        <f t="shared" si="92"/>
        <v>#DIV/0!</v>
      </c>
      <c r="FS60" s="113" t="e">
        <f t="shared" si="93"/>
        <v>#DIV/0!</v>
      </c>
      <c r="FT60" s="13" t="e">
        <f t="shared" si="94"/>
        <v>#DIV/0!</v>
      </c>
      <c r="FU60" s="84" t="e">
        <f t="shared" si="95"/>
        <v>#DIV/0!</v>
      </c>
      <c r="FV60" s="112">
        <f t="shared" si="96"/>
        <v>0</v>
      </c>
      <c r="FW60" s="111"/>
      <c r="FX60" s="96"/>
      <c r="FY60" s="96"/>
      <c r="FZ60" s="96"/>
      <c r="GA60" s="96"/>
      <c r="GB60" s="96">
        <f t="shared" si="97"/>
        <v>0</v>
      </c>
      <c r="GC60" s="96" t="e">
        <f t="shared" si="98"/>
        <v>#N/A</v>
      </c>
      <c r="GD60" s="96" t="e">
        <f t="shared" si="99"/>
        <v>#N/A</v>
      </c>
      <c r="GE60" s="112">
        <f t="shared" si="100"/>
        <v>0</v>
      </c>
    </row>
    <row r="61" spans="1:187" x14ac:dyDescent="0.25">
      <c r="A61" s="111">
        <f>IF('3'!$AC$6="",B61,NA())</f>
        <v>0.2</v>
      </c>
      <c r="B61" s="111">
        <v>0.2</v>
      </c>
      <c r="C61" s="96">
        <v>30</v>
      </c>
      <c r="D61" s="112">
        <v>50000</v>
      </c>
      <c r="E61" s="96"/>
      <c r="F61" s="96"/>
      <c r="G61" s="96"/>
      <c r="H61" s="96"/>
      <c r="I61" s="96"/>
      <c r="J61" s="96"/>
      <c r="K61" s="96"/>
      <c r="L61" s="111"/>
      <c r="M61" s="96"/>
      <c r="N61" s="96"/>
      <c r="O61" s="96"/>
      <c r="P61" s="112"/>
      <c r="Q61" s="111"/>
      <c r="R61" s="96"/>
      <c r="S61" s="96"/>
      <c r="T61" s="96"/>
      <c r="U61" s="96"/>
      <c r="V61" s="112"/>
      <c r="W61" s="96"/>
      <c r="X61" s="96"/>
      <c r="Y61" s="96"/>
      <c r="Z61" s="96"/>
      <c r="AA61" s="96"/>
      <c r="AB61" s="96"/>
      <c r="AC61" s="96"/>
      <c r="AD61" s="111"/>
      <c r="AJ61" s="84"/>
      <c r="AK61" s="113"/>
      <c r="AN61" s="84"/>
      <c r="AT61" s="113"/>
      <c r="AX61" s="84"/>
      <c r="AY61" s="113"/>
      <c r="BD61" s="84"/>
      <c r="BE61" s="147" t="e">
        <f t="shared" si="47"/>
        <v>#DIV/0!</v>
      </c>
      <c r="BF61" s="157">
        <f t="shared" si="48"/>
        <v>0</v>
      </c>
      <c r="BG61" s="157">
        <f t="shared" si="49"/>
        <v>0</v>
      </c>
      <c r="BH61" s="157">
        <f t="shared" si="50"/>
        <v>0</v>
      </c>
      <c r="BI61" s="152">
        <f t="shared" si="51"/>
        <v>1</v>
      </c>
      <c r="BJ61" s="153">
        <f t="shared" si="52"/>
        <v>1</v>
      </c>
      <c r="BK61" s="116" t="e">
        <f t="shared" si="53"/>
        <v>#DIV/0!</v>
      </c>
      <c r="BL61" s="116">
        <f t="shared" si="54"/>
        <v>1</v>
      </c>
      <c r="BM61" s="154">
        <f t="shared" si="55"/>
        <v>1</v>
      </c>
      <c r="BN61" s="153">
        <f t="shared" si="56"/>
        <v>1</v>
      </c>
      <c r="BO61" s="116" t="e">
        <f t="shared" si="57"/>
        <v>#DIV/0!</v>
      </c>
      <c r="BP61" s="153">
        <f t="shared" si="58"/>
        <v>1</v>
      </c>
      <c r="BQ61" s="141"/>
      <c r="BR61" s="111">
        <f t="shared" si="37"/>
        <v>0</v>
      </c>
      <c r="BS61" s="96" t="e">
        <f t="shared" si="60"/>
        <v>#DIV/0!</v>
      </c>
      <c r="BT61" s="96" t="e">
        <f t="shared" si="61"/>
        <v>#DIV/0!</v>
      </c>
      <c r="BU61" s="96">
        <f t="shared" si="38"/>
        <v>0</v>
      </c>
      <c r="BV61" s="96"/>
      <c r="BW61" s="96">
        <f t="shared" si="39"/>
        <v>0.95874001371920414</v>
      </c>
      <c r="BX61" s="96">
        <f t="shared" si="62"/>
        <v>0.95874001371920414</v>
      </c>
      <c r="BY61" s="96">
        <f t="shared" si="41"/>
        <v>0</v>
      </c>
      <c r="BZ61" s="96" t="e">
        <f t="shared" si="63"/>
        <v>#DIV/0!</v>
      </c>
      <c r="CA61" s="96" t="e">
        <f t="shared" si="64"/>
        <v>#DIV/0!</v>
      </c>
      <c r="CB61" s="112" t="e">
        <f t="shared" si="65"/>
        <v>#DIV/0!</v>
      </c>
      <c r="CC61" s="113" t="e">
        <f t="shared" si="66"/>
        <v>#DIV/0!</v>
      </c>
      <c r="CD61" s="13" t="e">
        <f t="shared" si="67"/>
        <v>#DIV/0!</v>
      </c>
      <c r="CE61" s="84" t="e">
        <f t="shared" si="68"/>
        <v>#DIV/0!</v>
      </c>
      <c r="CF61" s="112">
        <f t="shared" si="69"/>
        <v>0</v>
      </c>
      <c r="CG61" s="111"/>
      <c r="CH61" s="96"/>
      <c r="CI61" s="96"/>
      <c r="CJ61" s="96"/>
      <c r="CK61" s="96"/>
      <c r="CL61" s="96">
        <f t="shared" si="70"/>
        <v>0</v>
      </c>
      <c r="CM61" s="96" t="e">
        <f t="shared" si="71"/>
        <v>#N/A</v>
      </c>
      <c r="CN61" s="96" t="e">
        <f t="shared" si="72"/>
        <v>#N/A</v>
      </c>
      <c r="CO61" s="112">
        <f t="shared" si="73"/>
        <v>0</v>
      </c>
      <c r="CQ61" s="111" t="e">
        <f>IF('3'!$AC$4="",CR61,NA())</f>
        <v>#N/A</v>
      </c>
      <c r="CR61" s="111">
        <v>0.2</v>
      </c>
      <c r="CS61" s="96">
        <v>30</v>
      </c>
      <c r="CT61" s="112">
        <v>50000</v>
      </c>
      <c r="CU61" s="96"/>
      <c r="CV61" s="96"/>
      <c r="CW61" s="96"/>
      <c r="CX61" s="96"/>
      <c r="CY61" s="96"/>
      <c r="CZ61" s="96"/>
      <c r="DA61" s="96"/>
      <c r="DB61" s="111"/>
      <c r="DC61" s="96"/>
      <c r="DD61" s="96"/>
      <c r="DE61" s="96"/>
      <c r="DF61" s="112"/>
      <c r="DG61" s="111"/>
      <c r="DH61" s="96"/>
      <c r="DI61" s="96"/>
      <c r="DJ61" s="96"/>
      <c r="DK61" s="96"/>
      <c r="DL61" s="112"/>
      <c r="DM61" s="96"/>
      <c r="DN61" s="96"/>
      <c r="DO61" s="96"/>
      <c r="DP61" s="96"/>
      <c r="DQ61" s="96"/>
      <c r="DR61" s="96"/>
      <c r="DS61" s="96"/>
      <c r="DT61" s="111"/>
      <c r="DZ61" s="84"/>
      <c r="EA61" s="113"/>
      <c r="ED61" s="84"/>
      <c r="EJ61" s="113"/>
      <c r="EN61" s="84"/>
      <c r="EO61" s="113"/>
      <c r="ET61" s="84"/>
      <c r="EU61" s="147" t="e">
        <f t="shared" si="74"/>
        <v>#DIV/0!</v>
      </c>
      <c r="EV61" s="157">
        <f t="shared" si="75"/>
        <v>0</v>
      </c>
      <c r="EW61" s="157">
        <f t="shared" si="76"/>
        <v>0</v>
      </c>
      <c r="EX61" s="157">
        <f t="shared" si="77"/>
        <v>0</v>
      </c>
      <c r="EY61" s="152">
        <f t="shared" si="78"/>
        <v>1</v>
      </c>
      <c r="EZ61" s="153">
        <f t="shared" si="79"/>
        <v>1</v>
      </c>
      <c r="FA61" s="116" t="e">
        <f t="shared" si="80"/>
        <v>#DIV/0!</v>
      </c>
      <c r="FB61" s="116">
        <f t="shared" si="81"/>
        <v>1</v>
      </c>
      <c r="FC61" s="154">
        <f t="shared" si="82"/>
        <v>1</v>
      </c>
      <c r="FD61" s="153">
        <f t="shared" si="83"/>
        <v>1</v>
      </c>
      <c r="FE61" s="116" t="e">
        <f t="shared" si="84"/>
        <v>#DIV/0!</v>
      </c>
      <c r="FF61" s="153">
        <f t="shared" si="85"/>
        <v>1</v>
      </c>
      <c r="FG61" s="141"/>
      <c r="FH61" s="111">
        <f t="shared" si="42"/>
        <v>0</v>
      </c>
      <c r="FI61" s="96" t="e">
        <f t="shared" si="87"/>
        <v>#DIV/0!</v>
      </c>
      <c r="FJ61" s="96" t="e">
        <f t="shared" si="88"/>
        <v>#DIV/0!</v>
      </c>
      <c r="FK61" s="96">
        <f t="shared" si="43"/>
        <v>0</v>
      </c>
      <c r="FL61" s="96"/>
      <c r="FM61" s="96" t="e">
        <f t="shared" si="44"/>
        <v>#N/A</v>
      </c>
      <c r="FN61" s="96" t="e">
        <f t="shared" si="89"/>
        <v>#N/A</v>
      </c>
      <c r="FO61" s="96" t="e">
        <f t="shared" si="46"/>
        <v>#N/A</v>
      </c>
      <c r="FP61" s="96" t="e">
        <f t="shared" si="90"/>
        <v>#DIV/0!</v>
      </c>
      <c r="FQ61" s="96" t="e">
        <f t="shared" si="91"/>
        <v>#DIV/0!</v>
      </c>
      <c r="FR61" s="112" t="e">
        <f t="shared" si="92"/>
        <v>#DIV/0!</v>
      </c>
      <c r="FS61" s="113" t="e">
        <f t="shared" si="93"/>
        <v>#DIV/0!</v>
      </c>
      <c r="FT61" s="13" t="e">
        <f t="shared" si="94"/>
        <v>#DIV/0!</v>
      </c>
      <c r="FU61" s="84" t="e">
        <f t="shared" si="95"/>
        <v>#DIV/0!</v>
      </c>
      <c r="FV61" s="112">
        <f t="shared" si="96"/>
        <v>0</v>
      </c>
      <c r="FW61" s="111"/>
      <c r="FX61" s="96"/>
      <c r="FY61" s="96"/>
      <c r="FZ61" s="96"/>
      <c r="GA61" s="96"/>
      <c r="GB61" s="96">
        <f t="shared" si="97"/>
        <v>0</v>
      </c>
      <c r="GC61" s="96" t="e">
        <f t="shared" si="98"/>
        <v>#N/A</v>
      </c>
      <c r="GD61" s="96" t="e">
        <f t="shared" si="99"/>
        <v>#N/A</v>
      </c>
      <c r="GE61" s="112">
        <f t="shared" si="100"/>
        <v>0</v>
      </c>
    </row>
    <row r="62" spans="1:187" ht="15.75" thickBot="1" x14ac:dyDescent="0.3">
      <c r="A62" s="111">
        <f>IF('3'!$AC$6="",B62,NA())</f>
        <v>0.1</v>
      </c>
      <c r="B62" s="111">
        <v>0.1</v>
      </c>
      <c r="C62" s="96">
        <v>30</v>
      </c>
      <c r="D62" s="112">
        <v>50000</v>
      </c>
      <c r="E62" s="96"/>
      <c r="F62" s="96"/>
      <c r="G62" s="96"/>
      <c r="H62" s="96"/>
      <c r="I62" s="96"/>
      <c r="J62" s="96"/>
      <c r="K62" s="96"/>
      <c r="L62" s="111"/>
      <c r="M62" s="96"/>
      <c r="N62" s="96"/>
      <c r="O62" s="96"/>
      <c r="P62" s="112"/>
      <c r="Q62" s="111"/>
      <c r="R62" s="96"/>
      <c r="S62" s="96"/>
      <c r="T62" s="96"/>
      <c r="U62" s="96"/>
      <c r="V62" s="112"/>
      <c r="W62" s="96"/>
      <c r="X62" s="96"/>
      <c r="Y62" s="96"/>
      <c r="Z62" s="96"/>
      <c r="AA62" s="96"/>
      <c r="AB62" s="96"/>
      <c r="AC62" s="96"/>
      <c r="AD62" s="111"/>
      <c r="AJ62" s="84"/>
      <c r="AK62" s="113"/>
      <c r="AN62" s="84"/>
      <c r="AT62" s="113"/>
      <c r="AX62" s="84"/>
      <c r="AY62" s="113"/>
      <c r="BD62" s="84"/>
      <c r="BE62" s="147" t="e">
        <f t="shared" si="47"/>
        <v>#DIV/0!</v>
      </c>
      <c r="BF62" s="157">
        <f t="shared" si="48"/>
        <v>0</v>
      </c>
      <c r="BG62" s="157">
        <f t="shared" si="49"/>
        <v>0</v>
      </c>
      <c r="BH62" s="157">
        <f t="shared" si="50"/>
        <v>0</v>
      </c>
      <c r="BI62" s="152">
        <f t="shared" si="51"/>
        <v>1</v>
      </c>
      <c r="BJ62" s="153">
        <f t="shared" si="52"/>
        <v>1</v>
      </c>
      <c r="BK62" s="116" t="e">
        <f t="shared" si="53"/>
        <v>#DIV/0!</v>
      </c>
      <c r="BL62" s="116">
        <f t="shared" si="54"/>
        <v>1</v>
      </c>
      <c r="BM62" s="154">
        <f t="shared" si="55"/>
        <v>1</v>
      </c>
      <c r="BN62" s="153">
        <f t="shared" si="56"/>
        <v>1</v>
      </c>
      <c r="BO62" s="116" t="e">
        <f t="shared" si="57"/>
        <v>#DIV/0!</v>
      </c>
      <c r="BP62" s="153">
        <f t="shared" si="58"/>
        <v>1</v>
      </c>
      <c r="BQ62" s="141"/>
      <c r="BR62" s="111">
        <f t="shared" si="37"/>
        <v>0</v>
      </c>
      <c r="BS62" s="96" t="e">
        <f t="shared" si="60"/>
        <v>#DIV/0!</v>
      </c>
      <c r="BT62" s="96" t="e">
        <f t="shared" si="61"/>
        <v>#DIV/0!</v>
      </c>
      <c r="BU62" s="96">
        <f t="shared" si="38"/>
        <v>0</v>
      </c>
      <c r="BV62" s="96"/>
      <c r="BW62" s="96">
        <f t="shared" si="39"/>
        <v>0.97743092137960175</v>
      </c>
      <c r="BX62" s="96">
        <f t="shared" si="62"/>
        <v>0.97743092137960175</v>
      </c>
      <c r="BY62" s="96">
        <f t="shared" si="41"/>
        <v>0</v>
      </c>
      <c r="BZ62" s="96" t="e">
        <f t="shared" si="63"/>
        <v>#DIV/0!</v>
      </c>
      <c r="CA62" s="96" t="e">
        <f t="shared" si="64"/>
        <v>#DIV/0!</v>
      </c>
      <c r="CB62" s="112" t="e">
        <f t="shared" si="65"/>
        <v>#DIV/0!</v>
      </c>
      <c r="CC62" s="113" t="e">
        <f t="shared" si="66"/>
        <v>#DIV/0!</v>
      </c>
      <c r="CD62" s="13" t="e">
        <f t="shared" si="67"/>
        <v>#DIV/0!</v>
      </c>
      <c r="CE62" s="84" t="e">
        <f t="shared" si="68"/>
        <v>#DIV/0!</v>
      </c>
      <c r="CF62" s="115">
        <f t="shared" si="69"/>
        <v>0</v>
      </c>
      <c r="CG62" s="111"/>
      <c r="CH62" s="96"/>
      <c r="CI62" s="96"/>
      <c r="CJ62" s="96"/>
      <c r="CK62" s="96"/>
      <c r="CL62" s="96">
        <f t="shared" si="70"/>
        <v>0</v>
      </c>
      <c r="CM62" s="96" t="e">
        <f t="shared" si="71"/>
        <v>#N/A</v>
      </c>
      <c r="CN62" s="96" t="e">
        <f t="shared" si="72"/>
        <v>#N/A</v>
      </c>
      <c r="CO62" s="112">
        <f t="shared" si="73"/>
        <v>0</v>
      </c>
      <c r="CQ62" s="111" t="e">
        <f>IF('3'!$AC$4="",CR62,NA())</f>
        <v>#N/A</v>
      </c>
      <c r="CR62" s="111">
        <v>0.1</v>
      </c>
      <c r="CS62" s="96">
        <v>30</v>
      </c>
      <c r="CT62" s="112">
        <v>50000</v>
      </c>
      <c r="CU62" s="96"/>
      <c r="CV62" s="96"/>
      <c r="CW62" s="96"/>
      <c r="CX62" s="96"/>
      <c r="CY62" s="96"/>
      <c r="CZ62" s="96"/>
      <c r="DA62" s="96"/>
      <c r="DB62" s="111"/>
      <c r="DC62" s="96"/>
      <c r="DD62" s="96"/>
      <c r="DE62" s="96"/>
      <c r="DF62" s="112"/>
      <c r="DG62" s="111"/>
      <c r="DH62" s="96"/>
      <c r="DI62" s="96"/>
      <c r="DJ62" s="96"/>
      <c r="DK62" s="96"/>
      <c r="DL62" s="112"/>
      <c r="DM62" s="96"/>
      <c r="DN62" s="96"/>
      <c r="DO62" s="96"/>
      <c r="DP62" s="96"/>
      <c r="DQ62" s="96"/>
      <c r="DR62" s="96"/>
      <c r="DS62" s="96"/>
      <c r="DT62" s="111"/>
      <c r="DZ62" s="84"/>
      <c r="EA62" s="113"/>
      <c r="ED62" s="84"/>
      <c r="EJ62" s="113"/>
      <c r="EN62" s="84"/>
      <c r="EO62" s="113"/>
      <c r="ET62" s="84"/>
      <c r="EU62" s="147" t="e">
        <f t="shared" si="74"/>
        <v>#DIV/0!</v>
      </c>
      <c r="EV62" s="157">
        <f t="shared" si="75"/>
        <v>0</v>
      </c>
      <c r="EW62" s="157">
        <f t="shared" si="76"/>
        <v>0</v>
      </c>
      <c r="EX62" s="157">
        <f t="shared" si="77"/>
        <v>0</v>
      </c>
      <c r="EY62" s="152">
        <f t="shared" si="78"/>
        <v>1</v>
      </c>
      <c r="EZ62" s="153">
        <f t="shared" si="79"/>
        <v>1</v>
      </c>
      <c r="FA62" s="116" t="e">
        <f t="shared" si="80"/>
        <v>#DIV/0!</v>
      </c>
      <c r="FB62" s="116">
        <f t="shared" si="81"/>
        <v>1</v>
      </c>
      <c r="FC62" s="154">
        <f t="shared" si="82"/>
        <v>1</v>
      </c>
      <c r="FD62" s="153">
        <f t="shared" si="83"/>
        <v>1</v>
      </c>
      <c r="FE62" s="116" t="e">
        <f t="shared" si="84"/>
        <v>#DIV/0!</v>
      </c>
      <c r="FF62" s="153">
        <f t="shared" si="85"/>
        <v>1</v>
      </c>
      <c r="FG62" s="141"/>
      <c r="FH62" s="111">
        <f t="shared" si="42"/>
        <v>0</v>
      </c>
      <c r="FI62" s="96" t="e">
        <f t="shared" si="87"/>
        <v>#DIV/0!</v>
      </c>
      <c r="FJ62" s="96" t="e">
        <f t="shared" si="88"/>
        <v>#DIV/0!</v>
      </c>
      <c r="FK62" s="96">
        <f t="shared" si="43"/>
        <v>0</v>
      </c>
      <c r="FL62" s="96"/>
      <c r="FM62" s="96" t="e">
        <f t="shared" si="44"/>
        <v>#N/A</v>
      </c>
      <c r="FN62" s="96" t="e">
        <f t="shared" si="89"/>
        <v>#N/A</v>
      </c>
      <c r="FO62" s="96" t="e">
        <f t="shared" si="46"/>
        <v>#N/A</v>
      </c>
      <c r="FP62" s="96" t="e">
        <f t="shared" si="90"/>
        <v>#DIV/0!</v>
      </c>
      <c r="FQ62" s="96" t="e">
        <f t="shared" si="91"/>
        <v>#DIV/0!</v>
      </c>
      <c r="FR62" s="112" t="e">
        <f t="shared" si="92"/>
        <v>#DIV/0!</v>
      </c>
      <c r="FS62" s="113" t="e">
        <f t="shared" si="93"/>
        <v>#DIV/0!</v>
      </c>
      <c r="FT62" s="13" t="e">
        <f t="shared" si="94"/>
        <v>#DIV/0!</v>
      </c>
      <c r="FU62" s="84" t="e">
        <f t="shared" si="95"/>
        <v>#DIV/0!</v>
      </c>
      <c r="FV62" s="115">
        <f t="shared" si="96"/>
        <v>0</v>
      </c>
      <c r="FW62" s="111"/>
      <c r="FX62" s="96"/>
      <c r="FY62" s="96"/>
      <c r="FZ62" s="96"/>
      <c r="GA62" s="96"/>
      <c r="GB62" s="96">
        <f t="shared" si="97"/>
        <v>0</v>
      </c>
      <c r="GC62" s="96" t="e">
        <f t="shared" si="98"/>
        <v>#N/A</v>
      </c>
      <c r="GD62" s="96" t="e">
        <f t="shared" si="99"/>
        <v>#N/A</v>
      </c>
      <c r="GE62" s="112">
        <f t="shared" si="100"/>
        <v>0</v>
      </c>
    </row>
    <row r="63" spans="1:187" ht="15.75" thickBot="1" x14ac:dyDescent="0.3">
      <c r="A63" s="111">
        <f>IF('3'!$AC$6="",B63,NA())</f>
        <v>0</v>
      </c>
      <c r="B63" s="117">
        <v>0</v>
      </c>
      <c r="C63" s="118">
        <v>30</v>
      </c>
      <c r="D63" s="144">
        <v>50000</v>
      </c>
      <c r="E63" s="118"/>
      <c r="F63" s="118"/>
      <c r="G63" s="118"/>
      <c r="H63" s="118"/>
      <c r="I63" s="118"/>
      <c r="J63" s="118"/>
      <c r="K63" s="118"/>
      <c r="L63" s="117"/>
      <c r="M63" s="118"/>
      <c r="N63" s="118"/>
      <c r="O63" s="118"/>
      <c r="P63" s="144"/>
      <c r="Q63" s="117"/>
      <c r="R63" s="118"/>
      <c r="S63" s="118"/>
      <c r="T63" s="118"/>
      <c r="U63" s="118"/>
      <c r="V63" s="144"/>
      <c r="W63" s="118"/>
      <c r="X63" s="118"/>
      <c r="Y63" s="118"/>
      <c r="Z63" s="118"/>
      <c r="AA63" s="118"/>
      <c r="AB63" s="118"/>
      <c r="AC63" s="118"/>
      <c r="AD63" s="117"/>
      <c r="AE63" s="145"/>
      <c r="AF63" s="145"/>
      <c r="AG63" s="145"/>
      <c r="AH63" s="145"/>
      <c r="AI63" s="145"/>
      <c r="AJ63" s="144"/>
      <c r="AK63" s="117"/>
      <c r="AL63" s="118"/>
      <c r="AM63" s="118"/>
      <c r="AN63" s="144"/>
      <c r="AO63" s="118"/>
      <c r="AP63" s="118"/>
      <c r="AQ63" s="118"/>
      <c r="AR63" s="118"/>
      <c r="AS63" s="118"/>
      <c r="AT63" s="117"/>
      <c r="AU63" s="145"/>
      <c r="AV63" s="145"/>
      <c r="AW63" s="145"/>
      <c r="AX63" s="146"/>
      <c r="AY63" s="88"/>
      <c r="AZ63" s="89"/>
      <c r="BA63" s="89"/>
      <c r="BB63" s="89"/>
      <c r="BC63" s="89"/>
      <c r="BD63" s="90"/>
      <c r="BE63" s="89"/>
      <c r="BF63" s="158">
        <f t="shared" si="48"/>
        <v>0</v>
      </c>
      <c r="BG63" s="159">
        <f t="shared" si="49"/>
        <v>0</v>
      </c>
      <c r="BH63" s="160">
        <f t="shared" si="50"/>
        <v>0</v>
      </c>
      <c r="BI63" s="117">
        <f t="shared" si="51"/>
        <v>1</v>
      </c>
      <c r="BJ63" s="118">
        <f t="shared" si="52"/>
        <v>1</v>
      </c>
      <c r="BK63" s="131" t="e">
        <f t="shared" si="53"/>
        <v>#DIV/0!</v>
      </c>
      <c r="BL63" s="131">
        <f t="shared" si="54"/>
        <v>1</v>
      </c>
      <c r="BM63" s="155">
        <f t="shared" si="55"/>
        <v>1</v>
      </c>
      <c r="BN63" s="118">
        <f t="shared" si="56"/>
        <v>1</v>
      </c>
      <c r="BO63" s="131" t="e">
        <f t="shared" si="57"/>
        <v>#DIV/0!</v>
      </c>
      <c r="BP63" s="156">
        <f t="shared" si="58"/>
        <v>1</v>
      </c>
      <c r="BQ63" s="143" t="e">
        <f t="shared" ref="BQ63" si="101">I63/H63</f>
        <v>#DIV/0!</v>
      </c>
      <c r="BR63" s="36">
        <f t="shared" si="37"/>
        <v>0</v>
      </c>
      <c r="BS63" s="37" t="e">
        <f t="shared" si="60"/>
        <v>#DIV/0!</v>
      </c>
      <c r="BT63" s="37" t="e">
        <f t="shared" si="61"/>
        <v>#DIV/0!</v>
      </c>
      <c r="BU63" s="37">
        <f t="shared" si="38"/>
        <v>0</v>
      </c>
      <c r="BV63" s="37"/>
      <c r="BW63" s="37">
        <f t="shared" si="39"/>
        <v>0.9944590615391693</v>
      </c>
      <c r="BX63" s="37">
        <f t="shared" si="62"/>
        <v>0.9944590615391693</v>
      </c>
      <c r="BY63" s="37">
        <f t="shared" si="41"/>
        <v>0</v>
      </c>
      <c r="BZ63" s="37" t="e">
        <f t="shared" si="63"/>
        <v>#DIV/0!</v>
      </c>
      <c r="CA63" s="37" t="e">
        <f t="shared" si="64"/>
        <v>#DIV/0!</v>
      </c>
      <c r="CB63" s="35" t="e">
        <f t="shared" si="65"/>
        <v>#DIV/0!</v>
      </c>
      <c r="CC63" s="88" t="e">
        <f t="shared" si="66"/>
        <v>#DIV/0!</v>
      </c>
      <c r="CD63" s="89" t="e">
        <f t="shared" si="67"/>
        <v>#DIV/0!</v>
      </c>
      <c r="CE63" s="90" t="e">
        <f t="shared" si="68"/>
        <v>#DIV/0!</v>
      </c>
      <c r="CF63" s="118">
        <f>CG63</f>
        <v>0</v>
      </c>
      <c r="CG63" s="117"/>
      <c r="CH63" s="118"/>
      <c r="CI63" s="118"/>
      <c r="CJ63" s="118"/>
      <c r="CK63" s="118"/>
      <c r="CL63" s="118">
        <f>SQRT(2*CONVERT(CJ63, "psi", "Pa") / $J$1)</f>
        <v>0</v>
      </c>
      <c r="CM63" s="118">
        <f t="shared" si="71"/>
        <v>0</v>
      </c>
      <c r="CN63" s="118">
        <f t="shared" si="72"/>
        <v>0</v>
      </c>
      <c r="CO63" s="118">
        <f t="shared" si="73"/>
        <v>0</v>
      </c>
      <c r="CQ63" s="111" t="e">
        <f>IF('3'!$AC$4="",CR63,NA())</f>
        <v>#N/A</v>
      </c>
      <c r="CR63" s="117">
        <v>0</v>
      </c>
      <c r="CS63" s="118">
        <v>30</v>
      </c>
      <c r="CT63" s="144">
        <v>50000</v>
      </c>
      <c r="CU63" s="118"/>
      <c r="CV63" s="118"/>
      <c r="CW63" s="118"/>
      <c r="CX63" s="118"/>
      <c r="CY63" s="118"/>
      <c r="CZ63" s="118"/>
      <c r="DA63" s="118"/>
      <c r="DB63" s="117"/>
      <c r="DC63" s="118"/>
      <c r="DD63" s="118"/>
      <c r="DE63" s="118"/>
      <c r="DF63" s="144"/>
      <c r="DG63" s="117"/>
      <c r="DH63" s="118"/>
      <c r="DI63" s="118"/>
      <c r="DJ63" s="118"/>
      <c r="DK63" s="118"/>
      <c r="DL63" s="144"/>
      <c r="DM63" s="118"/>
      <c r="DN63" s="118"/>
      <c r="DO63" s="118"/>
      <c r="DP63" s="118"/>
      <c r="DQ63" s="118"/>
      <c r="DR63" s="118"/>
      <c r="DS63" s="118"/>
      <c r="DT63" s="117"/>
      <c r="DU63" s="145"/>
      <c r="DV63" s="145"/>
      <c r="DW63" s="145"/>
      <c r="DX63" s="145"/>
      <c r="DY63" s="145"/>
      <c r="DZ63" s="144"/>
      <c r="EA63" s="117"/>
      <c r="EB63" s="118"/>
      <c r="EC63" s="118"/>
      <c r="ED63" s="144"/>
      <c r="EE63" s="118"/>
      <c r="EF63" s="118"/>
      <c r="EG63" s="118"/>
      <c r="EH63" s="118"/>
      <c r="EI63" s="118"/>
      <c r="EJ63" s="117"/>
      <c r="EK63" s="145"/>
      <c r="EL63" s="145"/>
      <c r="EM63" s="145"/>
      <c r="EN63" s="146"/>
      <c r="EO63" s="88"/>
      <c r="EP63" s="89"/>
      <c r="EQ63" s="89"/>
      <c r="ER63" s="89"/>
      <c r="ES63" s="89"/>
      <c r="ET63" s="90"/>
      <c r="EU63" s="164"/>
      <c r="EV63" s="159">
        <f t="shared" si="75"/>
        <v>0</v>
      </c>
      <c r="EW63" s="159">
        <f t="shared" si="76"/>
        <v>0</v>
      </c>
      <c r="EX63" s="160">
        <f t="shared" si="77"/>
        <v>0</v>
      </c>
      <c r="EY63" s="117">
        <f t="shared" si="78"/>
        <v>1</v>
      </c>
      <c r="EZ63" s="118">
        <f t="shared" si="79"/>
        <v>1</v>
      </c>
      <c r="FA63" s="131" t="e">
        <f t="shared" si="80"/>
        <v>#DIV/0!</v>
      </c>
      <c r="FB63" s="131">
        <f t="shared" si="81"/>
        <v>1</v>
      </c>
      <c r="FC63" s="155">
        <f t="shared" si="82"/>
        <v>1</v>
      </c>
      <c r="FD63" s="118">
        <f t="shared" si="83"/>
        <v>1</v>
      </c>
      <c r="FE63" s="131" t="e">
        <f t="shared" si="84"/>
        <v>#DIV/0!</v>
      </c>
      <c r="FF63" s="156">
        <f t="shared" si="85"/>
        <v>1</v>
      </c>
      <c r="FG63" s="143" t="e">
        <f t="shared" ref="FG63" si="102">CY63/CX63</f>
        <v>#DIV/0!</v>
      </c>
      <c r="FH63" s="36">
        <f t="shared" si="42"/>
        <v>0</v>
      </c>
      <c r="FI63" s="37" t="e">
        <f t="shared" si="87"/>
        <v>#DIV/0!</v>
      </c>
      <c r="FJ63" s="37" t="e">
        <f t="shared" si="88"/>
        <v>#DIV/0!</v>
      </c>
      <c r="FK63" s="37">
        <f t="shared" si="43"/>
        <v>0</v>
      </c>
      <c r="FL63" s="37"/>
      <c r="FM63" s="37" t="e">
        <f t="shared" si="44"/>
        <v>#N/A</v>
      </c>
      <c r="FN63" s="37" t="e">
        <f t="shared" si="89"/>
        <v>#N/A</v>
      </c>
      <c r="FO63" s="37" t="e">
        <f t="shared" si="46"/>
        <v>#N/A</v>
      </c>
      <c r="FP63" s="37" t="e">
        <f t="shared" si="90"/>
        <v>#DIV/0!</v>
      </c>
      <c r="FQ63" s="37" t="e">
        <f t="shared" si="91"/>
        <v>#DIV/0!</v>
      </c>
      <c r="FR63" s="35" t="e">
        <f t="shared" si="92"/>
        <v>#DIV/0!</v>
      </c>
      <c r="FS63" s="88" t="e">
        <f t="shared" si="93"/>
        <v>#DIV/0!</v>
      </c>
      <c r="FT63" s="89" t="e">
        <f t="shared" si="94"/>
        <v>#DIV/0!</v>
      </c>
      <c r="FU63" s="90" t="e">
        <f t="shared" si="95"/>
        <v>#DIV/0!</v>
      </c>
      <c r="FV63" s="118">
        <f>FW63</f>
        <v>0</v>
      </c>
      <c r="FW63" s="117"/>
      <c r="FX63" s="118"/>
      <c r="FY63" s="118"/>
      <c r="FZ63" s="118"/>
      <c r="GA63" s="118"/>
      <c r="GB63" s="118">
        <f>SQRT(2*CONVERT(FZ63, "psi", "Pa") / $J$1)</f>
        <v>0</v>
      </c>
      <c r="GC63" s="118" t="e">
        <f t="shared" si="98"/>
        <v>#N/A</v>
      </c>
      <c r="GD63" s="118" t="e">
        <f t="shared" si="99"/>
        <v>#N/A</v>
      </c>
      <c r="GE63" s="118">
        <f t="shared" si="100"/>
        <v>0</v>
      </c>
    </row>
    <row r="64" spans="1:187" x14ac:dyDescent="0.25">
      <c r="A64" s="111">
        <f>IF('3'!$AC$6="",-B64,NA())</f>
        <v>-0.1</v>
      </c>
      <c r="B64" s="110">
        <v>0.1</v>
      </c>
      <c r="C64" s="110">
        <v>30</v>
      </c>
      <c r="D64" s="115">
        <v>50000</v>
      </c>
      <c r="E64" s="110"/>
      <c r="F64" s="110"/>
      <c r="G64" s="110"/>
      <c r="H64" s="110"/>
      <c r="I64" s="110"/>
      <c r="J64" s="110"/>
      <c r="K64" s="109"/>
      <c r="L64" s="114"/>
      <c r="M64" s="110"/>
      <c r="N64" s="110"/>
      <c r="O64" s="110"/>
      <c r="P64" s="115"/>
      <c r="Q64" s="114"/>
      <c r="R64" s="110"/>
      <c r="S64" s="110"/>
      <c r="T64" s="110"/>
      <c r="U64" s="110"/>
      <c r="V64" s="115"/>
      <c r="W64" s="110"/>
      <c r="X64" s="110"/>
      <c r="Y64" s="110"/>
      <c r="Z64" s="110"/>
      <c r="AA64" s="110"/>
      <c r="AB64" s="110"/>
      <c r="AC64" s="110"/>
      <c r="AD64" s="114"/>
      <c r="AE64" s="3"/>
      <c r="AF64" s="3"/>
      <c r="AG64" s="3"/>
      <c r="AH64" s="3"/>
      <c r="AI64" s="3"/>
      <c r="AJ64" s="115"/>
      <c r="AK64" s="114"/>
      <c r="AL64" s="110"/>
      <c r="AM64" s="110"/>
      <c r="AN64" s="115"/>
      <c r="AO64" s="110"/>
      <c r="AP64" s="110"/>
      <c r="AQ64" s="110"/>
      <c r="AR64" s="110"/>
      <c r="AS64" s="110"/>
      <c r="AT64" s="114"/>
      <c r="AU64" s="3"/>
      <c r="AV64" s="3"/>
      <c r="AW64" s="3"/>
      <c r="AX64" s="3"/>
      <c r="AY64" s="113"/>
      <c r="BD64" s="84"/>
      <c r="BF64" s="157">
        <f t="shared" si="48"/>
        <v>0</v>
      </c>
      <c r="BG64" s="157">
        <f t="shared" si="49"/>
        <v>0</v>
      </c>
      <c r="BH64" s="157">
        <f t="shared" si="50"/>
        <v>0</v>
      </c>
      <c r="BI64" s="114">
        <f t="shared" si="51"/>
        <v>1</v>
      </c>
      <c r="BJ64" s="110">
        <f t="shared" si="52"/>
        <v>1</v>
      </c>
      <c r="BK64" s="116" t="e">
        <f t="shared" si="53"/>
        <v>#DIV/0!</v>
      </c>
      <c r="BL64" s="116">
        <f t="shared" si="54"/>
        <v>1</v>
      </c>
      <c r="BM64" s="154">
        <f t="shared" si="55"/>
        <v>1</v>
      </c>
      <c r="BN64" s="110">
        <f t="shared" si="56"/>
        <v>1</v>
      </c>
      <c r="BO64" s="116" t="e">
        <f t="shared" si="57"/>
        <v>#DIV/0!</v>
      </c>
      <c r="BP64" s="153">
        <f t="shared" si="58"/>
        <v>1</v>
      </c>
      <c r="BQ64" s="141"/>
      <c r="BR64" s="111">
        <f t="shared" si="37"/>
        <v>0</v>
      </c>
      <c r="BS64" s="96" t="e">
        <f t="shared" si="60"/>
        <v>#DIV/0!</v>
      </c>
      <c r="BT64" s="96" t="e">
        <f t="shared" si="61"/>
        <v>#DIV/0!</v>
      </c>
      <c r="BU64" s="96">
        <f t="shared" si="38"/>
        <v>0</v>
      </c>
      <c r="BV64" s="96"/>
      <c r="BW64" s="96">
        <f t="shared" si="39"/>
        <v>0.97743092137960175</v>
      </c>
      <c r="BX64" s="96">
        <f t="shared" si="62"/>
        <v>0.97743092137960175</v>
      </c>
      <c r="BY64" s="96">
        <f t="shared" si="41"/>
        <v>0</v>
      </c>
      <c r="BZ64" s="96" t="e">
        <f t="shared" si="63"/>
        <v>#DIV/0!</v>
      </c>
      <c r="CA64" s="96" t="e">
        <f t="shared" si="64"/>
        <v>#DIV/0!</v>
      </c>
      <c r="CB64" s="112" t="e">
        <f t="shared" si="65"/>
        <v>#DIV/0!</v>
      </c>
      <c r="CC64" s="113" t="e">
        <f t="shared" si="66"/>
        <v>#DIV/0!</v>
      </c>
      <c r="CD64" s="13" t="e">
        <f t="shared" si="67"/>
        <v>#DIV/0!</v>
      </c>
      <c r="CE64" s="84" t="e">
        <f t="shared" si="68"/>
        <v>#DIV/0!</v>
      </c>
      <c r="CF64" s="115">
        <f>-CG64</f>
        <v>0</v>
      </c>
      <c r="CG64" s="110"/>
      <c r="CH64" s="96"/>
      <c r="CI64" s="96"/>
      <c r="CJ64" s="110"/>
      <c r="CK64" s="110"/>
      <c r="CL64" s="96">
        <f t="shared" ref="CL64:CL73" si="103">SQRT(2*CONVERT(CJ64, "psi", "Pa") / $J$1)</f>
        <v>0</v>
      </c>
      <c r="CM64" s="96" t="e">
        <f t="shared" si="71"/>
        <v>#N/A</v>
      </c>
      <c r="CN64" s="110" t="e">
        <f t="shared" si="72"/>
        <v>#N/A</v>
      </c>
      <c r="CO64" s="112">
        <f t="shared" si="73"/>
        <v>0</v>
      </c>
      <c r="CQ64" s="111" t="e">
        <f>IF('3'!$AC$4="",-CR64,NA())</f>
        <v>#N/A</v>
      </c>
      <c r="CR64" s="110">
        <v>0.1</v>
      </c>
      <c r="CS64" s="110">
        <v>30</v>
      </c>
      <c r="CT64" s="115">
        <v>50000</v>
      </c>
      <c r="CU64" s="110"/>
      <c r="CV64" s="110"/>
      <c r="CW64" s="110"/>
      <c r="CX64" s="110"/>
      <c r="CY64" s="110"/>
      <c r="CZ64" s="110"/>
      <c r="DA64" s="109"/>
      <c r="DB64" s="114"/>
      <c r="DC64" s="110"/>
      <c r="DD64" s="110"/>
      <c r="DE64" s="110"/>
      <c r="DF64" s="115"/>
      <c r="DG64" s="114"/>
      <c r="DH64" s="110"/>
      <c r="DI64" s="110"/>
      <c r="DJ64" s="110"/>
      <c r="DK64" s="110"/>
      <c r="DL64" s="115"/>
      <c r="DM64" s="110"/>
      <c r="DN64" s="110"/>
      <c r="DO64" s="110"/>
      <c r="DP64" s="110"/>
      <c r="DQ64" s="110"/>
      <c r="DR64" s="110"/>
      <c r="DS64" s="110"/>
      <c r="DT64" s="114"/>
      <c r="DU64" s="3"/>
      <c r="DV64" s="3"/>
      <c r="DW64" s="3"/>
      <c r="DX64" s="3"/>
      <c r="DY64" s="3"/>
      <c r="DZ64" s="115"/>
      <c r="EA64" s="114"/>
      <c r="EB64" s="110"/>
      <c r="EC64" s="110"/>
      <c r="ED64" s="115"/>
      <c r="EE64" s="110"/>
      <c r="EF64" s="110"/>
      <c r="EG64" s="110"/>
      <c r="EH64" s="110"/>
      <c r="EI64" s="110"/>
      <c r="EJ64" s="114"/>
      <c r="EK64" s="3"/>
      <c r="EL64" s="3"/>
      <c r="EM64" s="3"/>
      <c r="EN64" s="3"/>
      <c r="EO64" s="113"/>
      <c r="ET64" s="84"/>
      <c r="EU64" s="163"/>
      <c r="EV64" s="157">
        <f t="shared" si="75"/>
        <v>0</v>
      </c>
      <c r="EW64" s="157">
        <f t="shared" si="76"/>
        <v>0</v>
      </c>
      <c r="EX64" s="157">
        <f t="shared" si="77"/>
        <v>0</v>
      </c>
      <c r="EY64" s="114">
        <f t="shared" si="78"/>
        <v>1</v>
      </c>
      <c r="EZ64" s="110">
        <f t="shared" si="79"/>
        <v>1</v>
      </c>
      <c r="FA64" s="116" t="e">
        <f t="shared" si="80"/>
        <v>#DIV/0!</v>
      </c>
      <c r="FB64" s="116">
        <f t="shared" si="81"/>
        <v>1</v>
      </c>
      <c r="FC64" s="154">
        <f t="shared" si="82"/>
        <v>1</v>
      </c>
      <c r="FD64" s="110">
        <f t="shared" si="83"/>
        <v>1</v>
      </c>
      <c r="FE64" s="116" t="e">
        <f t="shared" si="84"/>
        <v>#DIV/0!</v>
      </c>
      <c r="FF64" s="153">
        <f t="shared" si="85"/>
        <v>1</v>
      </c>
      <c r="FG64" s="141"/>
      <c r="FH64" s="111">
        <f t="shared" si="42"/>
        <v>0</v>
      </c>
      <c r="FI64" s="96" t="e">
        <f t="shared" si="87"/>
        <v>#DIV/0!</v>
      </c>
      <c r="FJ64" s="96" t="e">
        <f t="shared" si="88"/>
        <v>#DIV/0!</v>
      </c>
      <c r="FK64" s="96">
        <f t="shared" si="43"/>
        <v>0</v>
      </c>
      <c r="FL64" s="96"/>
      <c r="FM64" s="96" t="e">
        <f t="shared" si="44"/>
        <v>#N/A</v>
      </c>
      <c r="FN64" s="96" t="e">
        <f t="shared" si="89"/>
        <v>#N/A</v>
      </c>
      <c r="FO64" s="96" t="e">
        <f t="shared" si="46"/>
        <v>#N/A</v>
      </c>
      <c r="FP64" s="96" t="e">
        <f t="shared" si="90"/>
        <v>#DIV/0!</v>
      </c>
      <c r="FQ64" s="96" t="e">
        <f t="shared" si="91"/>
        <v>#DIV/0!</v>
      </c>
      <c r="FR64" s="112" t="e">
        <f t="shared" si="92"/>
        <v>#DIV/0!</v>
      </c>
      <c r="FS64" s="113" t="e">
        <f t="shared" si="93"/>
        <v>#DIV/0!</v>
      </c>
      <c r="FT64" s="13" t="e">
        <f t="shared" si="94"/>
        <v>#DIV/0!</v>
      </c>
      <c r="FU64" s="84" t="e">
        <f t="shared" si="95"/>
        <v>#DIV/0!</v>
      </c>
      <c r="FV64" s="115">
        <f>-FW64</f>
        <v>0</v>
      </c>
      <c r="FW64" s="110"/>
      <c r="FX64" s="96"/>
      <c r="FY64" s="96"/>
      <c r="FZ64" s="110"/>
      <c r="GA64" s="110"/>
      <c r="GB64" s="96">
        <f t="shared" ref="GB64:GB73" si="104">SQRT(2*CONVERT(FZ64, "psi", "Pa") / $J$1)</f>
        <v>0</v>
      </c>
      <c r="GC64" s="96" t="e">
        <f t="shared" si="98"/>
        <v>#N/A</v>
      </c>
      <c r="GD64" s="110" t="e">
        <f t="shared" si="99"/>
        <v>#N/A</v>
      </c>
      <c r="GE64" s="112">
        <f t="shared" si="100"/>
        <v>0</v>
      </c>
    </row>
    <row r="65" spans="1:187" x14ac:dyDescent="0.25">
      <c r="A65" s="111">
        <f>IF('3'!$AC$6="",-B65,NA())</f>
        <v>-0.2</v>
      </c>
      <c r="B65" s="110">
        <v>0.2</v>
      </c>
      <c r="C65" s="110">
        <v>30</v>
      </c>
      <c r="D65" s="115">
        <v>50000</v>
      </c>
      <c r="E65" s="110"/>
      <c r="F65" s="110"/>
      <c r="G65" s="110"/>
      <c r="H65" s="110"/>
      <c r="I65" s="110"/>
      <c r="J65" s="110"/>
      <c r="K65" s="109"/>
      <c r="L65" s="114"/>
      <c r="M65" s="110"/>
      <c r="N65" s="110"/>
      <c r="O65" s="110"/>
      <c r="P65" s="115"/>
      <c r="Q65" s="114"/>
      <c r="R65" s="110"/>
      <c r="S65" s="110"/>
      <c r="T65" s="110"/>
      <c r="U65" s="110"/>
      <c r="V65" s="115"/>
      <c r="W65" s="110"/>
      <c r="X65" s="110"/>
      <c r="Y65" s="110"/>
      <c r="Z65" s="110"/>
      <c r="AA65" s="110"/>
      <c r="AB65" s="110"/>
      <c r="AC65" s="110"/>
      <c r="AD65" s="114"/>
      <c r="AE65" s="3"/>
      <c r="AF65" s="3"/>
      <c r="AG65" s="3"/>
      <c r="AH65" s="3"/>
      <c r="AI65" s="3"/>
      <c r="AJ65" s="115"/>
      <c r="AK65" s="114"/>
      <c r="AL65" s="110"/>
      <c r="AM65" s="110"/>
      <c r="AN65" s="115"/>
      <c r="AO65" s="110"/>
      <c r="AP65" s="110"/>
      <c r="AQ65" s="110"/>
      <c r="AR65" s="110"/>
      <c r="AS65" s="110"/>
      <c r="AT65" s="114"/>
      <c r="AU65" s="3"/>
      <c r="AV65" s="3"/>
      <c r="AW65" s="3"/>
      <c r="AX65" s="3"/>
      <c r="AY65" s="113"/>
      <c r="BD65" s="84"/>
      <c r="BF65" s="157">
        <f t="shared" si="48"/>
        <v>0</v>
      </c>
      <c r="BG65" s="157">
        <f t="shared" si="49"/>
        <v>0</v>
      </c>
      <c r="BH65" s="157">
        <f t="shared" si="50"/>
        <v>0</v>
      </c>
      <c r="BI65" s="114">
        <f t="shared" si="51"/>
        <v>1</v>
      </c>
      <c r="BJ65" s="110">
        <f t="shared" si="52"/>
        <v>1</v>
      </c>
      <c r="BK65" s="116" t="e">
        <f t="shared" si="53"/>
        <v>#DIV/0!</v>
      </c>
      <c r="BL65" s="116">
        <f t="shared" si="54"/>
        <v>1</v>
      </c>
      <c r="BM65" s="154">
        <f t="shared" si="55"/>
        <v>1</v>
      </c>
      <c r="BN65" s="110">
        <f t="shared" si="56"/>
        <v>1</v>
      </c>
      <c r="BO65" s="116" t="e">
        <f t="shared" si="57"/>
        <v>#DIV/0!</v>
      </c>
      <c r="BP65" s="153">
        <f t="shared" si="58"/>
        <v>1</v>
      </c>
      <c r="BQ65" s="141"/>
      <c r="BR65" s="111">
        <f t="shared" si="37"/>
        <v>0</v>
      </c>
      <c r="BS65" s="96" t="e">
        <f t="shared" si="60"/>
        <v>#DIV/0!</v>
      </c>
      <c r="BT65" s="96" t="e">
        <f t="shared" si="61"/>
        <v>#DIV/0!</v>
      </c>
      <c r="BU65" s="96">
        <f t="shared" si="38"/>
        <v>0</v>
      </c>
      <c r="BV65" s="96"/>
      <c r="BW65" s="96">
        <f t="shared" si="39"/>
        <v>0.95874001371920414</v>
      </c>
      <c r="BX65" s="96">
        <f t="shared" si="62"/>
        <v>0.95874001371920414</v>
      </c>
      <c r="BY65" s="96">
        <f t="shared" si="41"/>
        <v>0</v>
      </c>
      <c r="BZ65" s="96" t="e">
        <f t="shared" si="63"/>
        <v>#DIV/0!</v>
      </c>
      <c r="CA65" s="96" t="e">
        <f t="shared" si="64"/>
        <v>#DIV/0!</v>
      </c>
      <c r="CB65" s="112" t="e">
        <f t="shared" si="65"/>
        <v>#DIV/0!</v>
      </c>
      <c r="CC65" s="113" t="e">
        <f t="shared" si="66"/>
        <v>#DIV/0!</v>
      </c>
      <c r="CD65" s="13" t="e">
        <f t="shared" si="67"/>
        <v>#DIV/0!</v>
      </c>
      <c r="CE65" s="84" t="e">
        <f t="shared" si="68"/>
        <v>#DIV/0!</v>
      </c>
      <c r="CF65" s="115">
        <f t="shared" ref="CF65:CF73" si="105">-CG65</f>
        <v>0</v>
      </c>
      <c r="CG65" s="110"/>
      <c r="CH65" s="96"/>
      <c r="CI65" s="96"/>
      <c r="CJ65" s="110"/>
      <c r="CK65" s="110"/>
      <c r="CL65" s="96">
        <f t="shared" si="103"/>
        <v>0</v>
      </c>
      <c r="CM65" s="96" t="e">
        <f t="shared" si="71"/>
        <v>#N/A</v>
      </c>
      <c r="CN65" s="110" t="e">
        <f t="shared" si="72"/>
        <v>#N/A</v>
      </c>
      <c r="CO65" s="112">
        <f t="shared" si="73"/>
        <v>0</v>
      </c>
      <c r="CQ65" s="111" t="e">
        <f>IF('3'!$AC$4="",-CR65,NA())</f>
        <v>#N/A</v>
      </c>
      <c r="CR65" s="110"/>
      <c r="CS65" s="110"/>
      <c r="CT65" s="115"/>
      <c r="CU65" s="110"/>
      <c r="CV65" s="110"/>
      <c r="CW65" s="110"/>
      <c r="CX65" s="110"/>
      <c r="CY65" s="110"/>
      <c r="CZ65" s="110"/>
      <c r="DA65" s="109"/>
      <c r="DB65" s="114"/>
      <c r="DC65" s="110"/>
      <c r="DD65" s="110"/>
      <c r="DE65" s="110"/>
      <c r="DF65" s="115"/>
      <c r="DG65" s="114"/>
      <c r="DH65" s="110"/>
      <c r="DI65" s="110"/>
      <c r="DJ65" s="110"/>
      <c r="DK65" s="110"/>
      <c r="DL65" s="115"/>
      <c r="DM65" s="110"/>
      <c r="DN65" s="110"/>
      <c r="DO65" s="110"/>
      <c r="DP65" s="110"/>
      <c r="DQ65" s="110"/>
      <c r="DR65" s="110"/>
      <c r="DS65" s="110"/>
      <c r="DT65" s="114"/>
      <c r="DU65" s="3"/>
      <c r="DV65" s="3"/>
      <c r="DW65" s="3"/>
      <c r="DX65" s="3"/>
      <c r="DY65" s="3"/>
      <c r="DZ65" s="115"/>
      <c r="EA65" s="114"/>
      <c r="EB65" s="110"/>
      <c r="EC65" s="110"/>
      <c r="ED65" s="115"/>
      <c r="EE65" s="110"/>
      <c r="EF65" s="110"/>
      <c r="EG65" s="110"/>
      <c r="EH65" s="110"/>
      <c r="EI65" s="110"/>
      <c r="EJ65" s="114"/>
      <c r="EK65" s="3"/>
      <c r="EL65" s="3"/>
      <c r="EM65" s="3"/>
      <c r="EN65" s="3"/>
      <c r="EO65" s="113"/>
      <c r="ET65" s="84"/>
      <c r="EU65" s="163"/>
      <c r="EV65" s="157" t="e">
        <f t="shared" si="75"/>
        <v>#DIV/0!</v>
      </c>
      <c r="EW65" s="157" t="e">
        <f t="shared" si="76"/>
        <v>#DIV/0!</v>
      </c>
      <c r="EX65" s="157" t="e">
        <f t="shared" si="77"/>
        <v>#DIV/0!</v>
      </c>
      <c r="EY65" s="114">
        <f t="shared" si="78"/>
        <v>1</v>
      </c>
      <c r="EZ65" s="110">
        <f t="shared" si="79"/>
        <v>1</v>
      </c>
      <c r="FA65" s="116" t="e">
        <f t="shared" si="80"/>
        <v>#DIV/0!</v>
      </c>
      <c r="FB65" s="116">
        <f t="shared" si="81"/>
        <v>1</v>
      </c>
      <c r="FC65" s="154">
        <f t="shared" si="82"/>
        <v>1</v>
      </c>
      <c r="FD65" s="110">
        <f t="shared" si="83"/>
        <v>1</v>
      </c>
      <c r="FE65" s="116" t="e">
        <f t="shared" si="84"/>
        <v>#DIV/0!</v>
      </c>
      <c r="FF65" s="153">
        <f t="shared" si="85"/>
        <v>1</v>
      </c>
      <c r="FG65" s="141"/>
      <c r="FH65" s="111">
        <f t="shared" si="42"/>
        <v>0</v>
      </c>
      <c r="FI65" s="96" t="e">
        <f t="shared" si="87"/>
        <v>#DIV/0!</v>
      </c>
      <c r="FJ65" s="96" t="e">
        <f t="shared" si="88"/>
        <v>#DIV/0!</v>
      </c>
      <c r="FK65" s="96">
        <f t="shared" si="43"/>
        <v>0</v>
      </c>
      <c r="FL65" s="96"/>
      <c r="FM65" s="96" t="e">
        <f t="shared" si="44"/>
        <v>#N/A</v>
      </c>
      <c r="FN65" s="96" t="e">
        <f t="shared" si="89"/>
        <v>#N/A</v>
      </c>
      <c r="FO65" s="96" t="e">
        <f t="shared" si="46"/>
        <v>#N/A</v>
      </c>
      <c r="FP65" s="96" t="e">
        <f t="shared" si="90"/>
        <v>#DIV/0!</v>
      </c>
      <c r="FQ65" s="96" t="e">
        <f t="shared" si="91"/>
        <v>#DIV/0!</v>
      </c>
      <c r="FR65" s="112" t="e">
        <f t="shared" si="92"/>
        <v>#DIV/0!</v>
      </c>
      <c r="FS65" s="113" t="e">
        <f t="shared" si="93"/>
        <v>#DIV/0!</v>
      </c>
      <c r="FT65" s="13" t="e">
        <f t="shared" si="94"/>
        <v>#DIV/0!</v>
      </c>
      <c r="FU65" s="84" t="e">
        <f t="shared" si="95"/>
        <v>#DIV/0!</v>
      </c>
      <c r="FV65" s="115">
        <f t="shared" ref="FV65:FV73" si="106">-FW65</f>
        <v>0</v>
      </c>
      <c r="FW65" s="110"/>
      <c r="FX65" s="96"/>
      <c r="FY65" s="96"/>
      <c r="FZ65" s="110"/>
      <c r="GA65" s="110"/>
      <c r="GB65" s="96">
        <f t="shared" si="104"/>
        <v>0</v>
      </c>
      <c r="GC65" s="96" t="e">
        <f t="shared" si="98"/>
        <v>#N/A</v>
      </c>
      <c r="GD65" s="110" t="e">
        <f t="shared" si="99"/>
        <v>#N/A</v>
      </c>
      <c r="GE65" s="112">
        <f t="shared" si="100"/>
        <v>0</v>
      </c>
    </row>
    <row r="66" spans="1:187" x14ac:dyDescent="0.25">
      <c r="A66" s="111">
        <f>IF('3'!$AC$6="",-B66,NA())</f>
        <v>-0.3</v>
      </c>
      <c r="B66" s="110">
        <v>0.3</v>
      </c>
      <c r="C66" s="110">
        <v>30</v>
      </c>
      <c r="D66" s="115">
        <v>50000</v>
      </c>
      <c r="E66" s="110"/>
      <c r="F66" s="110"/>
      <c r="G66" s="110"/>
      <c r="H66" s="110"/>
      <c r="I66" s="110"/>
      <c r="J66" s="110"/>
      <c r="K66" s="109"/>
      <c r="L66" s="114"/>
      <c r="M66" s="110"/>
      <c r="N66" s="110"/>
      <c r="O66" s="110"/>
      <c r="P66" s="115"/>
      <c r="Q66" s="114"/>
      <c r="R66" s="110"/>
      <c r="S66" s="110"/>
      <c r="T66" s="110"/>
      <c r="U66" s="110"/>
      <c r="V66" s="115"/>
      <c r="W66" s="110"/>
      <c r="X66" s="110"/>
      <c r="Y66" s="110"/>
      <c r="Z66" s="110"/>
      <c r="AA66" s="110"/>
      <c r="AB66" s="110"/>
      <c r="AC66" s="110"/>
      <c r="AD66" s="114"/>
      <c r="AE66" s="3"/>
      <c r="AF66" s="3"/>
      <c r="AG66" s="3"/>
      <c r="AH66" s="3"/>
      <c r="AI66" s="3"/>
      <c r="AJ66" s="115"/>
      <c r="AK66" s="114"/>
      <c r="AL66" s="110"/>
      <c r="AM66" s="110"/>
      <c r="AN66" s="115"/>
      <c r="AO66" s="110"/>
      <c r="AP66" s="110"/>
      <c r="AQ66" s="110"/>
      <c r="AR66" s="110"/>
      <c r="AS66" s="110"/>
      <c r="AT66" s="114"/>
      <c r="AU66" s="3"/>
      <c r="AV66" s="3"/>
      <c r="AW66" s="3"/>
      <c r="AX66" s="3"/>
      <c r="AY66" s="113"/>
      <c r="BD66" s="84"/>
      <c r="BF66" s="157">
        <f t="shared" si="48"/>
        <v>0</v>
      </c>
      <c r="BG66" s="157">
        <f t="shared" si="49"/>
        <v>0</v>
      </c>
      <c r="BH66" s="157">
        <f t="shared" si="50"/>
        <v>0</v>
      </c>
      <c r="BI66" s="114">
        <f t="shared" si="51"/>
        <v>1</v>
      </c>
      <c r="BJ66" s="110">
        <f t="shared" si="52"/>
        <v>1</v>
      </c>
      <c r="BK66" s="116" t="e">
        <f t="shared" si="53"/>
        <v>#DIV/0!</v>
      </c>
      <c r="BL66" s="116">
        <f t="shared" si="54"/>
        <v>1</v>
      </c>
      <c r="BM66" s="154">
        <f t="shared" si="55"/>
        <v>1</v>
      </c>
      <c r="BN66" s="110">
        <f t="shared" si="56"/>
        <v>1</v>
      </c>
      <c r="BO66" s="116" t="e">
        <f t="shared" si="57"/>
        <v>#DIV/0!</v>
      </c>
      <c r="BP66" s="153">
        <f t="shared" si="58"/>
        <v>1</v>
      </c>
      <c r="BQ66" s="141"/>
      <c r="BR66" s="111">
        <f t="shared" si="37"/>
        <v>0</v>
      </c>
      <c r="BS66" s="96" t="e">
        <f t="shared" si="60"/>
        <v>#DIV/0!</v>
      </c>
      <c r="BT66" s="96" t="e">
        <f t="shared" si="61"/>
        <v>#DIV/0!</v>
      </c>
      <c r="BU66" s="96">
        <f t="shared" si="38"/>
        <v>0</v>
      </c>
      <c r="BV66" s="96"/>
      <c r="BW66" s="96">
        <f t="shared" si="39"/>
        <v>0.93798193514099792</v>
      </c>
      <c r="BX66" s="96">
        <f t="shared" si="62"/>
        <v>0.93798193514099792</v>
      </c>
      <c r="BY66" s="96">
        <f t="shared" si="41"/>
        <v>0</v>
      </c>
      <c r="BZ66" s="96" t="e">
        <f t="shared" si="63"/>
        <v>#DIV/0!</v>
      </c>
      <c r="CA66" s="96" t="e">
        <f t="shared" si="64"/>
        <v>#DIV/0!</v>
      </c>
      <c r="CB66" s="112" t="e">
        <f t="shared" si="65"/>
        <v>#DIV/0!</v>
      </c>
      <c r="CC66" s="113" t="e">
        <f t="shared" si="66"/>
        <v>#DIV/0!</v>
      </c>
      <c r="CD66" s="13" t="e">
        <f t="shared" si="67"/>
        <v>#DIV/0!</v>
      </c>
      <c r="CE66" s="84" t="e">
        <f t="shared" si="68"/>
        <v>#DIV/0!</v>
      </c>
      <c r="CF66" s="115">
        <f t="shared" si="105"/>
        <v>0</v>
      </c>
      <c r="CG66" s="110"/>
      <c r="CH66" s="96"/>
      <c r="CI66" s="96"/>
      <c r="CJ66" s="110"/>
      <c r="CK66" s="110"/>
      <c r="CL66" s="96">
        <f t="shared" si="103"/>
        <v>0</v>
      </c>
      <c r="CM66" s="96" t="e">
        <f t="shared" si="71"/>
        <v>#N/A</v>
      </c>
      <c r="CN66" s="110" t="e">
        <f t="shared" si="72"/>
        <v>#N/A</v>
      </c>
      <c r="CO66" s="112">
        <f t="shared" si="73"/>
        <v>0</v>
      </c>
      <c r="CQ66" s="111" t="e">
        <f>IF('3'!$AC$4="",-CR66,NA())</f>
        <v>#N/A</v>
      </c>
      <c r="CR66" s="110"/>
      <c r="CS66" s="110"/>
      <c r="CT66" s="115"/>
      <c r="CU66" s="110"/>
      <c r="CV66" s="110"/>
      <c r="CW66" s="110"/>
      <c r="CX66" s="110"/>
      <c r="CY66" s="110"/>
      <c r="CZ66" s="110"/>
      <c r="DA66" s="109"/>
      <c r="DB66" s="114"/>
      <c r="DC66" s="110"/>
      <c r="DD66" s="110"/>
      <c r="DE66" s="110"/>
      <c r="DF66" s="115"/>
      <c r="DG66" s="114"/>
      <c r="DH66" s="110"/>
      <c r="DI66" s="110"/>
      <c r="DJ66" s="110"/>
      <c r="DK66" s="110"/>
      <c r="DL66" s="115"/>
      <c r="DM66" s="110"/>
      <c r="DN66" s="110"/>
      <c r="DO66" s="110"/>
      <c r="DP66" s="110"/>
      <c r="DQ66" s="110"/>
      <c r="DR66" s="110"/>
      <c r="DS66" s="110"/>
      <c r="DT66" s="114"/>
      <c r="DU66" s="3"/>
      <c r="DV66" s="3"/>
      <c r="DW66" s="3"/>
      <c r="DX66" s="3"/>
      <c r="DY66" s="3"/>
      <c r="DZ66" s="115"/>
      <c r="EA66" s="114"/>
      <c r="EB66" s="110"/>
      <c r="EC66" s="110"/>
      <c r="ED66" s="115"/>
      <c r="EE66" s="110"/>
      <c r="EF66" s="110"/>
      <c r="EG66" s="110"/>
      <c r="EH66" s="110"/>
      <c r="EI66" s="110"/>
      <c r="EJ66" s="114"/>
      <c r="EK66" s="3"/>
      <c r="EL66" s="3"/>
      <c r="EM66" s="3"/>
      <c r="EN66" s="3"/>
      <c r="EO66" s="113"/>
      <c r="ET66" s="84"/>
      <c r="EU66" s="163"/>
      <c r="EV66" s="157" t="e">
        <f t="shared" si="75"/>
        <v>#DIV/0!</v>
      </c>
      <c r="EW66" s="157" t="e">
        <f t="shared" si="76"/>
        <v>#DIV/0!</v>
      </c>
      <c r="EX66" s="157" t="e">
        <f t="shared" si="77"/>
        <v>#DIV/0!</v>
      </c>
      <c r="EY66" s="114">
        <f t="shared" si="78"/>
        <v>1</v>
      </c>
      <c r="EZ66" s="110">
        <f t="shared" si="79"/>
        <v>1</v>
      </c>
      <c r="FA66" s="116" t="e">
        <f t="shared" si="80"/>
        <v>#DIV/0!</v>
      </c>
      <c r="FB66" s="116">
        <f t="shared" si="81"/>
        <v>1</v>
      </c>
      <c r="FC66" s="154">
        <f t="shared" si="82"/>
        <v>1</v>
      </c>
      <c r="FD66" s="110">
        <f t="shared" si="83"/>
        <v>1</v>
      </c>
      <c r="FE66" s="116" t="e">
        <f t="shared" si="84"/>
        <v>#DIV/0!</v>
      </c>
      <c r="FF66" s="153">
        <f t="shared" si="85"/>
        <v>1</v>
      </c>
      <c r="FG66" s="141"/>
      <c r="FH66" s="111">
        <f t="shared" si="42"/>
        <v>0</v>
      </c>
      <c r="FI66" s="96" t="e">
        <f t="shared" si="87"/>
        <v>#DIV/0!</v>
      </c>
      <c r="FJ66" s="96" t="e">
        <f t="shared" si="88"/>
        <v>#DIV/0!</v>
      </c>
      <c r="FK66" s="96">
        <f t="shared" si="43"/>
        <v>0</v>
      </c>
      <c r="FL66" s="96"/>
      <c r="FM66" s="96" t="e">
        <f t="shared" si="44"/>
        <v>#N/A</v>
      </c>
      <c r="FN66" s="96" t="e">
        <f t="shared" si="89"/>
        <v>#N/A</v>
      </c>
      <c r="FO66" s="96" t="e">
        <f t="shared" si="46"/>
        <v>#N/A</v>
      </c>
      <c r="FP66" s="96" t="e">
        <f t="shared" si="90"/>
        <v>#DIV/0!</v>
      </c>
      <c r="FQ66" s="96" t="e">
        <f t="shared" si="91"/>
        <v>#DIV/0!</v>
      </c>
      <c r="FR66" s="112" t="e">
        <f t="shared" si="92"/>
        <v>#DIV/0!</v>
      </c>
      <c r="FS66" s="113" t="e">
        <f t="shared" si="93"/>
        <v>#DIV/0!</v>
      </c>
      <c r="FT66" s="13" t="e">
        <f t="shared" si="94"/>
        <v>#DIV/0!</v>
      </c>
      <c r="FU66" s="84" t="e">
        <f t="shared" si="95"/>
        <v>#DIV/0!</v>
      </c>
      <c r="FV66" s="115">
        <f t="shared" si="106"/>
        <v>0</v>
      </c>
      <c r="FW66" s="110"/>
      <c r="FX66" s="96"/>
      <c r="FY66" s="96"/>
      <c r="FZ66" s="110"/>
      <c r="GA66" s="110"/>
      <c r="GB66" s="96">
        <f t="shared" si="104"/>
        <v>0</v>
      </c>
      <c r="GC66" s="96" t="e">
        <f t="shared" si="98"/>
        <v>#N/A</v>
      </c>
      <c r="GD66" s="110" t="e">
        <f t="shared" si="99"/>
        <v>#N/A</v>
      </c>
      <c r="GE66" s="112">
        <f t="shared" si="100"/>
        <v>0</v>
      </c>
    </row>
    <row r="67" spans="1:187" x14ac:dyDescent="0.25">
      <c r="A67" s="111">
        <f>IF('3'!$AC$6="",-B67,NA())</f>
        <v>-0.4</v>
      </c>
      <c r="B67" s="110">
        <v>0.4</v>
      </c>
      <c r="C67" s="110">
        <v>30</v>
      </c>
      <c r="D67" s="115">
        <v>50000</v>
      </c>
      <c r="E67" s="110"/>
      <c r="F67" s="110"/>
      <c r="G67" s="110"/>
      <c r="H67" s="110"/>
      <c r="I67" s="110"/>
      <c r="J67" s="110"/>
      <c r="K67" s="109"/>
      <c r="L67" s="114"/>
      <c r="M67" s="110"/>
      <c r="N67" s="110"/>
      <c r="O67" s="110"/>
      <c r="P67" s="115"/>
      <c r="Q67" s="114"/>
      <c r="R67" s="110"/>
      <c r="S67" s="110"/>
      <c r="T67" s="110"/>
      <c r="U67" s="110"/>
      <c r="V67" s="115"/>
      <c r="W67" s="110"/>
      <c r="X67" s="110"/>
      <c r="Y67" s="110"/>
      <c r="Z67" s="110"/>
      <c r="AA67" s="110"/>
      <c r="AB67" s="110"/>
      <c r="AC67" s="110"/>
      <c r="AD67" s="114"/>
      <c r="AE67" s="3"/>
      <c r="AF67" s="3"/>
      <c r="AG67" s="3"/>
      <c r="AH67" s="3"/>
      <c r="AI67" s="3"/>
      <c r="AJ67" s="115"/>
      <c r="AK67" s="114"/>
      <c r="AL67" s="110"/>
      <c r="AM67" s="110"/>
      <c r="AN67" s="115"/>
      <c r="AO67" s="110"/>
      <c r="AP67" s="110"/>
      <c r="AQ67" s="110"/>
      <c r="AR67" s="110"/>
      <c r="AS67" s="110"/>
      <c r="AT67" s="114"/>
      <c r="AU67" s="3"/>
      <c r="AV67" s="3"/>
      <c r="AW67" s="3"/>
      <c r="AX67" s="3"/>
      <c r="AY67" s="113"/>
      <c r="BD67" s="84"/>
      <c r="BF67" s="157">
        <f t="shared" si="48"/>
        <v>0</v>
      </c>
      <c r="BG67" s="157">
        <f t="shared" si="49"/>
        <v>0</v>
      </c>
      <c r="BH67" s="157">
        <f t="shared" si="50"/>
        <v>0</v>
      </c>
      <c r="BI67" s="114">
        <f t="shared" si="51"/>
        <v>1</v>
      </c>
      <c r="BJ67" s="110">
        <f t="shared" si="52"/>
        <v>1</v>
      </c>
      <c r="BK67" s="116" t="e">
        <f t="shared" si="53"/>
        <v>#DIV/0!</v>
      </c>
      <c r="BL67" s="116">
        <f t="shared" si="54"/>
        <v>1</v>
      </c>
      <c r="BM67" s="154">
        <f t="shared" si="55"/>
        <v>1</v>
      </c>
      <c r="BN67" s="110">
        <f t="shared" si="56"/>
        <v>1</v>
      </c>
      <c r="BO67" s="116" t="e">
        <f t="shared" si="57"/>
        <v>#DIV/0!</v>
      </c>
      <c r="BP67" s="153">
        <f t="shared" si="58"/>
        <v>1</v>
      </c>
      <c r="BQ67" s="141"/>
      <c r="BR67" s="111">
        <f t="shared" si="37"/>
        <v>0</v>
      </c>
      <c r="BS67" s="96" t="e">
        <f t="shared" si="60"/>
        <v>#DIV/0!</v>
      </c>
      <c r="BT67" s="96" t="e">
        <f t="shared" si="61"/>
        <v>#DIV/0!</v>
      </c>
      <c r="BU67" s="96">
        <f t="shared" si="38"/>
        <v>0</v>
      </c>
      <c r="BV67" s="96"/>
      <c r="BW67" s="96">
        <f t="shared" si="39"/>
        <v>0.91457676741031746</v>
      </c>
      <c r="BX67" s="96">
        <f t="shared" si="62"/>
        <v>0.91457676741031746</v>
      </c>
      <c r="BY67" s="96">
        <f t="shared" si="41"/>
        <v>0</v>
      </c>
      <c r="BZ67" s="96" t="e">
        <f t="shared" si="63"/>
        <v>#DIV/0!</v>
      </c>
      <c r="CA67" s="96" t="e">
        <f t="shared" si="64"/>
        <v>#DIV/0!</v>
      </c>
      <c r="CB67" s="112" t="e">
        <f t="shared" si="65"/>
        <v>#DIV/0!</v>
      </c>
      <c r="CC67" s="113" t="e">
        <f t="shared" si="66"/>
        <v>#DIV/0!</v>
      </c>
      <c r="CD67" s="13" t="e">
        <f t="shared" si="67"/>
        <v>#DIV/0!</v>
      </c>
      <c r="CE67" s="84" t="e">
        <f t="shared" si="68"/>
        <v>#DIV/0!</v>
      </c>
      <c r="CF67" s="115">
        <f t="shared" si="105"/>
        <v>0</v>
      </c>
      <c r="CG67" s="110"/>
      <c r="CH67" s="96"/>
      <c r="CI67" s="96"/>
      <c r="CJ67" s="110"/>
      <c r="CK67" s="110"/>
      <c r="CL67" s="96">
        <f t="shared" si="103"/>
        <v>0</v>
      </c>
      <c r="CM67" s="96" t="e">
        <f t="shared" si="71"/>
        <v>#N/A</v>
      </c>
      <c r="CN67" s="110" t="e">
        <f t="shared" si="72"/>
        <v>#N/A</v>
      </c>
      <c r="CO67" s="112">
        <f t="shared" si="73"/>
        <v>0</v>
      </c>
      <c r="CQ67" s="111" t="e">
        <f>IF('3'!$AC$4="",-CR67,NA())</f>
        <v>#N/A</v>
      </c>
      <c r="CR67" s="110"/>
      <c r="CS67" s="110"/>
      <c r="CT67" s="115"/>
      <c r="CU67" s="110"/>
      <c r="CV67" s="110"/>
      <c r="CW67" s="110"/>
      <c r="CX67" s="110"/>
      <c r="CY67" s="110"/>
      <c r="CZ67" s="110"/>
      <c r="DA67" s="109"/>
      <c r="DB67" s="114"/>
      <c r="DC67" s="110"/>
      <c r="DD67" s="110"/>
      <c r="DE67" s="110"/>
      <c r="DF67" s="115"/>
      <c r="DG67" s="114"/>
      <c r="DH67" s="110"/>
      <c r="DI67" s="110"/>
      <c r="DJ67" s="110"/>
      <c r="DK67" s="110"/>
      <c r="DL67" s="115"/>
      <c r="DM67" s="110"/>
      <c r="DN67" s="110"/>
      <c r="DO67" s="110"/>
      <c r="DP67" s="110"/>
      <c r="DQ67" s="110"/>
      <c r="DR67" s="110"/>
      <c r="DS67" s="110"/>
      <c r="DT67" s="114"/>
      <c r="DU67" s="3"/>
      <c r="DV67" s="3"/>
      <c r="DW67" s="3"/>
      <c r="DX67" s="3"/>
      <c r="DY67" s="3"/>
      <c r="DZ67" s="115"/>
      <c r="EA67" s="114"/>
      <c r="EB67" s="110"/>
      <c r="EC67" s="110"/>
      <c r="ED67" s="115"/>
      <c r="EE67" s="110"/>
      <c r="EF67" s="110"/>
      <c r="EG67" s="110"/>
      <c r="EH67" s="110"/>
      <c r="EI67" s="110"/>
      <c r="EJ67" s="114"/>
      <c r="EK67" s="3"/>
      <c r="EL67" s="3"/>
      <c r="EM67" s="3"/>
      <c r="EN67" s="3"/>
      <c r="EO67" s="113"/>
      <c r="ET67" s="84"/>
      <c r="EU67" s="163"/>
      <c r="EV67" s="157" t="e">
        <f t="shared" si="75"/>
        <v>#DIV/0!</v>
      </c>
      <c r="EW67" s="157" t="e">
        <f t="shared" si="76"/>
        <v>#DIV/0!</v>
      </c>
      <c r="EX67" s="157" t="e">
        <f t="shared" si="77"/>
        <v>#DIV/0!</v>
      </c>
      <c r="EY67" s="114">
        <f t="shared" si="78"/>
        <v>1</v>
      </c>
      <c r="EZ67" s="110">
        <f t="shared" si="79"/>
        <v>1</v>
      </c>
      <c r="FA67" s="116" t="e">
        <f t="shared" si="80"/>
        <v>#DIV/0!</v>
      </c>
      <c r="FB67" s="116">
        <f t="shared" si="81"/>
        <v>1</v>
      </c>
      <c r="FC67" s="154">
        <f t="shared" si="82"/>
        <v>1</v>
      </c>
      <c r="FD67" s="110">
        <f t="shared" si="83"/>
        <v>1</v>
      </c>
      <c r="FE67" s="116" t="e">
        <f t="shared" si="84"/>
        <v>#DIV/0!</v>
      </c>
      <c r="FF67" s="153">
        <f t="shared" si="85"/>
        <v>1</v>
      </c>
      <c r="FG67" s="141"/>
      <c r="FH67" s="111">
        <f t="shared" si="42"/>
        <v>0</v>
      </c>
      <c r="FI67" s="96" t="e">
        <f t="shared" si="87"/>
        <v>#DIV/0!</v>
      </c>
      <c r="FJ67" s="96" t="e">
        <f t="shared" si="88"/>
        <v>#DIV/0!</v>
      </c>
      <c r="FK67" s="96">
        <f t="shared" si="43"/>
        <v>0</v>
      </c>
      <c r="FL67" s="96"/>
      <c r="FM67" s="96" t="e">
        <f t="shared" si="44"/>
        <v>#N/A</v>
      </c>
      <c r="FN67" s="96" t="e">
        <f t="shared" si="89"/>
        <v>#N/A</v>
      </c>
      <c r="FO67" s="96" t="e">
        <f t="shared" si="46"/>
        <v>#N/A</v>
      </c>
      <c r="FP67" s="96" t="e">
        <f t="shared" si="90"/>
        <v>#DIV/0!</v>
      </c>
      <c r="FQ67" s="96" t="e">
        <f t="shared" si="91"/>
        <v>#DIV/0!</v>
      </c>
      <c r="FR67" s="112" t="e">
        <f t="shared" si="92"/>
        <v>#DIV/0!</v>
      </c>
      <c r="FS67" s="113" t="e">
        <f t="shared" si="93"/>
        <v>#DIV/0!</v>
      </c>
      <c r="FT67" s="13" t="e">
        <f t="shared" si="94"/>
        <v>#DIV/0!</v>
      </c>
      <c r="FU67" s="84" t="e">
        <f t="shared" si="95"/>
        <v>#DIV/0!</v>
      </c>
      <c r="FV67" s="115">
        <f t="shared" si="106"/>
        <v>0</v>
      </c>
      <c r="FW67" s="110"/>
      <c r="FX67" s="96"/>
      <c r="FY67" s="96"/>
      <c r="FZ67" s="110"/>
      <c r="GA67" s="110"/>
      <c r="GB67" s="96">
        <f t="shared" si="104"/>
        <v>0</v>
      </c>
      <c r="GC67" s="96" t="e">
        <f t="shared" si="98"/>
        <v>#N/A</v>
      </c>
      <c r="GD67" s="110" t="e">
        <f t="shared" si="99"/>
        <v>#N/A</v>
      </c>
      <c r="GE67" s="112">
        <f t="shared" si="100"/>
        <v>0</v>
      </c>
    </row>
    <row r="68" spans="1:187" x14ac:dyDescent="0.25">
      <c r="A68" s="111">
        <f>IF('3'!$AC$6="",-B68,NA())</f>
        <v>-0.5</v>
      </c>
      <c r="B68" s="110">
        <v>0.5</v>
      </c>
      <c r="C68" s="110">
        <v>30</v>
      </c>
      <c r="D68" s="115">
        <v>50000</v>
      </c>
      <c r="E68" s="110"/>
      <c r="F68" s="110"/>
      <c r="G68" s="110"/>
      <c r="H68" s="110"/>
      <c r="I68" s="110"/>
      <c r="J68" s="110"/>
      <c r="K68" s="109"/>
      <c r="L68" s="114"/>
      <c r="M68" s="110"/>
      <c r="N68" s="110"/>
      <c r="O68" s="110"/>
      <c r="P68" s="115"/>
      <c r="Q68" s="114"/>
      <c r="R68" s="110"/>
      <c r="S68" s="110"/>
      <c r="T68" s="110"/>
      <c r="U68" s="110"/>
      <c r="V68" s="115"/>
      <c r="W68" s="110"/>
      <c r="X68" s="110"/>
      <c r="Y68" s="110"/>
      <c r="Z68" s="110"/>
      <c r="AA68" s="110"/>
      <c r="AB68" s="110"/>
      <c r="AC68" s="110"/>
      <c r="AD68" s="114"/>
      <c r="AE68" s="3"/>
      <c r="AF68" s="3"/>
      <c r="AG68" s="3"/>
      <c r="AH68" s="3"/>
      <c r="AI68" s="3"/>
      <c r="AJ68" s="115"/>
      <c r="AK68" s="114"/>
      <c r="AL68" s="110"/>
      <c r="AM68" s="110"/>
      <c r="AN68" s="115"/>
      <c r="AO68" s="110"/>
      <c r="AP68" s="110"/>
      <c r="AQ68" s="110"/>
      <c r="AR68" s="110"/>
      <c r="AS68" s="110"/>
      <c r="AT68" s="114"/>
      <c r="AU68" s="3"/>
      <c r="AV68" s="3"/>
      <c r="AW68" s="3"/>
      <c r="AX68" s="3"/>
      <c r="AY68" s="113"/>
      <c r="BD68" s="84"/>
      <c r="BF68" s="157">
        <f t="shared" si="48"/>
        <v>0</v>
      </c>
      <c r="BG68" s="157">
        <f t="shared" si="49"/>
        <v>0</v>
      </c>
      <c r="BH68" s="157">
        <f t="shared" si="50"/>
        <v>0</v>
      </c>
      <c r="BI68" s="114">
        <f t="shared" si="51"/>
        <v>1</v>
      </c>
      <c r="BJ68" s="110">
        <f t="shared" si="52"/>
        <v>1</v>
      </c>
      <c r="BK68" s="116" t="e">
        <f t="shared" si="53"/>
        <v>#DIV/0!</v>
      </c>
      <c r="BL68" s="116">
        <f t="shared" si="54"/>
        <v>1</v>
      </c>
      <c r="BM68" s="154">
        <f t="shared" si="55"/>
        <v>1</v>
      </c>
      <c r="BN68" s="110">
        <f t="shared" si="56"/>
        <v>1</v>
      </c>
      <c r="BO68" s="116" t="e">
        <f t="shared" si="57"/>
        <v>#DIV/0!</v>
      </c>
      <c r="BP68" s="153">
        <f t="shared" si="58"/>
        <v>1</v>
      </c>
      <c r="BQ68" s="141"/>
      <c r="BR68" s="111">
        <f t="shared" si="37"/>
        <v>0</v>
      </c>
      <c r="BS68" s="96" t="e">
        <f t="shared" si="60"/>
        <v>#DIV/0!</v>
      </c>
      <c r="BT68" s="96" t="e">
        <f t="shared" si="61"/>
        <v>#DIV/0!</v>
      </c>
      <c r="BU68" s="96">
        <f t="shared" si="38"/>
        <v>0</v>
      </c>
      <c r="BV68" s="96"/>
      <c r="BW68" s="96">
        <f t="shared" si="39"/>
        <v>0.88764704592069232</v>
      </c>
      <c r="BX68" s="96">
        <f t="shared" si="62"/>
        <v>0.88764704592069232</v>
      </c>
      <c r="BY68" s="96">
        <f t="shared" si="41"/>
        <v>0</v>
      </c>
      <c r="BZ68" s="96" t="e">
        <f t="shared" si="63"/>
        <v>#DIV/0!</v>
      </c>
      <c r="CA68" s="96" t="e">
        <f t="shared" si="64"/>
        <v>#DIV/0!</v>
      </c>
      <c r="CB68" s="112" t="e">
        <f t="shared" si="65"/>
        <v>#DIV/0!</v>
      </c>
      <c r="CC68" s="113" t="e">
        <f t="shared" si="66"/>
        <v>#DIV/0!</v>
      </c>
      <c r="CD68" s="13" t="e">
        <f t="shared" si="67"/>
        <v>#DIV/0!</v>
      </c>
      <c r="CE68" s="84" t="e">
        <f t="shared" si="68"/>
        <v>#DIV/0!</v>
      </c>
      <c r="CF68" s="115">
        <f t="shared" si="105"/>
        <v>0</v>
      </c>
      <c r="CG68" s="110"/>
      <c r="CH68" s="96"/>
      <c r="CI68" s="96"/>
      <c r="CJ68" s="110"/>
      <c r="CK68" s="110"/>
      <c r="CL68" s="96">
        <f t="shared" si="103"/>
        <v>0</v>
      </c>
      <c r="CM68" s="96" t="e">
        <f t="shared" si="71"/>
        <v>#N/A</v>
      </c>
      <c r="CN68" s="110" t="e">
        <f t="shared" si="72"/>
        <v>#N/A</v>
      </c>
      <c r="CO68" s="112">
        <f t="shared" si="73"/>
        <v>0</v>
      </c>
      <c r="CQ68" s="111" t="e">
        <f>IF('3'!$AC$4="",-CR68,NA())</f>
        <v>#N/A</v>
      </c>
      <c r="CR68" s="110"/>
      <c r="CS68" s="110"/>
      <c r="CT68" s="115"/>
      <c r="CU68" s="110"/>
      <c r="CV68" s="110"/>
      <c r="CW68" s="110"/>
      <c r="CX68" s="110"/>
      <c r="CY68" s="110"/>
      <c r="CZ68" s="110"/>
      <c r="DA68" s="109"/>
      <c r="DB68" s="114"/>
      <c r="DC68" s="110"/>
      <c r="DD68" s="110"/>
      <c r="DE68" s="110"/>
      <c r="DF68" s="115"/>
      <c r="DG68" s="114"/>
      <c r="DH68" s="110"/>
      <c r="DI68" s="110"/>
      <c r="DJ68" s="110"/>
      <c r="DK68" s="110"/>
      <c r="DL68" s="115"/>
      <c r="DM68" s="110"/>
      <c r="DN68" s="110"/>
      <c r="DO68" s="110"/>
      <c r="DP68" s="110"/>
      <c r="DQ68" s="110"/>
      <c r="DR68" s="110"/>
      <c r="DS68" s="110"/>
      <c r="DT68" s="114"/>
      <c r="DU68" s="3"/>
      <c r="DV68" s="3"/>
      <c r="DW68" s="3"/>
      <c r="DX68" s="3"/>
      <c r="DY68" s="3"/>
      <c r="DZ68" s="115"/>
      <c r="EA68" s="114"/>
      <c r="EB68" s="110"/>
      <c r="EC68" s="110"/>
      <c r="ED68" s="115"/>
      <c r="EE68" s="110"/>
      <c r="EF68" s="110"/>
      <c r="EG68" s="110"/>
      <c r="EH68" s="110"/>
      <c r="EI68" s="110"/>
      <c r="EJ68" s="114"/>
      <c r="EK68" s="3"/>
      <c r="EL68" s="3"/>
      <c r="EM68" s="3"/>
      <c r="EN68" s="3"/>
      <c r="EO68" s="113"/>
      <c r="ET68" s="84"/>
      <c r="EU68" s="163"/>
      <c r="EV68" s="157" t="e">
        <f t="shared" si="75"/>
        <v>#DIV/0!</v>
      </c>
      <c r="EW68" s="157" t="e">
        <f t="shared" si="76"/>
        <v>#DIV/0!</v>
      </c>
      <c r="EX68" s="157" t="e">
        <f t="shared" si="77"/>
        <v>#DIV/0!</v>
      </c>
      <c r="EY68" s="114">
        <f t="shared" si="78"/>
        <v>1</v>
      </c>
      <c r="EZ68" s="110">
        <f t="shared" si="79"/>
        <v>1</v>
      </c>
      <c r="FA68" s="116" t="e">
        <f t="shared" si="80"/>
        <v>#DIV/0!</v>
      </c>
      <c r="FB68" s="116">
        <f t="shared" si="81"/>
        <v>1</v>
      </c>
      <c r="FC68" s="154">
        <f t="shared" si="82"/>
        <v>1</v>
      </c>
      <c r="FD68" s="110">
        <f t="shared" si="83"/>
        <v>1</v>
      </c>
      <c r="FE68" s="116" t="e">
        <f t="shared" si="84"/>
        <v>#DIV/0!</v>
      </c>
      <c r="FF68" s="153">
        <f t="shared" si="85"/>
        <v>1</v>
      </c>
      <c r="FG68" s="141"/>
      <c r="FH68" s="111">
        <f t="shared" si="42"/>
        <v>0</v>
      </c>
      <c r="FI68" s="96" t="e">
        <f t="shared" si="87"/>
        <v>#DIV/0!</v>
      </c>
      <c r="FJ68" s="96" t="e">
        <f t="shared" si="88"/>
        <v>#DIV/0!</v>
      </c>
      <c r="FK68" s="96">
        <f t="shared" si="43"/>
        <v>0</v>
      </c>
      <c r="FL68" s="96"/>
      <c r="FM68" s="96" t="e">
        <f t="shared" si="44"/>
        <v>#N/A</v>
      </c>
      <c r="FN68" s="96" t="e">
        <f t="shared" si="89"/>
        <v>#N/A</v>
      </c>
      <c r="FO68" s="96" t="e">
        <f t="shared" si="46"/>
        <v>#N/A</v>
      </c>
      <c r="FP68" s="96" t="e">
        <f t="shared" si="90"/>
        <v>#DIV/0!</v>
      </c>
      <c r="FQ68" s="96" t="e">
        <f t="shared" si="91"/>
        <v>#DIV/0!</v>
      </c>
      <c r="FR68" s="112" t="e">
        <f t="shared" si="92"/>
        <v>#DIV/0!</v>
      </c>
      <c r="FS68" s="113" t="e">
        <f t="shared" si="93"/>
        <v>#DIV/0!</v>
      </c>
      <c r="FT68" s="13" t="e">
        <f t="shared" si="94"/>
        <v>#DIV/0!</v>
      </c>
      <c r="FU68" s="84" t="e">
        <f t="shared" si="95"/>
        <v>#DIV/0!</v>
      </c>
      <c r="FV68" s="115">
        <f t="shared" si="106"/>
        <v>0</v>
      </c>
      <c r="FW68" s="110"/>
      <c r="FX68" s="96"/>
      <c r="FY68" s="96"/>
      <c r="FZ68" s="110"/>
      <c r="GA68" s="110"/>
      <c r="GB68" s="96">
        <f t="shared" si="104"/>
        <v>0</v>
      </c>
      <c r="GC68" s="96" t="e">
        <f t="shared" si="98"/>
        <v>#N/A</v>
      </c>
      <c r="GD68" s="110" t="e">
        <f t="shared" si="99"/>
        <v>#N/A</v>
      </c>
      <c r="GE68" s="112">
        <f t="shared" si="100"/>
        <v>0</v>
      </c>
    </row>
    <row r="69" spans="1:187" x14ac:dyDescent="0.25">
      <c r="A69" s="111">
        <f>IF('3'!$AC$6="",-B69,NA())</f>
        <v>-0.6</v>
      </c>
      <c r="B69" s="110">
        <v>0.6</v>
      </c>
      <c r="C69" s="110">
        <v>30</v>
      </c>
      <c r="D69" s="115">
        <v>50000</v>
      </c>
      <c r="E69" s="110"/>
      <c r="F69" s="110"/>
      <c r="G69" s="110"/>
      <c r="H69" s="110"/>
      <c r="I69" s="110"/>
      <c r="J69" s="110"/>
      <c r="K69" s="109"/>
      <c r="L69" s="114"/>
      <c r="M69" s="110"/>
      <c r="N69" s="110"/>
      <c r="O69" s="110"/>
      <c r="P69" s="115"/>
      <c r="Q69" s="114"/>
      <c r="R69" s="110"/>
      <c r="S69" s="110"/>
      <c r="T69" s="110"/>
      <c r="U69" s="110"/>
      <c r="V69" s="115"/>
      <c r="W69" s="110"/>
      <c r="X69" s="110"/>
      <c r="Y69" s="110"/>
      <c r="Z69" s="110"/>
      <c r="AA69" s="110"/>
      <c r="AB69" s="110"/>
      <c r="AC69" s="110"/>
      <c r="AD69" s="114"/>
      <c r="AE69" s="3"/>
      <c r="AF69" s="3"/>
      <c r="AG69" s="3"/>
      <c r="AH69" s="3"/>
      <c r="AI69" s="3"/>
      <c r="AJ69" s="115"/>
      <c r="AK69" s="114"/>
      <c r="AL69" s="110"/>
      <c r="AM69" s="110"/>
      <c r="AN69" s="115"/>
      <c r="AO69" s="110"/>
      <c r="AP69" s="110"/>
      <c r="AQ69" s="110"/>
      <c r="AR69" s="110"/>
      <c r="AS69" s="110"/>
      <c r="AT69" s="114"/>
      <c r="AU69" s="3"/>
      <c r="AV69" s="3"/>
      <c r="AW69" s="3"/>
      <c r="AX69" s="3"/>
      <c r="AY69" s="113"/>
      <c r="BD69" s="84"/>
      <c r="BF69" s="157">
        <f t="shared" si="48"/>
        <v>0</v>
      </c>
      <c r="BG69" s="157">
        <f t="shared" si="49"/>
        <v>0</v>
      </c>
      <c r="BH69" s="157">
        <f t="shared" si="50"/>
        <v>0</v>
      </c>
      <c r="BI69" s="114">
        <f t="shared" si="51"/>
        <v>1</v>
      </c>
      <c r="BJ69" s="110">
        <f t="shared" si="52"/>
        <v>1</v>
      </c>
      <c r="BK69" s="116" t="e">
        <f t="shared" si="53"/>
        <v>#DIV/0!</v>
      </c>
      <c r="BL69" s="116">
        <f t="shared" si="54"/>
        <v>1</v>
      </c>
      <c r="BM69" s="154">
        <f t="shared" si="55"/>
        <v>1</v>
      </c>
      <c r="BN69" s="110">
        <f t="shared" si="56"/>
        <v>1</v>
      </c>
      <c r="BO69" s="116" t="e">
        <f t="shared" si="57"/>
        <v>#DIV/0!</v>
      </c>
      <c r="BP69" s="153">
        <f t="shared" si="58"/>
        <v>1</v>
      </c>
      <c r="BQ69" s="141"/>
      <c r="BR69" s="111">
        <f t="shared" si="37"/>
        <v>0</v>
      </c>
      <c r="BS69" s="96" t="e">
        <f t="shared" si="60"/>
        <v>#DIV/0!</v>
      </c>
      <c r="BT69" s="96" t="e">
        <f t="shared" si="61"/>
        <v>#DIV/0!</v>
      </c>
      <c r="BU69" s="96">
        <f t="shared" si="38"/>
        <v>0</v>
      </c>
      <c r="BV69" s="96"/>
      <c r="BW69" s="96">
        <f t="shared" si="39"/>
        <v>0.85576447930058497</v>
      </c>
      <c r="BX69" s="96">
        <f t="shared" si="62"/>
        <v>0.85576447930058497</v>
      </c>
      <c r="BY69" s="96">
        <f t="shared" si="41"/>
        <v>0</v>
      </c>
      <c r="BZ69" s="96" t="e">
        <f t="shared" si="63"/>
        <v>#DIV/0!</v>
      </c>
      <c r="CA69" s="96" t="e">
        <f t="shared" si="64"/>
        <v>#DIV/0!</v>
      </c>
      <c r="CB69" s="112" t="e">
        <f t="shared" si="65"/>
        <v>#DIV/0!</v>
      </c>
      <c r="CC69" s="113" t="e">
        <f t="shared" si="66"/>
        <v>#DIV/0!</v>
      </c>
      <c r="CD69" s="13" t="e">
        <f t="shared" si="67"/>
        <v>#DIV/0!</v>
      </c>
      <c r="CE69" s="84" t="e">
        <f t="shared" si="68"/>
        <v>#DIV/0!</v>
      </c>
      <c r="CF69" s="112">
        <f t="shared" si="105"/>
        <v>0</v>
      </c>
      <c r="CG69" s="110"/>
      <c r="CH69" s="96"/>
      <c r="CI69" s="96"/>
      <c r="CJ69" s="110"/>
      <c r="CK69" s="110"/>
      <c r="CL69" s="96">
        <f t="shared" si="103"/>
        <v>0</v>
      </c>
      <c r="CM69" s="96" t="e">
        <f t="shared" si="71"/>
        <v>#N/A</v>
      </c>
      <c r="CN69" s="110" t="e">
        <f t="shared" si="72"/>
        <v>#N/A</v>
      </c>
      <c r="CO69" s="112">
        <f t="shared" si="73"/>
        <v>0</v>
      </c>
      <c r="CQ69" s="111" t="e">
        <f>IF('3'!$AC$4="",-CR69,NA())</f>
        <v>#N/A</v>
      </c>
      <c r="CR69" s="110"/>
      <c r="CS69" s="110"/>
      <c r="CT69" s="115"/>
      <c r="CU69" s="110"/>
      <c r="CV69" s="110"/>
      <c r="CW69" s="110"/>
      <c r="CX69" s="110"/>
      <c r="CY69" s="110"/>
      <c r="CZ69" s="110"/>
      <c r="DA69" s="109"/>
      <c r="DB69" s="114"/>
      <c r="DC69" s="110"/>
      <c r="DD69" s="110"/>
      <c r="DE69" s="110"/>
      <c r="DF69" s="115"/>
      <c r="DG69" s="114"/>
      <c r="DH69" s="110"/>
      <c r="DI69" s="110"/>
      <c r="DJ69" s="110"/>
      <c r="DK69" s="110"/>
      <c r="DL69" s="115"/>
      <c r="DM69" s="110"/>
      <c r="DN69" s="110"/>
      <c r="DO69" s="110"/>
      <c r="DP69" s="110"/>
      <c r="DQ69" s="110"/>
      <c r="DR69" s="110"/>
      <c r="DS69" s="110"/>
      <c r="DT69" s="114"/>
      <c r="DU69" s="3"/>
      <c r="DV69" s="3"/>
      <c r="DW69" s="3"/>
      <c r="DX69" s="3"/>
      <c r="DY69" s="3"/>
      <c r="DZ69" s="115"/>
      <c r="EA69" s="114"/>
      <c r="EB69" s="110"/>
      <c r="EC69" s="110"/>
      <c r="ED69" s="115"/>
      <c r="EE69" s="110"/>
      <c r="EF69" s="110"/>
      <c r="EG69" s="110"/>
      <c r="EH69" s="110"/>
      <c r="EI69" s="110"/>
      <c r="EJ69" s="114"/>
      <c r="EK69" s="3"/>
      <c r="EL69" s="3"/>
      <c r="EM69" s="3"/>
      <c r="EN69" s="3"/>
      <c r="EO69" s="113"/>
      <c r="ET69" s="84"/>
      <c r="EU69" s="163"/>
      <c r="EV69" s="157" t="e">
        <f t="shared" si="75"/>
        <v>#DIV/0!</v>
      </c>
      <c r="EW69" s="157" t="e">
        <f t="shared" si="76"/>
        <v>#DIV/0!</v>
      </c>
      <c r="EX69" s="157" t="e">
        <f t="shared" si="77"/>
        <v>#DIV/0!</v>
      </c>
      <c r="EY69" s="114">
        <f t="shared" si="78"/>
        <v>1</v>
      </c>
      <c r="EZ69" s="110">
        <f t="shared" si="79"/>
        <v>1</v>
      </c>
      <c r="FA69" s="116" t="e">
        <f t="shared" si="80"/>
        <v>#DIV/0!</v>
      </c>
      <c r="FB69" s="116">
        <f t="shared" si="81"/>
        <v>1</v>
      </c>
      <c r="FC69" s="154">
        <f t="shared" si="82"/>
        <v>1</v>
      </c>
      <c r="FD69" s="110">
        <f t="shared" si="83"/>
        <v>1</v>
      </c>
      <c r="FE69" s="116" t="e">
        <f t="shared" si="84"/>
        <v>#DIV/0!</v>
      </c>
      <c r="FF69" s="153">
        <f t="shared" si="85"/>
        <v>1</v>
      </c>
      <c r="FG69" s="141"/>
      <c r="FH69" s="111">
        <f t="shared" si="42"/>
        <v>0</v>
      </c>
      <c r="FI69" s="96" t="e">
        <f t="shared" si="87"/>
        <v>#DIV/0!</v>
      </c>
      <c r="FJ69" s="96" t="e">
        <f t="shared" si="88"/>
        <v>#DIV/0!</v>
      </c>
      <c r="FK69" s="96">
        <f t="shared" si="43"/>
        <v>0</v>
      </c>
      <c r="FL69" s="96"/>
      <c r="FM69" s="96" t="e">
        <f t="shared" si="44"/>
        <v>#N/A</v>
      </c>
      <c r="FN69" s="96" t="e">
        <f t="shared" si="89"/>
        <v>#N/A</v>
      </c>
      <c r="FO69" s="96" t="e">
        <f t="shared" si="46"/>
        <v>#N/A</v>
      </c>
      <c r="FP69" s="96" t="e">
        <f t="shared" si="90"/>
        <v>#DIV/0!</v>
      </c>
      <c r="FQ69" s="96" t="e">
        <f t="shared" si="91"/>
        <v>#DIV/0!</v>
      </c>
      <c r="FR69" s="112" t="e">
        <f t="shared" si="92"/>
        <v>#DIV/0!</v>
      </c>
      <c r="FS69" s="113" t="e">
        <f t="shared" si="93"/>
        <v>#DIV/0!</v>
      </c>
      <c r="FT69" s="13" t="e">
        <f t="shared" si="94"/>
        <v>#DIV/0!</v>
      </c>
      <c r="FU69" s="84" t="e">
        <f t="shared" si="95"/>
        <v>#DIV/0!</v>
      </c>
      <c r="FV69" s="112">
        <f t="shared" si="106"/>
        <v>0</v>
      </c>
      <c r="FW69" s="110"/>
      <c r="FX69" s="96"/>
      <c r="FY69" s="96"/>
      <c r="FZ69" s="110"/>
      <c r="GA69" s="110"/>
      <c r="GB69" s="96">
        <f t="shared" si="104"/>
        <v>0</v>
      </c>
      <c r="GC69" s="96" t="e">
        <f t="shared" si="98"/>
        <v>#N/A</v>
      </c>
      <c r="GD69" s="110" t="e">
        <f t="shared" si="99"/>
        <v>#N/A</v>
      </c>
      <c r="GE69" s="112">
        <f t="shared" si="100"/>
        <v>0</v>
      </c>
    </row>
    <row r="70" spans="1:187" x14ac:dyDescent="0.25">
      <c r="A70" s="111">
        <f>IF('3'!$AC$6="",-B70,NA())</f>
        <v>-0.7</v>
      </c>
      <c r="B70" s="110">
        <v>0.7</v>
      </c>
      <c r="C70" s="110">
        <v>30</v>
      </c>
      <c r="D70" s="115">
        <v>50000</v>
      </c>
      <c r="E70" s="110"/>
      <c r="F70" s="110"/>
      <c r="G70" s="110"/>
      <c r="H70" s="110"/>
      <c r="I70" s="110"/>
      <c r="J70" s="110"/>
      <c r="K70" s="109"/>
      <c r="L70" s="114"/>
      <c r="M70" s="110"/>
      <c r="N70" s="110"/>
      <c r="O70" s="110"/>
      <c r="P70" s="115"/>
      <c r="Q70" s="114"/>
      <c r="R70" s="110"/>
      <c r="S70" s="110"/>
      <c r="T70" s="110"/>
      <c r="U70" s="110"/>
      <c r="V70" s="115"/>
      <c r="W70" s="110"/>
      <c r="X70" s="110"/>
      <c r="Y70" s="110"/>
      <c r="Z70" s="110"/>
      <c r="AA70" s="110"/>
      <c r="AB70" s="110"/>
      <c r="AC70" s="110"/>
      <c r="AD70" s="114"/>
      <c r="AE70" s="3"/>
      <c r="AF70" s="3"/>
      <c r="AG70" s="3"/>
      <c r="AH70" s="3"/>
      <c r="AI70" s="3"/>
      <c r="AJ70" s="115"/>
      <c r="AK70" s="114"/>
      <c r="AL70" s="110"/>
      <c r="AM70" s="110"/>
      <c r="AN70" s="115"/>
      <c r="AO70" s="110"/>
      <c r="AP70" s="110"/>
      <c r="AQ70" s="110"/>
      <c r="AR70" s="110"/>
      <c r="AS70" s="110"/>
      <c r="AT70" s="114"/>
      <c r="AU70" s="3"/>
      <c r="AV70" s="3"/>
      <c r="AW70" s="3"/>
      <c r="AX70" s="3"/>
      <c r="AY70" s="113"/>
      <c r="BD70" s="84"/>
      <c r="BF70" s="157">
        <f t="shared" si="48"/>
        <v>0</v>
      </c>
      <c r="BG70" s="157">
        <f t="shared" si="49"/>
        <v>0</v>
      </c>
      <c r="BH70" s="157">
        <f t="shared" si="50"/>
        <v>0</v>
      </c>
      <c r="BI70" s="114">
        <f t="shared" si="51"/>
        <v>1</v>
      </c>
      <c r="BJ70" s="110">
        <f t="shared" si="52"/>
        <v>1</v>
      </c>
      <c r="BK70" s="116" t="e">
        <f t="shared" si="53"/>
        <v>#DIV/0!</v>
      </c>
      <c r="BL70" s="116">
        <f t="shared" si="54"/>
        <v>1</v>
      </c>
      <c r="BM70" s="154">
        <f t="shared" si="55"/>
        <v>1</v>
      </c>
      <c r="BN70" s="110">
        <f t="shared" si="56"/>
        <v>1</v>
      </c>
      <c r="BO70" s="116" t="e">
        <f t="shared" si="57"/>
        <v>#DIV/0!</v>
      </c>
      <c r="BP70" s="153">
        <f t="shared" si="58"/>
        <v>1</v>
      </c>
      <c r="BQ70" s="141"/>
      <c r="BR70" s="111">
        <f t="shared" si="37"/>
        <v>0</v>
      </c>
      <c r="BS70" s="96" t="e">
        <f t="shared" si="60"/>
        <v>#DIV/0!</v>
      </c>
      <c r="BT70" s="96" t="e">
        <f t="shared" si="61"/>
        <v>#DIV/0!</v>
      </c>
      <c r="BU70" s="96">
        <f t="shared" si="38"/>
        <v>0</v>
      </c>
      <c r="BV70" s="96"/>
      <c r="BW70" s="96">
        <f t="shared" si="39"/>
        <v>0.81634468150249617</v>
      </c>
      <c r="BX70" s="96">
        <f t="shared" si="62"/>
        <v>0.81634468150249617</v>
      </c>
      <c r="BY70" s="96">
        <f t="shared" si="41"/>
        <v>0</v>
      </c>
      <c r="BZ70" s="96" t="e">
        <f t="shared" si="63"/>
        <v>#DIV/0!</v>
      </c>
      <c r="CA70" s="96" t="e">
        <f t="shared" si="64"/>
        <v>#DIV/0!</v>
      </c>
      <c r="CB70" s="112" t="e">
        <f t="shared" si="65"/>
        <v>#DIV/0!</v>
      </c>
      <c r="CC70" s="113" t="e">
        <f t="shared" si="66"/>
        <v>#DIV/0!</v>
      </c>
      <c r="CD70" s="13" t="e">
        <f t="shared" si="67"/>
        <v>#DIV/0!</v>
      </c>
      <c r="CE70" s="84" t="e">
        <f t="shared" si="68"/>
        <v>#DIV/0!</v>
      </c>
      <c r="CF70" s="112">
        <f t="shared" si="105"/>
        <v>0</v>
      </c>
      <c r="CG70" s="110"/>
      <c r="CH70" s="96"/>
      <c r="CI70" s="96"/>
      <c r="CJ70" s="110"/>
      <c r="CK70" s="110"/>
      <c r="CL70" s="96">
        <f t="shared" si="103"/>
        <v>0</v>
      </c>
      <c r="CM70" s="96" t="e">
        <f t="shared" si="71"/>
        <v>#N/A</v>
      </c>
      <c r="CN70" s="110" t="e">
        <f t="shared" si="72"/>
        <v>#N/A</v>
      </c>
      <c r="CO70" s="112">
        <f t="shared" si="73"/>
        <v>0</v>
      </c>
      <c r="CQ70" s="111" t="e">
        <f>IF('3'!$AC$4="",-CR70,NA())</f>
        <v>#N/A</v>
      </c>
      <c r="CR70" s="110"/>
      <c r="CS70" s="110"/>
      <c r="CT70" s="115"/>
      <c r="CU70" s="110"/>
      <c r="CV70" s="110"/>
      <c r="CW70" s="110"/>
      <c r="CX70" s="110"/>
      <c r="CY70" s="110"/>
      <c r="CZ70" s="110"/>
      <c r="DA70" s="109"/>
      <c r="DB70" s="114"/>
      <c r="DC70" s="110"/>
      <c r="DD70" s="110"/>
      <c r="DE70" s="110"/>
      <c r="DF70" s="115"/>
      <c r="DG70" s="114"/>
      <c r="DH70" s="110"/>
      <c r="DI70" s="110"/>
      <c r="DJ70" s="110"/>
      <c r="DK70" s="110"/>
      <c r="DL70" s="115"/>
      <c r="DM70" s="110"/>
      <c r="DN70" s="110"/>
      <c r="DO70" s="110"/>
      <c r="DP70" s="110"/>
      <c r="DQ70" s="110"/>
      <c r="DR70" s="110"/>
      <c r="DS70" s="110"/>
      <c r="DT70" s="114"/>
      <c r="DU70" s="3"/>
      <c r="DV70" s="3"/>
      <c r="DW70" s="3"/>
      <c r="DX70" s="3"/>
      <c r="DY70" s="3"/>
      <c r="DZ70" s="115"/>
      <c r="EA70" s="114"/>
      <c r="EB70" s="110"/>
      <c r="EC70" s="110"/>
      <c r="ED70" s="115"/>
      <c r="EE70" s="110"/>
      <c r="EF70" s="110"/>
      <c r="EG70" s="110"/>
      <c r="EH70" s="110"/>
      <c r="EI70" s="110"/>
      <c r="EJ70" s="114"/>
      <c r="EK70" s="3"/>
      <c r="EL70" s="3"/>
      <c r="EM70" s="3"/>
      <c r="EN70" s="3"/>
      <c r="EO70" s="113"/>
      <c r="ET70" s="84"/>
      <c r="EU70" s="163"/>
      <c r="EV70" s="157" t="e">
        <f t="shared" si="75"/>
        <v>#DIV/0!</v>
      </c>
      <c r="EW70" s="157" t="e">
        <f t="shared" si="76"/>
        <v>#DIV/0!</v>
      </c>
      <c r="EX70" s="157" t="e">
        <f t="shared" si="77"/>
        <v>#DIV/0!</v>
      </c>
      <c r="EY70" s="114">
        <f t="shared" si="78"/>
        <v>1</v>
      </c>
      <c r="EZ70" s="110">
        <f t="shared" si="79"/>
        <v>1</v>
      </c>
      <c r="FA70" s="116" t="e">
        <f t="shared" si="80"/>
        <v>#DIV/0!</v>
      </c>
      <c r="FB70" s="116">
        <f t="shared" si="81"/>
        <v>1</v>
      </c>
      <c r="FC70" s="154">
        <f t="shared" si="82"/>
        <v>1</v>
      </c>
      <c r="FD70" s="110">
        <f t="shared" si="83"/>
        <v>1</v>
      </c>
      <c r="FE70" s="116" t="e">
        <f t="shared" si="84"/>
        <v>#DIV/0!</v>
      </c>
      <c r="FF70" s="153">
        <f t="shared" si="85"/>
        <v>1</v>
      </c>
      <c r="FG70" s="141"/>
      <c r="FH70" s="111">
        <f t="shared" si="42"/>
        <v>0</v>
      </c>
      <c r="FI70" s="96" t="e">
        <f t="shared" si="87"/>
        <v>#DIV/0!</v>
      </c>
      <c r="FJ70" s="96" t="e">
        <f t="shared" si="88"/>
        <v>#DIV/0!</v>
      </c>
      <c r="FK70" s="96">
        <f t="shared" si="43"/>
        <v>0</v>
      </c>
      <c r="FL70" s="96"/>
      <c r="FM70" s="96" t="e">
        <f t="shared" si="44"/>
        <v>#N/A</v>
      </c>
      <c r="FN70" s="96" t="e">
        <f t="shared" si="89"/>
        <v>#N/A</v>
      </c>
      <c r="FO70" s="96" t="e">
        <f t="shared" si="46"/>
        <v>#N/A</v>
      </c>
      <c r="FP70" s="96" t="e">
        <f t="shared" si="90"/>
        <v>#DIV/0!</v>
      </c>
      <c r="FQ70" s="96" t="e">
        <f t="shared" si="91"/>
        <v>#DIV/0!</v>
      </c>
      <c r="FR70" s="112" t="e">
        <f t="shared" si="92"/>
        <v>#DIV/0!</v>
      </c>
      <c r="FS70" s="113" t="e">
        <f t="shared" si="93"/>
        <v>#DIV/0!</v>
      </c>
      <c r="FT70" s="13" t="e">
        <f t="shared" si="94"/>
        <v>#DIV/0!</v>
      </c>
      <c r="FU70" s="84" t="e">
        <f t="shared" si="95"/>
        <v>#DIV/0!</v>
      </c>
      <c r="FV70" s="112">
        <f t="shared" si="106"/>
        <v>0</v>
      </c>
      <c r="FW70" s="110"/>
      <c r="FX70" s="96"/>
      <c r="FY70" s="96"/>
      <c r="FZ70" s="110"/>
      <c r="GA70" s="110"/>
      <c r="GB70" s="96">
        <f t="shared" si="104"/>
        <v>0</v>
      </c>
      <c r="GC70" s="96" t="e">
        <f t="shared" si="98"/>
        <v>#N/A</v>
      </c>
      <c r="GD70" s="110" t="e">
        <f t="shared" si="99"/>
        <v>#N/A</v>
      </c>
      <c r="GE70" s="112">
        <f t="shared" si="100"/>
        <v>0</v>
      </c>
    </row>
    <row r="71" spans="1:187" x14ac:dyDescent="0.25">
      <c r="A71" s="111">
        <f>IF('3'!$AC$6="",-B71,NA())</f>
        <v>-0.8</v>
      </c>
      <c r="B71" s="110">
        <v>0.8</v>
      </c>
      <c r="C71" s="110">
        <v>30</v>
      </c>
      <c r="D71" s="115">
        <v>50000</v>
      </c>
      <c r="E71" s="110"/>
      <c r="F71" s="110"/>
      <c r="G71" s="110"/>
      <c r="H71" s="110"/>
      <c r="I71" s="110"/>
      <c r="J71" s="110"/>
      <c r="K71" s="109"/>
      <c r="L71" s="114"/>
      <c r="M71" s="110"/>
      <c r="N71" s="110"/>
      <c r="O71" s="110"/>
      <c r="P71" s="115"/>
      <c r="Q71" s="114"/>
      <c r="R71" s="110"/>
      <c r="S71" s="110"/>
      <c r="T71" s="110"/>
      <c r="U71" s="110"/>
      <c r="V71" s="115"/>
      <c r="W71" s="110"/>
      <c r="X71" s="110"/>
      <c r="Y71" s="110"/>
      <c r="Z71" s="110"/>
      <c r="AA71" s="110"/>
      <c r="AB71" s="110"/>
      <c r="AC71" s="110"/>
      <c r="AD71" s="114"/>
      <c r="AE71" s="3"/>
      <c r="AF71" s="3"/>
      <c r="AG71" s="3"/>
      <c r="AH71" s="3"/>
      <c r="AI71" s="3"/>
      <c r="AJ71" s="115"/>
      <c r="AK71" s="114"/>
      <c r="AL71" s="110"/>
      <c r="AM71" s="110"/>
      <c r="AN71" s="115"/>
      <c r="AO71" s="110"/>
      <c r="AP71" s="110"/>
      <c r="AQ71" s="110"/>
      <c r="AR71" s="110"/>
      <c r="AS71" s="110"/>
      <c r="AT71" s="114"/>
      <c r="AU71" s="3"/>
      <c r="AV71" s="3"/>
      <c r="AW71" s="3"/>
      <c r="AX71" s="3"/>
      <c r="AY71" s="113"/>
      <c r="BD71" s="84"/>
      <c r="BF71" s="157">
        <f t="shared" si="48"/>
        <v>0</v>
      </c>
      <c r="BG71" s="157">
        <f t="shared" si="49"/>
        <v>0</v>
      </c>
      <c r="BH71" s="157">
        <f t="shared" si="50"/>
        <v>0</v>
      </c>
      <c r="BI71" s="114">
        <f t="shared" si="51"/>
        <v>1</v>
      </c>
      <c r="BJ71" s="110">
        <f t="shared" si="52"/>
        <v>1</v>
      </c>
      <c r="BK71" s="116" t="e">
        <f t="shared" si="53"/>
        <v>#DIV/0!</v>
      </c>
      <c r="BL71" s="116">
        <f t="shared" si="54"/>
        <v>1</v>
      </c>
      <c r="BM71" s="154">
        <f t="shared" si="55"/>
        <v>1</v>
      </c>
      <c r="BN71" s="110">
        <f t="shared" si="56"/>
        <v>1</v>
      </c>
      <c r="BO71" s="116" t="e">
        <f t="shared" si="57"/>
        <v>#DIV/0!</v>
      </c>
      <c r="BP71" s="153">
        <f t="shared" si="58"/>
        <v>1</v>
      </c>
      <c r="BQ71" s="141"/>
      <c r="BR71" s="111">
        <f t="shared" si="37"/>
        <v>0</v>
      </c>
      <c r="BS71" s="96" t="e">
        <f t="shared" si="60"/>
        <v>#DIV/0!</v>
      </c>
      <c r="BT71" s="96" t="e">
        <f t="shared" si="61"/>
        <v>#DIV/0!</v>
      </c>
      <c r="BU71" s="96">
        <f t="shared" si="38"/>
        <v>0</v>
      </c>
      <c r="BV71" s="96"/>
      <c r="BW71" s="96">
        <f t="shared" si="39"/>
        <v>0.76384925376347856</v>
      </c>
      <c r="BX71" s="96">
        <f t="shared" si="62"/>
        <v>0.76384925376347856</v>
      </c>
      <c r="BY71" s="96">
        <f t="shared" si="41"/>
        <v>0</v>
      </c>
      <c r="BZ71" s="96" t="e">
        <f t="shared" si="63"/>
        <v>#DIV/0!</v>
      </c>
      <c r="CA71" s="96" t="e">
        <f t="shared" si="64"/>
        <v>#DIV/0!</v>
      </c>
      <c r="CB71" s="112" t="e">
        <f t="shared" si="65"/>
        <v>#DIV/0!</v>
      </c>
      <c r="CC71" s="113" t="e">
        <f t="shared" si="66"/>
        <v>#DIV/0!</v>
      </c>
      <c r="CD71" s="13" t="e">
        <f t="shared" si="67"/>
        <v>#DIV/0!</v>
      </c>
      <c r="CE71" s="84" t="e">
        <f t="shared" si="68"/>
        <v>#DIV/0!</v>
      </c>
      <c r="CF71" s="112">
        <f t="shared" si="105"/>
        <v>0</v>
      </c>
      <c r="CG71" s="111"/>
      <c r="CH71" s="96"/>
      <c r="CI71" s="96"/>
      <c r="CJ71" s="110"/>
      <c r="CK71" s="110"/>
      <c r="CL71" s="96">
        <f t="shared" si="103"/>
        <v>0</v>
      </c>
      <c r="CM71" s="96" t="e">
        <f t="shared" si="71"/>
        <v>#N/A</v>
      </c>
      <c r="CN71" s="110" t="e">
        <f t="shared" si="72"/>
        <v>#N/A</v>
      </c>
      <c r="CO71" s="112">
        <f t="shared" si="73"/>
        <v>0</v>
      </c>
      <c r="CQ71" s="111" t="e">
        <f>IF('3'!$AC$4="",-CR71,NA())</f>
        <v>#N/A</v>
      </c>
      <c r="CR71" s="110"/>
      <c r="CS71" s="110"/>
      <c r="CT71" s="115"/>
      <c r="CU71" s="110"/>
      <c r="CV71" s="110"/>
      <c r="CW71" s="110"/>
      <c r="CX71" s="110"/>
      <c r="CY71" s="110"/>
      <c r="CZ71" s="110"/>
      <c r="DA71" s="109"/>
      <c r="DB71" s="114"/>
      <c r="DC71" s="110"/>
      <c r="DD71" s="110"/>
      <c r="DE71" s="110"/>
      <c r="DF71" s="115"/>
      <c r="DG71" s="114"/>
      <c r="DH71" s="110"/>
      <c r="DI71" s="110"/>
      <c r="DJ71" s="110"/>
      <c r="DK71" s="110"/>
      <c r="DL71" s="115"/>
      <c r="DM71" s="110"/>
      <c r="DN71" s="110"/>
      <c r="DO71" s="110"/>
      <c r="DP71" s="110"/>
      <c r="DQ71" s="110"/>
      <c r="DR71" s="110"/>
      <c r="DS71" s="110"/>
      <c r="DT71" s="114"/>
      <c r="DU71" s="3"/>
      <c r="DV71" s="3"/>
      <c r="DW71" s="3"/>
      <c r="DX71" s="3"/>
      <c r="DY71" s="3"/>
      <c r="DZ71" s="115"/>
      <c r="EA71" s="114"/>
      <c r="EB71" s="110"/>
      <c r="EC71" s="110"/>
      <c r="ED71" s="115"/>
      <c r="EE71" s="110"/>
      <c r="EF71" s="110"/>
      <c r="EG71" s="110"/>
      <c r="EH71" s="110"/>
      <c r="EI71" s="110"/>
      <c r="EJ71" s="114"/>
      <c r="EK71" s="3"/>
      <c r="EL71" s="3"/>
      <c r="EM71" s="3"/>
      <c r="EN71" s="3"/>
      <c r="EO71" s="113"/>
      <c r="ET71" s="84"/>
      <c r="EU71" s="163"/>
      <c r="EV71" s="157" t="e">
        <f t="shared" si="75"/>
        <v>#DIV/0!</v>
      </c>
      <c r="EW71" s="157" t="e">
        <f t="shared" si="76"/>
        <v>#DIV/0!</v>
      </c>
      <c r="EX71" s="157" t="e">
        <f t="shared" si="77"/>
        <v>#DIV/0!</v>
      </c>
      <c r="EY71" s="114">
        <f t="shared" si="78"/>
        <v>1</v>
      </c>
      <c r="EZ71" s="110">
        <f t="shared" si="79"/>
        <v>1</v>
      </c>
      <c r="FA71" s="116" t="e">
        <f t="shared" si="80"/>
        <v>#DIV/0!</v>
      </c>
      <c r="FB71" s="116">
        <f t="shared" si="81"/>
        <v>1</v>
      </c>
      <c r="FC71" s="154">
        <f t="shared" si="82"/>
        <v>1</v>
      </c>
      <c r="FD71" s="110">
        <f t="shared" si="83"/>
        <v>1</v>
      </c>
      <c r="FE71" s="116" t="e">
        <f t="shared" si="84"/>
        <v>#DIV/0!</v>
      </c>
      <c r="FF71" s="153">
        <f t="shared" si="85"/>
        <v>1</v>
      </c>
      <c r="FG71" s="141"/>
      <c r="FH71" s="111">
        <f t="shared" si="42"/>
        <v>0</v>
      </c>
      <c r="FI71" s="96" t="e">
        <f t="shared" si="87"/>
        <v>#DIV/0!</v>
      </c>
      <c r="FJ71" s="96" t="e">
        <f t="shared" si="88"/>
        <v>#DIV/0!</v>
      </c>
      <c r="FK71" s="96">
        <f t="shared" si="43"/>
        <v>0</v>
      </c>
      <c r="FL71" s="96"/>
      <c r="FM71" s="96" t="e">
        <f t="shared" si="44"/>
        <v>#N/A</v>
      </c>
      <c r="FN71" s="96" t="e">
        <f t="shared" si="89"/>
        <v>#N/A</v>
      </c>
      <c r="FO71" s="96" t="e">
        <f t="shared" si="46"/>
        <v>#N/A</v>
      </c>
      <c r="FP71" s="96" t="e">
        <f t="shared" si="90"/>
        <v>#DIV/0!</v>
      </c>
      <c r="FQ71" s="96" t="e">
        <f t="shared" si="91"/>
        <v>#DIV/0!</v>
      </c>
      <c r="FR71" s="112" t="e">
        <f t="shared" si="92"/>
        <v>#DIV/0!</v>
      </c>
      <c r="FS71" s="113" t="e">
        <f t="shared" si="93"/>
        <v>#DIV/0!</v>
      </c>
      <c r="FT71" s="13" t="e">
        <f t="shared" si="94"/>
        <v>#DIV/0!</v>
      </c>
      <c r="FU71" s="84" t="e">
        <f t="shared" si="95"/>
        <v>#DIV/0!</v>
      </c>
      <c r="FV71" s="112">
        <f t="shared" si="106"/>
        <v>0</v>
      </c>
      <c r="FW71" s="111"/>
      <c r="FX71" s="96"/>
      <c r="FY71" s="96"/>
      <c r="FZ71" s="110"/>
      <c r="GA71" s="110"/>
      <c r="GB71" s="96">
        <f t="shared" si="104"/>
        <v>0</v>
      </c>
      <c r="GC71" s="96" t="e">
        <f t="shared" si="98"/>
        <v>#N/A</v>
      </c>
      <c r="GD71" s="110" t="e">
        <f t="shared" si="99"/>
        <v>#N/A</v>
      </c>
      <c r="GE71" s="112">
        <f t="shared" si="100"/>
        <v>0</v>
      </c>
    </row>
    <row r="72" spans="1:187" x14ac:dyDescent="0.25">
      <c r="A72" s="111">
        <f>IF('3'!$AC$6="",-B72,NA())</f>
        <v>-0.9</v>
      </c>
      <c r="B72" s="110">
        <v>0.9</v>
      </c>
      <c r="C72" s="110"/>
      <c r="D72" s="115"/>
      <c r="E72" s="110"/>
      <c r="F72" s="110"/>
      <c r="G72" s="110"/>
      <c r="H72" s="110"/>
      <c r="I72" s="110"/>
      <c r="J72" s="110"/>
      <c r="K72" s="109"/>
      <c r="L72" s="114"/>
      <c r="M72" s="110"/>
      <c r="N72" s="110"/>
      <c r="O72" s="110"/>
      <c r="P72" s="115"/>
      <c r="Q72" s="114"/>
      <c r="R72" s="110"/>
      <c r="S72" s="110"/>
      <c r="T72" s="110"/>
      <c r="U72" s="110"/>
      <c r="V72" s="115"/>
      <c r="W72" s="110"/>
      <c r="X72" s="110"/>
      <c r="Y72" s="110"/>
      <c r="Z72" s="110"/>
      <c r="AA72" s="110"/>
      <c r="AB72" s="110"/>
      <c r="AC72" s="110"/>
      <c r="AD72" s="114"/>
      <c r="AE72" s="3"/>
      <c r="AF72" s="3"/>
      <c r="AG72" s="3"/>
      <c r="AH72" s="3"/>
      <c r="AI72" s="3"/>
      <c r="AJ72" s="115"/>
      <c r="AK72" s="114"/>
      <c r="AL72" s="110"/>
      <c r="AM72" s="110"/>
      <c r="AN72" s="115"/>
      <c r="AO72" s="110"/>
      <c r="AP72" s="110"/>
      <c r="AQ72" s="110"/>
      <c r="AR72" s="110"/>
      <c r="AS72" s="110"/>
      <c r="AT72" s="114"/>
      <c r="AU72" s="3"/>
      <c r="AV72" s="3"/>
      <c r="AW72" s="3"/>
      <c r="AX72" s="3"/>
      <c r="AY72" s="113"/>
      <c r="BD72" s="84"/>
      <c r="BF72" s="157" t="e">
        <f t="shared" si="48"/>
        <v>#DIV/0!</v>
      </c>
      <c r="BG72" s="157" t="e">
        <f t="shared" si="49"/>
        <v>#DIV/0!</v>
      </c>
      <c r="BH72" s="157" t="e">
        <f t="shared" si="50"/>
        <v>#DIV/0!</v>
      </c>
      <c r="BI72" s="114">
        <f t="shared" si="51"/>
        <v>1</v>
      </c>
      <c r="BJ72" s="110">
        <f t="shared" si="52"/>
        <v>1</v>
      </c>
      <c r="BK72" s="116" t="e">
        <f t="shared" si="53"/>
        <v>#DIV/0!</v>
      </c>
      <c r="BL72" s="116">
        <f t="shared" si="54"/>
        <v>1</v>
      </c>
      <c r="BM72" s="154">
        <f t="shared" si="55"/>
        <v>1</v>
      </c>
      <c r="BN72" s="110">
        <f t="shared" si="56"/>
        <v>1</v>
      </c>
      <c r="BO72" s="116" t="e">
        <f t="shared" si="57"/>
        <v>#DIV/0!</v>
      </c>
      <c r="BP72" s="153">
        <f t="shared" si="58"/>
        <v>1</v>
      </c>
      <c r="BQ72" s="141"/>
      <c r="BR72" s="111">
        <f t="shared" si="37"/>
        <v>0</v>
      </c>
      <c r="BS72" s="96" t="e">
        <f t="shared" si="60"/>
        <v>#DIV/0!</v>
      </c>
      <c r="BT72" s="96" t="e">
        <f t="shared" si="61"/>
        <v>#DIV/0!</v>
      </c>
      <c r="BU72" s="96">
        <f t="shared" si="38"/>
        <v>0</v>
      </c>
      <c r="BV72" s="96"/>
      <c r="BW72" s="96">
        <f t="shared" si="39"/>
        <v>0.68180638083025913</v>
      </c>
      <c r="BX72" s="96">
        <f t="shared" si="62"/>
        <v>0.68180638083025913</v>
      </c>
      <c r="BY72" s="96">
        <f t="shared" si="41"/>
        <v>0</v>
      </c>
      <c r="BZ72" s="96" t="e">
        <f t="shared" si="63"/>
        <v>#DIV/0!</v>
      </c>
      <c r="CA72" s="96" t="e">
        <f t="shared" si="64"/>
        <v>#DIV/0!</v>
      </c>
      <c r="CB72" s="112" t="e">
        <f t="shared" si="65"/>
        <v>#DIV/0!</v>
      </c>
      <c r="CC72" s="113" t="e">
        <f t="shared" si="66"/>
        <v>#DIV/0!</v>
      </c>
      <c r="CD72" s="13" t="e">
        <f t="shared" si="67"/>
        <v>#DIV/0!</v>
      </c>
      <c r="CE72" s="84" t="e">
        <f t="shared" si="68"/>
        <v>#DIV/0!</v>
      </c>
      <c r="CF72" s="112">
        <f t="shared" si="105"/>
        <v>0</v>
      </c>
      <c r="CG72" s="96"/>
      <c r="CH72" s="96"/>
      <c r="CI72" s="96"/>
      <c r="CJ72" s="96"/>
      <c r="CK72" s="96"/>
      <c r="CL72" s="96">
        <f t="shared" si="103"/>
        <v>0</v>
      </c>
      <c r="CM72" s="96" t="e">
        <f t="shared" si="71"/>
        <v>#N/A</v>
      </c>
      <c r="CN72" s="96" t="e">
        <f t="shared" si="72"/>
        <v>#N/A</v>
      </c>
      <c r="CO72" s="112">
        <f t="shared" si="73"/>
        <v>0</v>
      </c>
      <c r="CQ72" s="111" t="e">
        <f>IF('3'!$AC$4="",-CR72,NA())</f>
        <v>#N/A</v>
      </c>
      <c r="CR72" s="110">
        <v>0.9</v>
      </c>
      <c r="CS72" s="110">
        <v>30</v>
      </c>
      <c r="CT72" s="115">
        <v>50000</v>
      </c>
      <c r="CU72" s="110"/>
      <c r="CV72" s="110"/>
      <c r="CW72" s="110"/>
      <c r="CX72" s="110"/>
      <c r="CY72" s="110"/>
      <c r="CZ72" s="110"/>
      <c r="DA72" s="109"/>
      <c r="DB72" s="114"/>
      <c r="DC72" s="110"/>
      <c r="DD72" s="110"/>
      <c r="DE72" s="110"/>
      <c r="DF72" s="115"/>
      <c r="DG72" s="114"/>
      <c r="DH72" s="110"/>
      <c r="DI72" s="110"/>
      <c r="DJ72" s="110"/>
      <c r="DK72" s="110"/>
      <c r="DL72" s="115"/>
      <c r="DM72" s="110"/>
      <c r="DN72" s="110"/>
      <c r="DO72" s="110"/>
      <c r="DP72" s="110"/>
      <c r="DQ72" s="110"/>
      <c r="DR72" s="110"/>
      <c r="DS72" s="110"/>
      <c r="DT72" s="114"/>
      <c r="DU72" s="3"/>
      <c r="DV72" s="3"/>
      <c r="DW72" s="3"/>
      <c r="DX72" s="3"/>
      <c r="DY72" s="3"/>
      <c r="DZ72" s="115"/>
      <c r="EA72" s="114"/>
      <c r="EB72" s="110"/>
      <c r="EC72" s="110"/>
      <c r="ED72" s="115"/>
      <c r="EE72" s="110"/>
      <c r="EF72" s="110"/>
      <c r="EG72" s="110"/>
      <c r="EH72" s="110"/>
      <c r="EI72" s="110"/>
      <c r="EJ72" s="114"/>
      <c r="EK72" s="3"/>
      <c r="EL72" s="3"/>
      <c r="EM72" s="3"/>
      <c r="EN72" s="3"/>
      <c r="EO72" s="113"/>
      <c r="ET72" s="84"/>
      <c r="EU72" s="163"/>
      <c r="EV72" s="157">
        <f t="shared" si="75"/>
        <v>0</v>
      </c>
      <c r="EW72" s="157">
        <f t="shared" si="76"/>
        <v>0</v>
      </c>
      <c r="EX72" s="157">
        <f t="shared" si="77"/>
        <v>0</v>
      </c>
      <c r="EY72" s="114">
        <f t="shared" si="78"/>
        <v>1</v>
      </c>
      <c r="EZ72" s="110">
        <f t="shared" si="79"/>
        <v>1</v>
      </c>
      <c r="FA72" s="116" t="e">
        <f t="shared" si="80"/>
        <v>#DIV/0!</v>
      </c>
      <c r="FB72" s="116">
        <f t="shared" si="81"/>
        <v>1</v>
      </c>
      <c r="FC72" s="154">
        <f t="shared" si="82"/>
        <v>1</v>
      </c>
      <c r="FD72" s="110">
        <f t="shared" si="83"/>
        <v>1</v>
      </c>
      <c r="FE72" s="116" t="e">
        <f t="shared" si="84"/>
        <v>#DIV/0!</v>
      </c>
      <c r="FF72" s="153">
        <f t="shared" si="85"/>
        <v>1</v>
      </c>
      <c r="FG72" s="141"/>
      <c r="FH72" s="111">
        <f t="shared" si="42"/>
        <v>0</v>
      </c>
      <c r="FI72" s="96" t="e">
        <f t="shared" si="87"/>
        <v>#DIV/0!</v>
      </c>
      <c r="FJ72" s="96" t="e">
        <f t="shared" si="88"/>
        <v>#DIV/0!</v>
      </c>
      <c r="FK72" s="96">
        <f t="shared" si="43"/>
        <v>0</v>
      </c>
      <c r="FL72" s="96"/>
      <c r="FM72" s="96" t="e">
        <f t="shared" si="44"/>
        <v>#N/A</v>
      </c>
      <c r="FN72" s="96" t="e">
        <f t="shared" si="89"/>
        <v>#N/A</v>
      </c>
      <c r="FO72" s="96" t="e">
        <f t="shared" si="46"/>
        <v>#N/A</v>
      </c>
      <c r="FP72" s="96" t="e">
        <f t="shared" si="90"/>
        <v>#DIV/0!</v>
      </c>
      <c r="FQ72" s="96" t="e">
        <f t="shared" si="91"/>
        <v>#DIV/0!</v>
      </c>
      <c r="FR72" s="112" t="e">
        <f t="shared" si="92"/>
        <v>#DIV/0!</v>
      </c>
      <c r="FS72" s="113" t="e">
        <f t="shared" si="93"/>
        <v>#DIV/0!</v>
      </c>
      <c r="FT72" s="13" t="e">
        <f t="shared" si="94"/>
        <v>#DIV/0!</v>
      </c>
      <c r="FU72" s="84" t="e">
        <f t="shared" si="95"/>
        <v>#DIV/0!</v>
      </c>
      <c r="FV72" s="112">
        <f t="shared" si="106"/>
        <v>0</v>
      </c>
      <c r="FW72" s="96"/>
      <c r="FX72" s="96"/>
      <c r="FY72" s="96"/>
      <c r="FZ72" s="96"/>
      <c r="GA72" s="96"/>
      <c r="GB72" s="96">
        <f t="shared" si="104"/>
        <v>0</v>
      </c>
      <c r="GC72" s="96" t="e">
        <f t="shared" si="98"/>
        <v>#N/A</v>
      </c>
      <c r="GD72" s="96" t="e">
        <f t="shared" si="99"/>
        <v>#N/A</v>
      </c>
      <c r="GE72" s="112">
        <f t="shared" si="100"/>
        <v>0</v>
      </c>
    </row>
    <row r="73" spans="1:187" ht="15.75" thickBot="1" x14ac:dyDescent="0.3">
      <c r="A73" s="111">
        <f>IF('3'!$AC$6="",-B73,NA())</f>
        <v>-1</v>
      </c>
      <c r="B73" s="110">
        <v>1</v>
      </c>
      <c r="C73" s="110"/>
      <c r="D73" s="115"/>
      <c r="E73" s="110"/>
      <c r="F73" s="110"/>
      <c r="G73" s="110"/>
      <c r="H73" s="110"/>
      <c r="I73" s="110"/>
      <c r="J73" s="110"/>
      <c r="K73" s="109"/>
      <c r="L73" s="114"/>
      <c r="M73" s="110"/>
      <c r="N73" s="110"/>
      <c r="O73" s="110"/>
      <c r="P73" s="115"/>
      <c r="Q73" s="114"/>
      <c r="R73" s="110"/>
      <c r="S73" s="110"/>
      <c r="T73" s="110"/>
      <c r="U73" s="110"/>
      <c r="V73" s="115"/>
      <c r="W73" s="110"/>
      <c r="X73" s="110"/>
      <c r="Y73" s="110"/>
      <c r="Z73" s="110"/>
      <c r="AA73" s="110"/>
      <c r="AB73" s="110"/>
      <c r="AC73" s="110"/>
      <c r="AD73" s="114"/>
      <c r="AE73" s="3"/>
      <c r="AF73" s="3"/>
      <c r="AG73" s="3"/>
      <c r="AH73" s="3"/>
      <c r="AI73" s="3"/>
      <c r="AJ73" s="115"/>
      <c r="AK73" s="114"/>
      <c r="AL73" s="110"/>
      <c r="AM73" s="110"/>
      <c r="AN73" s="115"/>
      <c r="AO73" s="110"/>
      <c r="AP73" s="110"/>
      <c r="AQ73" s="110"/>
      <c r="AR73" s="110"/>
      <c r="AS73" s="110"/>
      <c r="AT73" s="114"/>
      <c r="AU73" s="3"/>
      <c r="AV73" s="3"/>
      <c r="AW73" s="3"/>
      <c r="AX73" s="3"/>
      <c r="AY73" s="113"/>
      <c r="BD73" s="84"/>
      <c r="BF73" s="110"/>
      <c r="BG73" s="110"/>
      <c r="BH73" s="110"/>
      <c r="BI73" s="133"/>
      <c r="BJ73" s="134"/>
      <c r="BK73" s="134"/>
      <c r="BL73" s="134"/>
      <c r="BM73" s="135"/>
      <c r="BN73" s="110"/>
      <c r="BO73" s="110"/>
      <c r="BP73" s="110"/>
      <c r="BQ73" s="142"/>
      <c r="BR73" s="111"/>
      <c r="BS73" s="96"/>
      <c r="BT73" s="96"/>
      <c r="BU73" s="96"/>
      <c r="BV73" s="96"/>
      <c r="BW73" s="96"/>
      <c r="BX73" s="96"/>
      <c r="BY73" s="96"/>
      <c r="BZ73" s="96"/>
      <c r="CA73" s="96"/>
      <c r="CB73" s="112"/>
      <c r="CC73" s="85"/>
      <c r="CD73" s="86"/>
      <c r="CE73" s="87"/>
      <c r="CF73" s="86">
        <f t="shared" si="105"/>
        <v>-1</v>
      </c>
      <c r="CG73" s="195">
        <v>1</v>
      </c>
      <c r="CH73" s="195"/>
      <c r="CI73" s="195"/>
      <c r="CJ73" s="195"/>
      <c r="CK73" s="195"/>
      <c r="CL73" s="96">
        <f t="shared" si="103"/>
        <v>0</v>
      </c>
      <c r="CM73" s="195">
        <f t="shared" si="71"/>
        <v>0</v>
      </c>
      <c r="CN73" s="195">
        <f>(1-AC72)*CM73</f>
        <v>0</v>
      </c>
      <c r="CO73" s="196">
        <f t="shared" si="73"/>
        <v>0</v>
      </c>
      <c r="CQ73" s="111" t="e">
        <f>IF('3'!$AC$4="",-CR73,NA())</f>
        <v>#N/A</v>
      </c>
      <c r="CR73" s="110">
        <v>1</v>
      </c>
      <c r="CS73" s="110"/>
      <c r="CT73" s="115"/>
      <c r="CU73" s="110"/>
      <c r="CV73" s="110"/>
      <c r="CW73" s="110"/>
      <c r="CX73" s="110"/>
      <c r="CY73" s="110"/>
      <c r="CZ73" s="110"/>
      <c r="DA73" s="109"/>
      <c r="DB73" s="114"/>
      <c r="DC73" s="110"/>
      <c r="DD73" s="110"/>
      <c r="DE73" s="110"/>
      <c r="DF73" s="115"/>
      <c r="DG73" s="114"/>
      <c r="DH73" s="110"/>
      <c r="DI73" s="110"/>
      <c r="DJ73" s="110"/>
      <c r="DK73" s="110"/>
      <c r="DL73" s="115"/>
      <c r="DM73" s="110"/>
      <c r="DN73" s="110"/>
      <c r="DO73" s="110"/>
      <c r="DP73" s="110"/>
      <c r="DQ73" s="110"/>
      <c r="DR73" s="110"/>
      <c r="DS73" s="110"/>
      <c r="DT73" s="114"/>
      <c r="DU73" s="3"/>
      <c r="DV73" s="3"/>
      <c r="DW73" s="3"/>
      <c r="DX73" s="3"/>
      <c r="DY73" s="3"/>
      <c r="DZ73" s="115"/>
      <c r="EA73" s="114"/>
      <c r="EB73" s="110"/>
      <c r="EC73" s="110"/>
      <c r="ED73" s="115"/>
      <c r="EE73" s="110"/>
      <c r="EF73" s="110"/>
      <c r="EG73" s="110"/>
      <c r="EH73" s="110"/>
      <c r="EI73" s="110"/>
      <c r="EJ73" s="114"/>
      <c r="EK73" s="3"/>
      <c r="EL73" s="3"/>
      <c r="EM73" s="3"/>
      <c r="EN73" s="3"/>
      <c r="EO73" s="113"/>
      <c r="ET73" s="84"/>
      <c r="EU73" s="165"/>
      <c r="EV73" s="110"/>
      <c r="EW73" s="110"/>
      <c r="EX73" s="110"/>
      <c r="EY73" s="133"/>
      <c r="EZ73" s="134"/>
      <c r="FA73" s="134"/>
      <c r="FB73" s="134"/>
      <c r="FC73" s="135"/>
      <c r="FD73" s="110"/>
      <c r="FE73" s="110"/>
      <c r="FF73" s="110"/>
      <c r="FG73" s="142"/>
      <c r="FH73" s="111"/>
      <c r="FI73" s="96"/>
      <c r="FJ73" s="96"/>
      <c r="FK73" s="96"/>
      <c r="FL73" s="96"/>
      <c r="FM73" s="96"/>
      <c r="FN73" s="96"/>
      <c r="FO73" s="96"/>
      <c r="FP73" s="96"/>
      <c r="FQ73" s="96"/>
      <c r="FR73" s="112"/>
      <c r="FS73" s="85"/>
      <c r="FT73" s="86"/>
      <c r="FU73" s="87"/>
      <c r="FV73" s="86">
        <f t="shared" si="106"/>
        <v>-1</v>
      </c>
      <c r="FW73" s="195">
        <v>1</v>
      </c>
      <c r="FX73" s="195"/>
      <c r="FY73" s="195"/>
      <c r="FZ73" s="195"/>
      <c r="GA73" s="195"/>
      <c r="GB73" s="96">
        <f t="shared" si="104"/>
        <v>0</v>
      </c>
      <c r="GC73" s="195" t="e">
        <f t="shared" si="98"/>
        <v>#N/A</v>
      </c>
      <c r="GD73" s="195" t="e">
        <f>(1-DS72)*GC73</f>
        <v>#N/A</v>
      </c>
      <c r="GE73" s="196">
        <f t="shared" si="100"/>
        <v>0</v>
      </c>
    </row>
    <row r="74" spans="1:187" ht="15.75" thickBot="1" x14ac:dyDescent="0.3">
      <c r="A74" s="233" t="s">
        <v>55</v>
      </c>
      <c r="B74" s="234"/>
      <c r="C74" s="235"/>
      <c r="D74" s="39" t="s">
        <v>54</v>
      </c>
      <c r="E74" s="38">
        <f t="shared" ref="E74:AJ74" si="107">0.1/3*($B53*E53+4*$B54*E54+2*$B55*E55+4*$B56*E56+2*$B57*E57+4*$B58*E58+2*$B59*E59+4*$B60*E60+2*$B61*E61+4*$B62*E62+2*$B63*E63+4*$B64*E64+1*$B65*E65)+0.2/3*($B65*E65+4*$B67*E67+2*$B69*E69+4*$B71*E71+$B73*E73)</f>
        <v>0</v>
      </c>
      <c r="F74" s="38">
        <f t="shared" si="107"/>
        <v>0</v>
      </c>
      <c r="G74" s="38">
        <f t="shared" si="107"/>
        <v>0</v>
      </c>
      <c r="H74" s="38">
        <f t="shared" si="107"/>
        <v>0</v>
      </c>
      <c r="I74" s="38">
        <f t="shared" si="107"/>
        <v>0</v>
      </c>
      <c r="J74" s="38">
        <f t="shared" si="107"/>
        <v>0</v>
      </c>
      <c r="K74" s="38">
        <f t="shared" si="107"/>
        <v>0</v>
      </c>
      <c r="L74" s="38">
        <f t="shared" si="107"/>
        <v>0</v>
      </c>
      <c r="M74" s="38">
        <f t="shared" si="107"/>
        <v>0</v>
      </c>
      <c r="N74" s="38">
        <f t="shared" si="107"/>
        <v>0</v>
      </c>
      <c r="O74" s="38">
        <f t="shared" si="107"/>
        <v>0</v>
      </c>
      <c r="P74" s="38">
        <f t="shared" si="107"/>
        <v>0</v>
      </c>
      <c r="Q74" s="38">
        <f t="shared" si="107"/>
        <v>0</v>
      </c>
      <c r="R74" s="38">
        <f t="shared" si="107"/>
        <v>0</v>
      </c>
      <c r="S74" s="38">
        <f t="shared" si="107"/>
        <v>0</v>
      </c>
      <c r="T74" s="38">
        <f t="shared" si="107"/>
        <v>0</v>
      </c>
      <c r="U74" s="38">
        <f t="shared" si="107"/>
        <v>0</v>
      </c>
      <c r="V74" s="38">
        <f t="shared" si="107"/>
        <v>0</v>
      </c>
      <c r="W74" s="38">
        <f t="shared" si="107"/>
        <v>0</v>
      </c>
      <c r="X74" s="38">
        <f t="shared" si="107"/>
        <v>0</v>
      </c>
      <c r="Y74" s="38">
        <f t="shared" si="107"/>
        <v>0</v>
      </c>
      <c r="Z74" s="38">
        <f t="shared" si="107"/>
        <v>0</v>
      </c>
      <c r="AA74" s="38">
        <f t="shared" si="107"/>
        <v>0</v>
      </c>
      <c r="AB74" s="38">
        <f t="shared" si="107"/>
        <v>0</v>
      </c>
      <c r="AC74" s="38">
        <f t="shared" si="107"/>
        <v>0</v>
      </c>
      <c r="AD74" s="38">
        <f t="shared" si="107"/>
        <v>0</v>
      </c>
      <c r="AE74" s="38">
        <f t="shared" si="107"/>
        <v>0</v>
      </c>
      <c r="AF74" s="38">
        <f t="shared" si="107"/>
        <v>0</v>
      </c>
      <c r="AG74" s="38">
        <f t="shared" si="107"/>
        <v>0</v>
      </c>
      <c r="AH74" s="38">
        <f t="shared" si="107"/>
        <v>0</v>
      </c>
      <c r="AI74" s="38">
        <f t="shared" si="107"/>
        <v>0</v>
      </c>
      <c r="AJ74" s="38">
        <f t="shared" si="107"/>
        <v>0</v>
      </c>
      <c r="AK74" s="38">
        <f t="shared" ref="AK74:BP74" si="108">0.1/3*($B53*AK53+4*$B54*AK54+2*$B55*AK55+4*$B56*AK56+2*$B57*AK57+4*$B58*AK58+2*$B59*AK59+4*$B60*AK60+2*$B61*AK61+4*$B62*AK62+2*$B63*AK63+4*$B64*AK64+1*$B65*AK65)+0.2/3*($B65*AK65+4*$B67*AK67+2*$B69*AK69+4*$B71*AK71+$B73*AK73)</f>
        <v>0</v>
      </c>
      <c r="AL74" s="38">
        <f t="shared" si="108"/>
        <v>0</v>
      </c>
      <c r="AM74" s="38">
        <f t="shared" si="108"/>
        <v>0</v>
      </c>
      <c r="AN74" s="38">
        <f t="shared" si="108"/>
        <v>0</v>
      </c>
      <c r="AO74" s="38">
        <f t="shared" si="108"/>
        <v>0</v>
      </c>
      <c r="AP74" s="38">
        <f t="shared" si="108"/>
        <v>0</v>
      </c>
      <c r="AQ74" s="38">
        <f t="shared" si="108"/>
        <v>0</v>
      </c>
      <c r="AR74" s="38">
        <f t="shared" si="108"/>
        <v>0</v>
      </c>
      <c r="AS74" s="38">
        <f t="shared" si="108"/>
        <v>0</v>
      </c>
      <c r="AT74" s="38">
        <f t="shared" si="108"/>
        <v>0</v>
      </c>
      <c r="AU74" s="38">
        <f t="shared" si="108"/>
        <v>0</v>
      </c>
      <c r="AV74" s="38">
        <f t="shared" si="108"/>
        <v>0</v>
      </c>
      <c r="AW74" s="38">
        <f t="shared" si="108"/>
        <v>0</v>
      </c>
      <c r="AX74" s="38">
        <f t="shared" si="108"/>
        <v>0</v>
      </c>
      <c r="AY74" s="38">
        <f t="shared" si="108"/>
        <v>0</v>
      </c>
      <c r="AZ74" s="38">
        <f t="shared" si="108"/>
        <v>0</v>
      </c>
      <c r="BA74" s="38">
        <f t="shared" si="108"/>
        <v>0</v>
      </c>
      <c r="BB74" s="38">
        <f t="shared" si="108"/>
        <v>0</v>
      </c>
      <c r="BC74" s="38">
        <f t="shared" si="108"/>
        <v>0</v>
      </c>
      <c r="BD74" s="38">
        <f t="shared" si="108"/>
        <v>0</v>
      </c>
      <c r="BE74" s="38" t="e">
        <f t="shared" si="108"/>
        <v>#DIV/0!</v>
      </c>
      <c r="BF74" s="38">
        <f t="shared" si="108"/>
        <v>0</v>
      </c>
      <c r="BG74" s="38">
        <f t="shared" si="108"/>
        <v>0</v>
      </c>
      <c r="BH74" s="38">
        <f t="shared" si="108"/>
        <v>0</v>
      </c>
      <c r="BI74" s="38">
        <f t="shared" si="108"/>
        <v>0.89999999999999991</v>
      </c>
      <c r="BJ74" s="38">
        <f t="shared" si="108"/>
        <v>0.89999999999999991</v>
      </c>
      <c r="BK74" s="38" t="e">
        <f t="shared" si="108"/>
        <v>#DIV/0!</v>
      </c>
      <c r="BL74" s="38">
        <f t="shared" si="108"/>
        <v>0.89999999999999991</v>
      </c>
      <c r="BM74" s="38">
        <f t="shared" si="108"/>
        <v>0.89999999999999991</v>
      </c>
      <c r="BN74" s="38">
        <f t="shared" si="108"/>
        <v>0.89999999999999991</v>
      </c>
      <c r="BO74" s="38" t="e">
        <f t="shared" si="108"/>
        <v>#DIV/0!</v>
      </c>
      <c r="BP74" s="38">
        <f t="shared" si="108"/>
        <v>0.89999999999999991</v>
      </c>
      <c r="BQ74" s="38" t="e">
        <f t="shared" ref="BQ74:CB74" si="109">0.1/3*($B53*BQ53+4*$B54*BQ54+2*$B55*BQ55+4*$B56*BQ56+2*$B57*BQ57+4*$B58*BQ58+2*$B59*BQ59+4*$B60*BQ60+2*$B61*BQ61+4*$B62*BQ62+2*$B63*BQ63+4*$B64*BQ64+1*$B65*BQ65)+0.2/3*($B65*BQ65+4*$B67*BQ67+2*$B69*BQ69+4*$B71*BQ71+$B73*BQ73)</f>
        <v>#DIV/0!</v>
      </c>
      <c r="BR74" s="38">
        <f t="shared" si="109"/>
        <v>0</v>
      </c>
      <c r="BS74" s="38" t="e">
        <f t="shared" si="109"/>
        <v>#DIV/0!</v>
      </c>
      <c r="BT74" s="38" t="e">
        <f t="shared" si="109"/>
        <v>#DIV/0!</v>
      </c>
      <c r="BU74" s="38">
        <f t="shared" si="109"/>
        <v>0</v>
      </c>
      <c r="BV74" s="38">
        <f t="shared" si="109"/>
        <v>0</v>
      </c>
      <c r="BW74" s="38">
        <f t="shared" si="109"/>
        <v>0.74105594897535321</v>
      </c>
      <c r="BX74" s="38">
        <f t="shared" si="109"/>
        <v>0.74105594897535321</v>
      </c>
      <c r="BY74" s="38">
        <f t="shared" si="109"/>
        <v>0</v>
      </c>
      <c r="BZ74" s="38" t="e">
        <f t="shared" si="109"/>
        <v>#DIV/0!</v>
      </c>
      <c r="CA74" s="38" t="e">
        <f t="shared" si="109"/>
        <v>#DIV/0!</v>
      </c>
      <c r="CB74" s="38" t="e">
        <f t="shared" si="109"/>
        <v>#DIV/0!</v>
      </c>
      <c r="CC74" s="96"/>
      <c r="CL74" s="38">
        <f t="shared" ref="CL74:CO74" si="110">0.1/3*($B53*CL53+4*$B54*CL54+2*$B55*CL55+4*$B56*CL56+2*$B57*CL57+4*$B58*CL58+2*$B59*CL59+4*$B60*CL60+2*$B61*CL61+4*$B62*CL62+2*$B63*CL63+4*$B64*CL64+1*$B65*CL65)+0.2/3*($B65*CL65+4*$B67*CL67+2*$B69*CL69+4*$B71*CL71+$B73*CL73)</f>
        <v>0</v>
      </c>
      <c r="CM74" s="38" t="e">
        <f t="shared" si="110"/>
        <v>#N/A</v>
      </c>
      <c r="CN74" s="38" t="e">
        <f t="shared" si="110"/>
        <v>#N/A</v>
      </c>
      <c r="CO74" s="38">
        <f t="shared" si="110"/>
        <v>0</v>
      </c>
      <c r="CQ74" s="233" t="s">
        <v>55</v>
      </c>
      <c r="CR74" s="234"/>
      <c r="CS74" s="235"/>
      <c r="CT74" s="39" t="s">
        <v>54</v>
      </c>
      <c r="CU74" s="38">
        <f t="shared" ref="CU74:DZ74" si="111">0.2/3*(CU53*$B$8+4*CU55*$B$10+2*$B$12*CU57+4*$B$14*CU59+2*$B$16*CU61+4*$B$18*CU63+2*$B$20*CU65+4*$B$22*CU67+2*$B$24*CU69+4*$B$26*CU71+CU73*$B$28)</f>
        <v>0</v>
      </c>
      <c r="CV74" s="38">
        <f t="shared" si="111"/>
        <v>0</v>
      </c>
      <c r="CW74" s="38">
        <f t="shared" si="111"/>
        <v>0</v>
      </c>
      <c r="CX74" s="38">
        <f t="shared" si="111"/>
        <v>0</v>
      </c>
      <c r="CY74" s="38">
        <f t="shared" si="111"/>
        <v>0</v>
      </c>
      <c r="CZ74" s="38">
        <f t="shared" si="111"/>
        <v>0</v>
      </c>
      <c r="DA74" s="38">
        <f t="shared" si="111"/>
        <v>0</v>
      </c>
      <c r="DB74" s="38">
        <f t="shared" si="111"/>
        <v>0</v>
      </c>
      <c r="DC74" s="38">
        <f t="shared" si="111"/>
        <v>0</v>
      </c>
      <c r="DD74" s="38">
        <f t="shared" si="111"/>
        <v>0</v>
      </c>
      <c r="DE74" s="38">
        <f t="shared" si="111"/>
        <v>0</v>
      </c>
      <c r="DF74" s="38">
        <f t="shared" si="111"/>
        <v>0</v>
      </c>
      <c r="DG74" s="38">
        <f t="shared" si="111"/>
        <v>0</v>
      </c>
      <c r="DH74" s="38">
        <f t="shared" si="111"/>
        <v>0</v>
      </c>
      <c r="DI74" s="38">
        <f t="shared" si="111"/>
        <v>0</v>
      </c>
      <c r="DJ74" s="38">
        <f t="shared" si="111"/>
        <v>0</v>
      </c>
      <c r="DK74" s="38">
        <f t="shared" si="111"/>
        <v>0</v>
      </c>
      <c r="DL74" s="38">
        <f t="shared" si="111"/>
        <v>0</v>
      </c>
      <c r="DM74" s="38">
        <f t="shared" si="111"/>
        <v>0</v>
      </c>
      <c r="DN74" s="38">
        <f t="shared" si="111"/>
        <v>0</v>
      </c>
      <c r="DO74" s="38">
        <f t="shared" si="111"/>
        <v>0</v>
      </c>
      <c r="DP74" s="38">
        <f t="shared" si="111"/>
        <v>0</v>
      </c>
      <c r="DQ74" s="38">
        <f t="shared" si="111"/>
        <v>0</v>
      </c>
      <c r="DR74" s="38">
        <f t="shared" si="111"/>
        <v>0</v>
      </c>
      <c r="DS74" s="38">
        <f t="shared" si="111"/>
        <v>0</v>
      </c>
      <c r="DT74" s="38">
        <f t="shared" si="111"/>
        <v>0</v>
      </c>
      <c r="DU74" s="38">
        <f t="shared" si="111"/>
        <v>0</v>
      </c>
      <c r="DV74" s="38">
        <f t="shared" si="111"/>
        <v>0</v>
      </c>
      <c r="DW74" s="38">
        <f t="shared" si="111"/>
        <v>0</v>
      </c>
      <c r="DX74" s="38">
        <f t="shared" si="111"/>
        <v>0</v>
      </c>
      <c r="DY74" s="38">
        <f t="shared" si="111"/>
        <v>0</v>
      </c>
      <c r="DZ74" s="38">
        <f t="shared" si="111"/>
        <v>0</v>
      </c>
      <c r="EA74" s="38">
        <f t="shared" ref="EA74:FF74" si="112">0.2/3*(EA53*$B$8+4*EA55*$B$10+2*$B$12*EA57+4*$B$14*EA59+2*$B$16*EA61+4*$B$18*EA63+2*$B$20*EA65+4*$B$22*EA67+2*$B$24*EA69+4*$B$26*EA71+EA73*$B$28)</f>
        <v>0</v>
      </c>
      <c r="EB74" s="38">
        <f t="shared" si="112"/>
        <v>0</v>
      </c>
      <c r="EC74" s="38">
        <f t="shared" si="112"/>
        <v>0</v>
      </c>
      <c r="ED74" s="38">
        <f t="shared" si="112"/>
        <v>0</v>
      </c>
      <c r="EE74" s="38">
        <f t="shared" si="112"/>
        <v>0</v>
      </c>
      <c r="EF74" s="38">
        <f t="shared" si="112"/>
        <v>0</v>
      </c>
      <c r="EG74" s="38">
        <f t="shared" si="112"/>
        <v>0</v>
      </c>
      <c r="EH74" s="38">
        <f t="shared" si="112"/>
        <v>0</v>
      </c>
      <c r="EI74" s="38">
        <f t="shared" si="112"/>
        <v>0</v>
      </c>
      <c r="EJ74" s="38">
        <f t="shared" si="112"/>
        <v>0</v>
      </c>
      <c r="EK74" s="38">
        <f t="shared" si="112"/>
        <v>0</v>
      </c>
      <c r="EL74" s="38">
        <f t="shared" si="112"/>
        <v>0</v>
      </c>
      <c r="EM74" s="38">
        <f t="shared" si="112"/>
        <v>0</v>
      </c>
      <c r="EN74" s="38">
        <f t="shared" si="112"/>
        <v>0</v>
      </c>
      <c r="EO74" s="38">
        <f t="shared" si="112"/>
        <v>0</v>
      </c>
      <c r="EP74" s="38">
        <f t="shared" si="112"/>
        <v>0</v>
      </c>
      <c r="EQ74" s="38">
        <f t="shared" si="112"/>
        <v>0</v>
      </c>
      <c r="ER74" s="38">
        <f t="shared" si="112"/>
        <v>0</v>
      </c>
      <c r="ES74" s="38">
        <f t="shared" si="112"/>
        <v>0</v>
      </c>
      <c r="ET74" s="38">
        <f t="shared" si="112"/>
        <v>0</v>
      </c>
      <c r="EU74" s="38" t="e">
        <f t="shared" si="112"/>
        <v>#DIV/0!</v>
      </c>
      <c r="EV74" s="38" t="e">
        <f t="shared" si="112"/>
        <v>#DIV/0!</v>
      </c>
      <c r="EW74" s="38" t="e">
        <f t="shared" si="112"/>
        <v>#DIV/0!</v>
      </c>
      <c r="EX74" s="38" t="e">
        <f t="shared" si="112"/>
        <v>#DIV/0!</v>
      </c>
      <c r="EY74" s="38">
        <f t="shared" si="112"/>
        <v>0.85333333333333339</v>
      </c>
      <c r="EZ74" s="38">
        <f t="shared" si="112"/>
        <v>0.85333333333333339</v>
      </c>
      <c r="FA74" s="38" t="e">
        <f t="shared" si="112"/>
        <v>#DIV/0!</v>
      </c>
      <c r="FB74" s="38">
        <f t="shared" si="112"/>
        <v>0.85333333333333339</v>
      </c>
      <c r="FC74" s="38">
        <f t="shared" si="112"/>
        <v>0.85333333333333339</v>
      </c>
      <c r="FD74" s="38">
        <f t="shared" si="112"/>
        <v>0.85333333333333339</v>
      </c>
      <c r="FE74" s="38" t="e">
        <f t="shared" si="112"/>
        <v>#DIV/0!</v>
      </c>
      <c r="FF74" s="38">
        <f t="shared" si="112"/>
        <v>0.85333333333333339</v>
      </c>
      <c r="FG74" s="38" t="e">
        <f t="shared" ref="FG74:FR74" si="113">0.2/3*(FG53*$B$8+4*FG55*$B$10+2*$B$12*FG57+4*$B$14*FG59+2*$B$16*FG61+4*$B$18*FG63+2*$B$20*FG65+4*$B$22*FG67+2*$B$24*FG69+4*$B$26*FG71+FG73*$B$28)</f>
        <v>#DIV/0!</v>
      </c>
      <c r="FH74" s="38">
        <f t="shared" si="113"/>
        <v>0</v>
      </c>
      <c r="FI74" s="38" t="e">
        <f t="shared" si="113"/>
        <v>#DIV/0!</v>
      </c>
      <c r="FJ74" s="38" t="e">
        <f t="shared" si="113"/>
        <v>#DIV/0!</v>
      </c>
      <c r="FK74" s="38">
        <f t="shared" si="113"/>
        <v>0</v>
      </c>
      <c r="FL74" s="38">
        <f t="shared" si="113"/>
        <v>0</v>
      </c>
      <c r="FM74" s="38" t="e">
        <f t="shared" si="113"/>
        <v>#N/A</v>
      </c>
      <c r="FN74" s="38" t="e">
        <f t="shared" si="113"/>
        <v>#N/A</v>
      </c>
      <c r="FO74" s="38" t="e">
        <f t="shared" si="113"/>
        <v>#N/A</v>
      </c>
      <c r="FP74" s="38" t="e">
        <f t="shared" si="113"/>
        <v>#DIV/0!</v>
      </c>
      <c r="FQ74" s="38" t="e">
        <f t="shared" si="113"/>
        <v>#DIV/0!</v>
      </c>
      <c r="FR74" s="38" t="e">
        <f t="shared" si="113"/>
        <v>#DIV/0!</v>
      </c>
      <c r="FS74" s="96"/>
      <c r="GB74" s="38">
        <f t="shared" ref="GB74:GE74" si="114">0.1/3*($B53*GB53+4*$B54*GB54+2*$B55*GB55+4*$B56*GB56+2*$B57*GB57+4*$B58*GB58+2*$B59*GB59+4*$B60*GB60+2*$B61*GB61+4*$B62*GB62+2*$B63*GB63+4*$B64*GB64+1*$B65*GB65)+0.2/3*($B65*GB65+4*$B67*GB67+2*$B69*GB69+4*$B71*GB71+$B73*GB73)</f>
        <v>0</v>
      </c>
      <c r="GC74" s="38" t="e">
        <f t="shared" si="114"/>
        <v>#N/A</v>
      </c>
      <c r="GD74" s="38" t="e">
        <f t="shared" si="114"/>
        <v>#N/A</v>
      </c>
      <c r="GE74" s="38">
        <f t="shared" si="114"/>
        <v>0</v>
      </c>
    </row>
    <row r="97" spans="1:187" ht="15.75" thickBot="1" x14ac:dyDescent="0.3">
      <c r="A97" s="17" t="s">
        <v>271</v>
      </c>
      <c r="B97" s="13" t="s">
        <v>290</v>
      </c>
      <c r="CQ97" s="17" t="s">
        <v>271</v>
      </c>
      <c r="CR97" s="13" t="s">
        <v>293</v>
      </c>
    </row>
    <row r="98" spans="1:187" ht="18.75" customHeight="1" thickBot="1" x14ac:dyDescent="0.3">
      <c r="A98" s="236" t="s">
        <v>14</v>
      </c>
      <c r="B98" s="236" t="s">
        <v>49</v>
      </c>
      <c r="C98" s="238" t="s">
        <v>10</v>
      </c>
      <c r="D98" s="240" t="s">
        <v>58</v>
      </c>
      <c r="E98" s="230" t="s">
        <v>15</v>
      </c>
      <c r="F98" s="231"/>
      <c r="G98" s="231"/>
      <c r="H98" s="231"/>
      <c r="I98" s="231"/>
      <c r="J98" s="231"/>
      <c r="K98" s="232"/>
      <c r="L98" s="230" t="s">
        <v>53</v>
      </c>
      <c r="M98" s="231"/>
      <c r="N98" s="231"/>
      <c r="O98" s="231"/>
      <c r="P98" s="232"/>
      <c r="Q98" s="230" t="s">
        <v>33</v>
      </c>
      <c r="R98" s="231"/>
      <c r="S98" s="231"/>
      <c r="T98" s="231"/>
      <c r="U98" s="231"/>
      <c r="V98" s="232"/>
      <c r="W98" s="230" t="s">
        <v>16</v>
      </c>
      <c r="X98" s="231"/>
      <c r="Y98" s="231"/>
      <c r="Z98" s="231"/>
      <c r="AA98" s="231"/>
      <c r="AB98" s="231"/>
      <c r="AC98" s="232"/>
      <c r="AD98" s="230" t="s">
        <v>17</v>
      </c>
      <c r="AE98" s="231"/>
      <c r="AF98" s="231"/>
      <c r="AG98" s="231"/>
      <c r="AH98" s="231"/>
      <c r="AI98" s="231"/>
      <c r="AJ98" s="232"/>
      <c r="AK98" s="244" t="s">
        <v>34</v>
      </c>
      <c r="AL98" s="245"/>
      <c r="AM98" s="245"/>
      <c r="AN98" s="246"/>
      <c r="AO98" s="244" t="s">
        <v>18</v>
      </c>
      <c r="AP98" s="245"/>
      <c r="AQ98" s="245"/>
      <c r="AR98" s="245"/>
      <c r="AS98" s="246"/>
      <c r="AT98" s="244" t="s">
        <v>50</v>
      </c>
      <c r="AU98" s="245"/>
      <c r="AV98" s="247"/>
      <c r="AW98" s="248" t="s">
        <v>52</v>
      </c>
      <c r="AX98" s="246"/>
      <c r="AY98" s="244" t="s">
        <v>51</v>
      </c>
      <c r="AZ98" s="245"/>
      <c r="BA98" s="245"/>
      <c r="BB98" s="245"/>
      <c r="BC98" s="245"/>
      <c r="BD98" s="246"/>
      <c r="BE98" s="14"/>
      <c r="BF98" s="224" t="s">
        <v>187</v>
      </c>
      <c r="BG98" s="225"/>
      <c r="BH98" s="226"/>
      <c r="BI98" s="224" t="s">
        <v>180</v>
      </c>
      <c r="BJ98" s="225"/>
      <c r="BK98" s="225"/>
      <c r="BL98" s="225"/>
      <c r="BM98" s="226"/>
      <c r="BN98" s="224" t="s">
        <v>181</v>
      </c>
      <c r="BO98" s="225"/>
      <c r="BP98" s="226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5"/>
      <c r="CC98" s="227" t="s">
        <v>121</v>
      </c>
      <c r="CD98" s="228"/>
      <c r="CE98" s="229"/>
      <c r="CF98" s="236" t="s">
        <v>14</v>
      </c>
      <c r="CG98" s="236" t="s">
        <v>49</v>
      </c>
      <c r="CH98" s="238" t="s">
        <v>10</v>
      </c>
      <c r="CI98" s="240" t="s">
        <v>58</v>
      </c>
      <c r="CJ98" s="242" t="s">
        <v>297</v>
      </c>
      <c r="CK98" s="222" t="s">
        <v>298</v>
      </c>
      <c r="CL98" s="222" t="s">
        <v>300</v>
      </c>
      <c r="CM98" s="222" t="s">
        <v>299</v>
      </c>
      <c r="CN98" s="222" t="s">
        <v>303</v>
      </c>
      <c r="CO98" s="222" t="s">
        <v>307</v>
      </c>
      <c r="CQ98" s="236" t="s">
        <v>14</v>
      </c>
      <c r="CR98" s="236" t="s">
        <v>49</v>
      </c>
      <c r="CS98" s="238" t="s">
        <v>10</v>
      </c>
      <c r="CT98" s="240" t="s">
        <v>58</v>
      </c>
      <c r="CU98" s="230" t="s">
        <v>15</v>
      </c>
      <c r="CV98" s="231"/>
      <c r="CW98" s="231"/>
      <c r="CX98" s="231"/>
      <c r="CY98" s="231"/>
      <c r="CZ98" s="231"/>
      <c r="DA98" s="232"/>
      <c r="DB98" s="230" t="s">
        <v>53</v>
      </c>
      <c r="DC98" s="231"/>
      <c r="DD98" s="231"/>
      <c r="DE98" s="231"/>
      <c r="DF98" s="232"/>
      <c r="DG98" s="230" t="s">
        <v>33</v>
      </c>
      <c r="DH98" s="231"/>
      <c r="DI98" s="231"/>
      <c r="DJ98" s="231"/>
      <c r="DK98" s="231"/>
      <c r="DL98" s="232"/>
      <c r="DM98" s="230" t="s">
        <v>16</v>
      </c>
      <c r="DN98" s="231"/>
      <c r="DO98" s="231"/>
      <c r="DP98" s="231"/>
      <c r="DQ98" s="231"/>
      <c r="DR98" s="231"/>
      <c r="DS98" s="232"/>
      <c r="DT98" s="230" t="s">
        <v>17</v>
      </c>
      <c r="DU98" s="231"/>
      <c r="DV98" s="231"/>
      <c r="DW98" s="231"/>
      <c r="DX98" s="231"/>
      <c r="DY98" s="231"/>
      <c r="DZ98" s="232"/>
      <c r="EA98" s="244" t="s">
        <v>34</v>
      </c>
      <c r="EB98" s="245"/>
      <c r="EC98" s="245"/>
      <c r="ED98" s="246"/>
      <c r="EE98" s="244" t="s">
        <v>18</v>
      </c>
      <c r="EF98" s="245"/>
      <c r="EG98" s="245"/>
      <c r="EH98" s="245"/>
      <c r="EI98" s="246"/>
      <c r="EJ98" s="244" t="s">
        <v>50</v>
      </c>
      <c r="EK98" s="245"/>
      <c r="EL98" s="247"/>
      <c r="EM98" s="248" t="s">
        <v>52</v>
      </c>
      <c r="EN98" s="246"/>
      <c r="EO98" s="244" t="s">
        <v>51</v>
      </c>
      <c r="EP98" s="245"/>
      <c r="EQ98" s="245"/>
      <c r="ER98" s="245"/>
      <c r="ES98" s="245"/>
      <c r="ET98" s="246"/>
      <c r="EU98" s="14"/>
      <c r="EV98" s="224" t="s">
        <v>187</v>
      </c>
      <c r="EW98" s="225"/>
      <c r="EX98" s="226"/>
      <c r="EY98" s="224" t="s">
        <v>180</v>
      </c>
      <c r="EZ98" s="225"/>
      <c r="FA98" s="225"/>
      <c r="FB98" s="225"/>
      <c r="FC98" s="226"/>
      <c r="FD98" s="224" t="s">
        <v>181</v>
      </c>
      <c r="FE98" s="225"/>
      <c r="FF98" s="226"/>
      <c r="FG98" s="14"/>
      <c r="FH98" s="14"/>
      <c r="FI98" s="14"/>
      <c r="FJ98" s="14"/>
      <c r="FK98" s="14"/>
      <c r="FL98" s="14"/>
      <c r="FM98" s="14"/>
      <c r="FN98" s="14"/>
      <c r="FO98" s="14"/>
      <c r="FP98" s="14"/>
      <c r="FQ98" s="14"/>
      <c r="FR98" s="15"/>
      <c r="FS98" s="227" t="s">
        <v>121</v>
      </c>
      <c r="FT98" s="228"/>
      <c r="FU98" s="229"/>
      <c r="FV98" s="236" t="s">
        <v>14</v>
      </c>
      <c r="FW98" s="236" t="s">
        <v>49</v>
      </c>
      <c r="FX98" s="238" t="s">
        <v>10</v>
      </c>
      <c r="FY98" s="240" t="s">
        <v>58</v>
      </c>
      <c r="FZ98" s="242" t="s">
        <v>297</v>
      </c>
      <c r="GA98" s="222" t="s">
        <v>298</v>
      </c>
      <c r="GB98" s="222" t="s">
        <v>300</v>
      </c>
      <c r="GC98" s="222" t="s">
        <v>299</v>
      </c>
      <c r="GD98" s="222" t="s">
        <v>303</v>
      </c>
      <c r="GE98" s="222" t="s">
        <v>307</v>
      </c>
    </row>
    <row r="99" spans="1:187" ht="18" thickBot="1" x14ac:dyDescent="0.35">
      <c r="A99" s="237"/>
      <c r="B99" s="237"/>
      <c r="C99" s="239"/>
      <c r="D99" s="241"/>
      <c r="E99" s="16" t="s">
        <v>19</v>
      </c>
      <c r="F99" s="17" t="s">
        <v>20</v>
      </c>
      <c r="G99" s="17" t="s">
        <v>35</v>
      </c>
      <c r="H99" s="17" t="s">
        <v>36</v>
      </c>
      <c r="I99" s="18" t="s">
        <v>47</v>
      </c>
      <c r="J99" s="18" t="s">
        <v>48</v>
      </c>
      <c r="K99" s="19" t="s">
        <v>21</v>
      </c>
      <c r="L99" s="20" t="s">
        <v>37</v>
      </c>
      <c r="M99" s="18" t="s">
        <v>38</v>
      </c>
      <c r="N99" s="18" t="s">
        <v>39</v>
      </c>
      <c r="O99" s="18" t="s">
        <v>40</v>
      </c>
      <c r="P99" s="19" t="s">
        <v>59</v>
      </c>
      <c r="Q99" s="20" t="s">
        <v>41</v>
      </c>
      <c r="R99" s="17" t="s">
        <v>42</v>
      </c>
      <c r="S99" s="18" t="s">
        <v>43</v>
      </c>
      <c r="T99" s="17" t="s">
        <v>44</v>
      </c>
      <c r="U99" s="18" t="s">
        <v>45</v>
      </c>
      <c r="V99" s="19" t="s">
        <v>46</v>
      </c>
      <c r="W99" s="21" t="s">
        <v>19</v>
      </c>
      <c r="X99" s="22" t="s">
        <v>20</v>
      </c>
      <c r="Y99" s="22" t="s">
        <v>35</v>
      </c>
      <c r="Z99" s="22" t="s">
        <v>36</v>
      </c>
      <c r="AA99" s="22" t="s">
        <v>47</v>
      </c>
      <c r="AB99" s="22" t="s">
        <v>48</v>
      </c>
      <c r="AC99" s="23" t="s">
        <v>21</v>
      </c>
      <c r="AD99" s="21" t="s">
        <v>19</v>
      </c>
      <c r="AE99" s="22" t="s">
        <v>20</v>
      </c>
      <c r="AF99" s="22" t="s">
        <v>35</v>
      </c>
      <c r="AG99" s="22" t="s">
        <v>36</v>
      </c>
      <c r="AH99" s="22" t="s">
        <v>47</v>
      </c>
      <c r="AI99" s="22" t="s">
        <v>48</v>
      </c>
      <c r="AJ99" s="23" t="s">
        <v>21</v>
      </c>
      <c r="AK99" s="24" t="s">
        <v>60</v>
      </c>
      <c r="AL99" s="25" t="s">
        <v>61</v>
      </c>
      <c r="AM99" s="25" t="s">
        <v>62</v>
      </c>
      <c r="AN99" s="26" t="s">
        <v>63</v>
      </c>
      <c r="AO99" s="27" t="s">
        <v>64</v>
      </c>
      <c r="AP99" s="25" t="s">
        <v>65</v>
      </c>
      <c r="AQ99" s="25" t="s">
        <v>66</v>
      </c>
      <c r="AR99" s="25" t="s">
        <v>67</v>
      </c>
      <c r="AS99" s="26" t="s">
        <v>68</v>
      </c>
      <c r="AT99" s="27" t="s">
        <v>69</v>
      </c>
      <c r="AU99" s="25" t="s">
        <v>70</v>
      </c>
      <c r="AV99" s="25" t="s">
        <v>71</v>
      </c>
      <c r="AW99" s="25" t="s">
        <v>72</v>
      </c>
      <c r="AX99" s="28" t="s">
        <v>73</v>
      </c>
      <c r="AY99" s="24" t="s">
        <v>23</v>
      </c>
      <c r="AZ99" s="25" t="s">
        <v>24</v>
      </c>
      <c r="BA99" s="25" t="s">
        <v>25</v>
      </c>
      <c r="BB99" s="25" t="s">
        <v>28</v>
      </c>
      <c r="BC99" s="25" t="s">
        <v>26</v>
      </c>
      <c r="BD99" s="28" t="s">
        <v>27</v>
      </c>
      <c r="BE99" s="26" t="s">
        <v>68</v>
      </c>
      <c r="BF99" s="132" t="s">
        <v>188</v>
      </c>
      <c r="BG99" s="132" t="s">
        <v>189</v>
      </c>
      <c r="BH99" s="132" t="s">
        <v>190</v>
      </c>
      <c r="BI99" s="150" t="s">
        <v>177</v>
      </c>
      <c r="BJ99" s="148" t="s">
        <v>204</v>
      </c>
      <c r="BK99" s="130" t="s">
        <v>178</v>
      </c>
      <c r="BL99" s="130" t="s">
        <v>205</v>
      </c>
      <c r="BM99" s="149" t="s">
        <v>179</v>
      </c>
      <c r="BN99" s="150" t="s">
        <v>177</v>
      </c>
      <c r="BO99" s="130" t="s">
        <v>178</v>
      </c>
      <c r="BP99" s="149" t="s">
        <v>179</v>
      </c>
      <c r="BQ99" s="27" t="s">
        <v>194</v>
      </c>
      <c r="BR99" s="129" t="s">
        <v>74</v>
      </c>
      <c r="BS99" s="25" t="s">
        <v>128</v>
      </c>
      <c r="BT99" s="25" t="s">
        <v>129</v>
      </c>
      <c r="BU99" s="25" t="s">
        <v>196</v>
      </c>
      <c r="BV99" s="26" t="s">
        <v>199</v>
      </c>
      <c r="BW99" s="30" t="s">
        <v>75</v>
      </c>
      <c r="BX99" s="29" t="s">
        <v>57</v>
      </c>
      <c r="BY99" s="29" t="s">
        <v>76</v>
      </c>
      <c r="BZ99" s="29" t="s">
        <v>77</v>
      </c>
      <c r="CA99" s="29" t="s">
        <v>78</v>
      </c>
      <c r="CB99" s="31" t="s">
        <v>79</v>
      </c>
      <c r="CC99" s="21" t="s">
        <v>122</v>
      </c>
      <c r="CD99" s="22" t="s">
        <v>123</v>
      </c>
      <c r="CE99" s="23" t="s">
        <v>124</v>
      </c>
      <c r="CF99" s="237"/>
      <c r="CG99" s="237"/>
      <c r="CH99" s="239"/>
      <c r="CI99" s="241"/>
      <c r="CJ99" s="243"/>
      <c r="CK99" s="223"/>
      <c r="CL99" s="223"/>
      <c r="CM99" s="223"/>
      <c r="CN99" s="223"/>
      <c r="CO99" s="223"/>
      <c r="CP99" s="116"/>
      <c r="CQ99" s="237"/>
      <c r="CR99" s="237"/>
      <c r="CS99" s="239"/>
      <c r="CT99" s="241"/>
      <c r="CU99" s="16" t="s">
        <v>19</v>
      </c>
      <c r="CV99" s="17" t="s">
        <v>20</v>
      </c>
      <c r="CW99" s="17" t="s">
        <v>35</v>
      </c>
      <c r="CX99" s="17" t="s">
        <v>36</v>
      </c>
      <c r="CY99" s="18" t="s">
        <v>47</v>
      </c>
      <c r="CZ99" s="18" t="s">
        <v>48</v>
      </c>
      <c r="DA99" s="19" t="s">
        <v>21</v>
      </c>
      <c r="DB99" s="20" t="s">
        <v>37</v>
      </c>
      <c r="DC99" s="18" t="s">
        <v>38</v>
      </c>
      <c r="DD99" s="18" t="s">
        <v>39</v>
      </c>
      <c r="DE99" s="18" t="s">
        <v>40</v>
      </c>
      <c r="DF99" s="19" t="s">
        <v>59</v>
      </c>
      <c r="DG99" s="20" t="s">
        <v>41</v>
      </c>
      <c r="DH99" s="17" t="s">
        <v>42</v>
      </c>
      <c r="DI99" s="18" t="s">
        <v>43</v>
      </c>
      <c r="DJ99" s="17" t="s">
        <v>44</v>
      </c>
      <c r="DK99" s="18" t="s">
        <v>45</v>
      </c>
      <c r="DL99" s="19" t="s">
        <v>46</v>
      </c>
      <c r="DM99" s="21" t="s">
        <v>19</v>
      </c>
      <c r="DN99" s="22" t="s">
        <v>20</v>
      </c>
      <c r="DO99" s="22" t="s">
        <v>35</v>
      </c>
      <c r="DP99" s="22" t="s">
        <v>36</v>
      </c>
      <c r="DQ99" s="22" t="s">
        <v>47</v>
      </c>
      <c r="DR99" s="22" t="s">
        <v>48</v>
      </c>
      <c r="DS99" s="23" t="s">
        <v>21</v>
      </c>
      <c r="DT99" s="21" t="s">
        <v>19</v>
      </c>
      <c r="DU99" s="22" t="s">
        <v>20</v>
      </c>
      <c r="DV99" s="22" t="s">
        <v>35</v>
      </c>
      <c r="DW99" s="22" t="s">
        <v>36</v>
      </c>
      <c r="DX99" s="22" t="s">
        <v>47</v>
      </c>
      <c r="DY99" s="22" t="s">
        <v>48</v>
      </c>
      <c r="DZ99" s="23" t="s">
        <v>21</v>
      </c>
      <c r="EA99" s="24" t="s">
        <v>60</v>
      </c>
      <c r="EB99" s="25" t="s">
        <v>61</v>
      </c>
      <c r="EC99" s="25" t="s">
        <v>62</v>
      </c>
      <c r="ED99" s="26" t="s">
        <v>63</v>
      </c>
      <c r="EE99" s="27" t="s">
        <v>64</v>
      </c>
      <c r="EF99" s="25" t="s">
        <v>65</v>
      </c>
      <c r="EG99" s="25" t="s">
        <v>66</v>
      </c>
      <c r="EH99" s="25" t="s">
        <v>67</v>
      </c>
      <c r="EI99" s="26" t="s">
        <v>68</v>
      </c>
      <c r="EJ99" s="27" t="s">
        <v>69</v>
      </c>
      <c r="EK99" s="25" t="s">
        <v>70</v>
      </c>
      <c r="EL99" s="25" t="s">
        <v>71</v>
      </c>
      <c r="EM99" s="25" t="s">
        <v>72</v>
      </c>
      <c r="EN99" s="28" t="s">
        <v>73</v>
      </c>
      <c r="EO99" s="24" t="s">
        <v>23</v>
      </c>
      <c r="EP99" s="25" t="s">
        <v>24</v>
      </c>
      <c r="EQ99" s="25" t="s">
        <v>25</v>
      </c>
      <c r="ER99" s="25" t="s">
        <v>28</v>
      </c>
      <c r="ES99" s="25" t="s">
        <v>26</v>
      </c>
      <c r="ET99" s="28" t="s">
        <v>27</v>
      </c>
      <c r="EU99" s="26" t="s">
        <v>68</v>
      </c>
      <c r="EV99" s="132" t="s">
        <v>188</v>
      </c>
      <c r="EW99" s="132" t="s">
        <v>189</v>
      </c>
      <c r="EX99" s="132" t="s">
        <v>190</v>
      </c>
      <c r="EY99" s="150" t="s">
        <v>177</v>
      </c>
      <c r="EZ99" s="148" t="s">
        <v>204</v>
      </c>
      <c r="FA99" s="130" t="s">
        <v>178</v>
      </c>
      <c r="FB99" s="130" t="s">
        <v>205</v>
      </c>
      <c r="FC99" s="149" t="s">
        <v>179</v>
      </c>
      <c r="FD99" s="150" t="s">
        <v>177</v>
      </c>
      <c r="FE99" s="130" t="s">
        <v>178</v>
      </c>
      <c r="FF99" s="149" t="s">
        <v>179</v>
      </c>
      <c r="FG99" s="27" t="s">
        <v>194</v>
      </c>
      <c r="FH99" s="129" t="s">
        <v>74</v>
      </c>
      <c r="FI99" s="25" t="s">
        <v>128</v>
      </c>
      <c r="FJ99" s="25" t="s">
        <v>129</v>
      </c>
      <c r="FK99" s="25" t="s">
        <v>196</v>
      </c>
      <c r="FL99" s="26" t="s">
        <v>199</v>
      </c>
      <c r="FM99" s="30" t="s">
        <v>75</v>
      </c>
      <c r="FN99" s="29" t="s">
        <v>57</v>
      </c>
      <c r="FO99" s="29" t="s">
        <v>76</v>
      </c>
      <c r="FP99" s="29" t="s">
        <v>77</v>
      </c>
      <c r="FQ99" s="29" t="s">
        <v>78</v>
      </c>
      <c r="FR99" s="31" t="s">
        <v>79</v>
      </c>
      <c r="FS99" s="21" t="s">
        <v>122</v>
      </c>
      <c r="FT99" s="22" t="s">
        <v>123</v>
      </c>
      <c r="FU99" s="23" t="s">
        <v>124</v>
      </c>
      <c r="FV99" s="237"/>
      <c r="FW99" s="237"/>
      <c r="FX99" s="239"/>
      <c r="FY99" s="241"/>
      <c r="FZ99" s="243"/>
      <c r="GA99" s="223"/>
      <c r="GB99" s="223"/>
      <c r="GC99" s="223"/>
      <c r="GD99" s="223"/>
      <c r="GE99" s="223"/>
    </row>
    <row r="100" spans="1:187" x14ac:dyDescent="0.25">
      <c r="A100" s="111">
        <f>IF('3'!$AC$7="",B100,NA())</f>
        <v>1</v>
      </c>
      <c r="B100" s="111">
        <v>1</v>
      </c>
      <c r="C100" s="96"/>
      <c r="D100" s="112"/>
      <c r="E100" s="96"/>
      <c r="F100" s="96"/>
      <c r="G100" s="96"/>
      <c r="H100" s="96"/>
      <c r="I100" s="96"/>
      <c r="J100" s="96"/>
      <c r="K100" s="96"/>
      <c r="L100" s="111"/>
      <c r="M100" s="96"/>
      <c r="N100" s="96"/>
      <c r="O100" s="96"/>
      <c r="P100" s="96"/>
      <c r="Q100" s="111"/>
      <c r="R100" s="96"/>
      <c r="S100" s="96"/>
      <c r="T100" s="96"/>
      <c r="U100" s="96"/>
      <c r="V100" s="96"/>
      <c r="W100" s="96"/>
      <c r="X100" s="96"/>
      <c r="Y100" s="96"/>
      <c r="Z100" s="96"/>
      <c r="AA100" s="96"/>
      <c r="AB100" s="96"/>
      <c r="AC100" s="96"/>
      <c r="AD100" s="111"/>
      <c r="AJ100" s="84"/>
      <c r="AK100" s="113"/>
      <c r="AN100" s="84"/>
      <c r="AT100" s="113"/>
      <c r="AX100" s="84"/>
      <c r="AY100" s="113"/>
      <c r="BD100" s="84"/>
      <c r="BE100" s="163"/>
      <c r="BI100" s="81"/>
      <c r="BJ100" s="82"/>
      <c r="BK100" s="82"/>
      <c r="BL100" s="82"/>
      <c r="BM100" s="83"/>
      <c r="BQ100" s="140"/>
      <c r="BR100" s="32"/>
      <c r="BS100" s="33"/>
      <c r="BT100" s="33"/>
      <c r="BU100" s="33"/>
      <c r="BV100" s="33"/>
      <c r="BW100" s="33"/>
      <c r="BX100" s="33"/>
      <c r="BY100" s="33"/>
      <c r="BZ100" s="33"/>
      <c r="CA100" s="33"/>
      <c r="CB100" s="34"/>
      <c r="CC100" s="81"/>
      <c r="CD100" s="82"/>
      <c r="CE100" s="83"/>
      <c r="CF100" s="112">
        <f>CG100</f>
        <v>1</v>
      </c>
      <c r="CG100" s="96">
        <v>1</v>
      </c>
      <c r="CH100" s="96"/>
      <c r="CI100" s="96"/>
      <c r="CJ100" s="96"/>
      <c r="CK100" s="96"/>
      <c r="CL100" s="96">
        <f>SQRT(2*CONVERT(CJ100, "psi", "Pa") / $J$1)</f>
        <v>0</v>
      </c>
      <c r="CM100" s="96">
        <f>IF(CF100=A100,SQRT((2*CONVERT(CJ100,"psi","Pa")-AC100*$J$2*AO100^2)/((1-AC100)*$CM$1*$J$1)), NA())</f>
        <v>0</v>
      </c>
      <c r="CN100" s="96">
        <f>(1-AC100)*CM100</f>
        <v>0</v>
      </c>
      <c r="CO100" s="112">
        <f>IF(AO100&gt;0, AO100-CM100, 0)</f>
        <v>0</v>
      </c>
      <c r="CQ100" s="111" t="e">
        <f>IF('3'!$AC$3="",CR100,NA())</f>
        <v>#N/A</v>
      </c>
      <c r="CR100" s="111">
        <v>1</v>
      </c>
      <c r="CS100" s="96"/>
      <c r="CT100" s="112"/>
      <c r="CU100" s="96"/>
      <c r="CV100" s="96"/>
      <c r="CW100" s="96"/>
      <c r="CX100" s="96"/>
      <c r="CY100" s="96"/>
      <c r="CZ100" s="96"/>
      <c r="DA100" s="96"/>
      <c r="DB100" s="111"/>
      <c r="DC100" s="96"/>
      <c r="DD100" s="96"/>
      <c r="DE100" s="96"/>
      <c r="DF100" s="96"/>
      <c r="DG100" s="111"/>
      <c r="DH100" s="96"/>
      <c r="DI100" s="96"/>
      <c r="DJ100" s="96"/>
      <c r="DK100" s="96"/>
      <c r="DL100" s="96"/>
      <c r="DM100" s="96"/>
      <c r="DN100" s="96"/>
      <c r="DO100" s="96"/>
      <c r="DP100" s="96"/>
      <c r="DQ100" s="96"/>
      <c r="DR100" s="96"/>
      <c r="DS100" s="96"/>
      <c r="DT100" s="111"/>
      <c r="DZ100" s="84"/>
      <c r="EA100" s="113"/>
      <c r="ED100" s="84"/>
      <c r="EJ100" s="113"/>
      <c r="EN100" s="84"/>
      <c r="EO100" s="113"/>
      <c r="ET100" s="84"/>
      <c r="EU100" s="163"/>
      <c r="EY100" s="81"/>
      <c r="EZ100" s="82"/>
      <c r="FA100" s="82"/>
      <c r="FB100" s="82"/>
      <c r="FC100" s="83"/>
      <c r="FG100" s="140"/>
      <c r="FH100" s="32"/>
      <c r="FI100" s="33"/>
      <c r="FJ100" s="33"/>
      <c r="FK100" s="33"/>
      <c r="FL100" s="33"/>
      <c r="FM100" s="33"/>
      <c r="FN100" s="33"/>
      <c r="FO100" s="33"/>
      <c r="FP100" s="33"/>
      <c r="FQ100" s="33"/>
      <c r="FR100" s="34"/>
      <c r="FS100" s="81"/>
      <c r="FT100" s="82"/>
      <c r="FU100" s="83"/>
      <c r="FV100" s="112">
        <f>FW100</f>
        <v>1</v>
      </c>
      <c r="FW100" s="96">
        <v>1</v>
      </c>
      <c r="FX100" s="96"/>
      <c r="FY100" s="96"/>
      <c r="FZ100" s="96"/>
      <c r="GA100" s="96"/>
      <c r="GB100" s="96">
        <f>SQRT(2*CONVERT(FZ100, "psi", "Pa") / $J$1)</f>
        <v>0</v>
      </c>
      <c r="GC100" s="96" t="e">
        <f>IF(FV100=CQ100,SQRT((2*CONVERT(FZ100,"psi","Pa")-DS100*$J$2*EE100^2)/((1-DS100)*$CM$1*$J$1)), NA())</f>
        <v>#N/A</v>
      </c>
      <c r="GD100" s="96" t="e">
        <f>(1-DS100)*GC100</f>
        <v>#N/A</v>
      </c>
      <c r="GE100" s="112">
        <f>IF(EE100&gt;0, EE100-GC100, 0)</f>
        <v>0</v>
      </c>
    </row>
    <row r="101" spans="1:187" x14ac:dyDescent="0.25">
      <c r="A101" s="111">
        <f>IF('3'!$AC$7="",B101,NA())</f>
        <v>0.9</v>
      </c>
      <c r="B101" s="111">
        <v>0.9</v>
      </c>
      <c r="C101" s="96">
        <v>30</v>
      </c>
      <c r="D101" s="112">
        <v>50000</v>
      </c>
      <c r="E101" s="96"/>
      <c r="F101" s="96"/>
      <c r="G101" s="96"/>
      <c r="H101" s="96"/>
      <c r="I101" s="96"/>
      <c r="J101" s="96"/>
      <c r="K101" s="96"/>
      <c r="L101" s="111"/>
      <c r="M101" s="96"/>
      <c r="N101" s="96"/>
      <c r="O101" s="96"/>
      <c r="P101" s="112"/>
      <c r="Q101" s="111"/>
      <c r="R101" s="96"/>
      <c r="S101" s="96"/>
      <c r="T101" s="96"/>
      <c r="U101" s="96"/>
      <c r="V101" s="112"/>
      <c r="W101" s="96"/>
      <c r="X101" s="96"/>
      <c r="Y101" s="96"/>
      <c r="Z101" s="96"/>
      <c r="AA101" s="96"/>
      <c r="AB101" s="96"/>
      <c r="AC101" s="96"/>
      <c r="AD101" s="111"/>
      <c r="AJ101" s="84"/>
      <c r="AK101" s="113"/>
      <c r="AN101" s="84"/>
      <c r="AT101" s="113"/>
      <c r="AX101" s="84"/>
      <c r="AY101" s="113"/>
      <c r="BD101" s="84"/>
      <c r="BE101" s="147" t="e">
        <f t="shared" ref="BE101:BE108" si="115">AQ101/AO101</f>
        <v>#DIV/0!</v>
      </c>
      <c r="BF101" s="157">
        <f t="shared" ref="BF101:BF108" si="116">I101/C101</f>
        <v>0</v>
      </c>
      <c r="BG101" s="157">
        <f t="shared" ref="BG101:BG108" si="117">J101/C101</f>
        <v>0</v>
      </c>
      <c r="BH101" s="157">
        <f t="shared" ref="BH101:BH108" si="118">K101/C101</f>
        <v>0</v>
      </c>
      <c r="BI101" s="152">
        <f t="shared" ref="BI101:BI119" si="119">(AA101/$E$246-1)^2</f>
        <v>1</v>
      </c>
      <c r="BJ101" s="153">
        <f t="shared" ref="BJ101:BJ119" si="120">(AA101/$G$246-1)^2</f>
        <v>1</v>
      </c>
      <c r="BK101" s="116" t="e">
        <f t="shared" ref="BK101:BK119" si="121">(AB101/$F$246-1)^2</f>
        <v>#DIV/0!</v>
      </c>
      <c r="BL101" s="116">
        <f t="shared" ref="BL101:BL119" si="122">(AB101/$G$246-1)^2</f>
        <v>1</v>
      </c>
      <c r="BM101" s="154">
        <f t="shared" ref="BM101:BM119" si="123">(AC101/$G$246-1)^2</f>
        <v>1</v>
      </c>
      <c r="BN101" s="153">
        <f t="shared" ref="BN101:BN119" si="124">(AH101/$H$246-1)^2</f>
        <v>1</v>
      </c>
      <c r="BO101" s="116" t="e">
        <f t="shared" ref="BO101:BO119" si="125">(AI101/$I$246-1)^2</f>
        <v>#DIV/0!</v>
      </c>
      <c r="BP101" s="153">
        <f t="shared" ref="BP101:BP119" si="126">(AJ101/$J$246-1)^2</f>
        <v>1</v>
      </c>
      <c r="BQ101" s="141" t="e">
        <f t="shared" ref="BQ101:BQ105" si="127">I101/H101</f>
        <v>#DIV/0!</v>
      </c>
      <c r="BR101" s="111">
        <f t="shared" ref="BR101:BR108" si="128">AK101*P101</f>
        <v>0</v>
      </c>
      <c r="BS101" s="96" t="e">
        <f t="shared" ref="BS101:BS108" si="129">6000*AC101/AJ101</f>
        <v>#DIV/0!</v>
      </c>
      <c r="BT101" s="96" t="e">
        <f t="shared" ref="BT101:BT108" si="130">BS101*AC101</f>
        <v>#DIV/0!</v>
      </c>
      <c r="BU101" s="96">
        <f t="shared" ref="BU101:BU108" si="131">AB101*AN101</f>
        <v>0</v>
      </c>
      <c r="BV101" s="96"/>
      <c r="BW101" s="96">
        <f t="shared" ref="BW101:BW119" si="132">$G$2*(1-ABS(A101))^(1/$G$1)</f>
        <v>0.68180638083025913</v>
      </c>
      <c r="BX101" s="96">
        <f t="shared" ref="BX101:BX108" si="133">SUM(W101:X101)*AO101+SUM(Y101:Z101)*AP101+(1-AC101)*BW101</f>
        <v>0.68180638083025913</v>
      </c>
      <c r="BY101" s="96">
        <f t="shared" ref="BY101:BY108" si="134">AC101*BX101</f>
        <v>0</v>
      </c>
      <c r="BZ101" s="96" t="e">
        <f t="shared" ref="BZ101:BZ108" si="135">(AO101*SUM(W101:X101)/AC101)+(AP101*SUM(Y101:Z101)/AC101)-BX101</f>
        <v>#DIV/0!</v>
      </c>
      <c r="CA101" s="96" t="e">
        <f t="shared" ref="CA101:CA108" si="136">AC101*BZ101</f>
        <v>#DIV/0!</v>
      </c>
      <c r="CB101" s="112" t="e">
        <f t="shared" ref="CB101:CB108" si="137">CA101/(1-AC101)</f>
        <v>#DIV/0!</v>
      </c>
      <c r="CC101" s="113" t="e">
        <f t="shared" ref="CC101:CC108" si="138">M101/L101*100</f>
        <v>#DIV/0!</v>
      </c>
      <c r="CD101" s="13" t="e">
        <f t="shared" ref="CD101:CD108" si="139">N101/L101*100</f>
        <v>#DIV/0!</v>
      </c>
      <c r="CE101" s="84" t="e">
        <f t="shared" ref="CE101:CE108" si="140">O101/L101*100</f>
        <v>#DIV/0!</v>
      </c>
      <c r="CF101" s="112">
        <f t="shared" ref="CF101:CF109" si="141">CG101</f>
        <v>0</v>
      </c>
      <c r="CG101" s="96"/>
      <c r="CH101" s="96"/>
      <c r="CI101" s="96"/>
      <c r="CJ101" s="96"/>
      <c r="CK101" s="96"/>
      <c r="CL101" s="96">
        <f t="shared" ref="CL101:CL109" si="142">SQRT(2*CONVERT(CJ101, "psi", "Pa") / $J$1)</f>
        <v>0</v>
      </c>
      <c r="CM101" s="96" t="e">
        <f t="shared" ref="CM101:CM120" si="143">IF(CF101=A101,SQRT((2*CONVERT(CJ101,"psi","Pa")-AC101*$J$2*AO101^2)/((1-AC101)*$CM$1*$J$1)), NA())</f>
        <v>#N/A</v>
      </c>
      <c r="CN101" s="96" t="e">
        <f t="shared" ref="CN101:CN119" si="144">(1-AC101)*CM101</f>
        <v>#N/A</v>
      </c>
      <c r="CO101" s="112">
        <f t="shared" ref="CO101:CO120" si="145">IF(AO101&gt;0, AO101-CM101, 0)</f>
        <v>0</v>
      </c>
      <c r="CQ101" s="111" t="e">
        <f>IF('3'!$AC$3="",CR101,NA())</f>
        <v>#N/A</v>
      </c>
      <c r="CR101" s="111">
        <v>0.9</v>
      </c>
      <c r="CS101" s="96">
        <v>30</v>
      </c>
      <c r="CT101" s="112">
        <v>50000</v>
      </c>
      <c r="CU101" s="96"/>
      <c r="CV101" s="96"/>
      <c r="CW101" s="96"/>
      <c r="CX101" s="96"/>
      <c r="CY101" s="96"/>
      <c r="CZ101" s="96"/>
      <c r="DA101" s="96"/>
      <c r="DB101" s="111"/>
      <c r="DC101" s="96"/>
      <c r="DD101" s="96"/>
      <c r="DE101" s="96"/>
      <c r="DF101" s="112"/>
      <c r="DG101" s="111"/>
      <c r="DH101" s="96"/>
      <c r="DI101" s="96"/>
      <c r="DJ101" s="96"/>
      <c r="DK101" s="96"/>
      <c r="DL101" s="112"/>
      <c r="DM101" s="96"/>
      <c r="DN101" s="96"/>
      <c r="DO101" s="96"/>
      <c r="DP101" s="96"/>
      <c r="DQ101" s="96"/>
      <c r="DR101" s="96"/>
      <c r="DS101" s="96"/>
      <c r="DT101" s="111"/>
      <c r="DZ101" s="84"/>
      <c r="EA101" s="113"/>
      <c r="ED101" s="84"/>
      <c r="EJ101" s="113"/>
      <c r="EN101" s="84"/>
      <c r="EO101" s="113"/>
      <c r="ET101" s="84"/>
      <c r="EU101" s="147" t="e">
        <f t="shared" ref="EU101:EU109" si="146">EG101/EE101</f>
        <v>#DIV/0!</v>
      </c>
      <c r="EV101" s="157">
        <f t="shared" ref="EV101:EV119" si="147">CY101/CS101</f>
        <v>0</v>
      </c>
      <c r="EW101" s="157">
        <f t="shared" ref="EW101:EW119" si="148">CZ101/CS101</f>
        <v>0</v>
      </c>
      <c r="EX101" s="157">
        <f t="shared" ref="EX101:EX119" si="149">DA101/CS101</f>
        <v>0</v>
      </c>
      <c r="EY101" s="152">
        <f t="shared" ref="EY101:EY119" si="150">(DQ101/$E$246-1)^2</f>
        <v>1</v>
      </c>
      <c r="EZ101" s="153">
        <f t="shared" ref="EZ101:EZ119" si="151">(DQ101/$G$246-1)^2</f>
        <v>1</v>
      </c>
      <c r="FA101" s="116" t="e">
        <f t="shared" ref="FA101:FA119" si="152">(DR101/$F$246-1)^2</f>
        <v>#DIV/0!</v>
      </c>
      <c r="FB101" s="116">
        <f t="shared" ref="FB101:FB119" si="153">(DR101/$G$246-1)^2</f>
        <v>1</v>
      </c>
      <c r="FC101" s="154">
        <f t="shared" ref="FC101:FC119" si="154">(DS101/$G$246-1)^2</f>
        <v>1</v>
      </c>
      <c r="FD101" s="153">
        <f t="shared" ref="FD101:FD119" si="155">(DX101/$H$246-1)^2</f>
        <v>1</v>
      </c>
      <c r="FE101" s="116" t="e">
        <f t="shared" ref="FE101:FE119" si="156">(DY101/$I$246-1)^2</f>
        <v>#DIV/0!</v>
      </c>
      <c r="FF101" s="153">
        <f t="shared" ref="FF101:FF119" si="157">(DZ101/$J$246-1)^2</f>
        <v>1</v>
      </c>
      <c r="FG101" s="141" t="e">
        <f t="shared" ref="FG101:FG105" si="158">CY101/CX101</f>
        <v>#DIV/0!</v>
      </c>
      <c r="FH101" s="111">
        <f t="shared" ref="FH101:FH119" si="159">EA101*DF101</f>
        <v>0</v>
      </c>
      <c r="FI101" s="96" t="e">
        <f t="shared" ref="FI101:FI119" si="160">6000*DS101/DZ101</f>
        <v>#DIV/0!</v>
      </c>
      <c r="FJ101" s="96" t="e">
        <f t="shared" ref="FJ101:FJ119" si="161">FI101*DS101</f>
        <v>#DIV/0!</v>
      </c>
      <c r="FK101" s="96">
        <f t="shared" ref="FK101:FK119" si="162">DR101*ED101</f>
        <v>0</v>
      </c>
      <c r="FL101" s="96"/>
      <c r="FM101" s="96" t="e">
        <f t="shared" ref="FM101:FM119" si="163">$G$2*(1-ABS(CQ101))^(1/$G$1)</f>
        <v>#N/A</v>
      </c>
      <c r="FN101" s="96" t="e">
        <f t="shared" ref="FN101:FN119" si="164">SUM(DM101:DN101)*EE101+SUM(DO101:DP101)*EF101+(1-DS101)*FM101</f>
        <v>#N/A</v>
      </c>
      <c r="FO101" s="96" t="e">
        <f t="shared" ref="FO101:FO119" si="165">DS101*FN101</f>
        <v>#N/A</v>
      </c>
      <c r="FP101" s="96" t="e">
        <f t="shared" ref="FP101:FP119" si="166">(EE101*SUM(DM101:DN101)/DS101)+(EF101*SUM(DO101:DP101)/DS101)-FN101</f>
        <v>#DIV/0!</v>
      </c>
      <c r="FQ101" s="96" t="e">
        <f t="shared" ref="FQ101:FQ119" si="167">DS101*FP101</f>
        <v>#DIV/0!</v>
      </c>
      <c r="FR101" s="112" t="e">
        <f t="shared" ref="FR101:FR119" si="168">FQ101/(1-DS101)</f>
        <v>#DIV/0!</v>
      </c>
      <c r="FS101" s="113" t="e">
        <f t="shared" ref="FS101:FS119" si="169">DC101/DB101*100</f>
        <v>#DIV/0!</v>
      </c>
      <c r="FT101" s="13" t="e">
        <f t="shared" ref="FT101:FT119" si="170">DD101/DB101*100</f>
        <v>#DIV/0!</v>
      </c>
      <c r="FU101" s="84" t="e">
        <f t="shared" ref="FU101:FU119" si="171">DE101/DB101*100</f>
        <v>#DIV/0!</v>
      </c>
      <c r="FV101" s="112">
        <f t="shared" ref="FV101:FV109" si="172">FW101</f>
        <v>0</v>
      </c>
      <c r="FW101" s="96"/>
      <c r="FX101" s="96"/>
      <c r="FY101" s="96"/>
      <c r="FZ101" s="96"/>
      <c r="GA101" s="96"/>
      <c r="GB101" s="96">
        <f t="shared" ref="GB101:GB109" si="173">SQRT(2*CONVERT(FZ101, "psi", "Pa") / $J$1)</f>
        <v>0</v>
      </c>
      <c r="GC101" s="96" t="e">
        <f t="shared" ref="GC101:GC120" si="174">IF(FV101=CQ101,SQRT((2*CONVERT(FZ101,"psi","Pa")-DS101*$J$2*EE101^2)/((1-DS101)*$CM$1*$J$1)), NA())</f>
        <v>#N/A</v>
      </c>
      <c r="GD101" s="96" t="e">
        <f t="shared" ref="GD101:GD119" si="175">(1-DS101)*GC101</f>
        <v>#N/A</v>
      </c>
      <c r="GE101" s="112">
        <f t="shared" ref="GE101:GE120" si="176">IF(EE101&gt;0, EE101-GC101, 0)</f>
        <v>0</v>
      </c>
    </row>
    <row r="102" spans="1:187" x14ac:dyDescent="0.25">
      <c r="A102" s="111">
        <f>IF('3'!$AC$7="",B102,NA())</f>
        <v>0.8</v>
      </c>
      <c r="B102" s="111">
        <v>0.8</v>
      </c>
      <c r="C102" s="96">
        <v>30</v>
      </c>
      <c r="D102" s="112">
        <v>50000</v>
      </c>
      <c r="E102" s="96"/>
      <c r="F102" s="96"/>
      <c r="G102" s="96"/>
      <c r="H102" s="96"/>
      <c r="I102" s="96"/>
      <c r="J102" s="96"/>
      <c r="K102" s="96"/>
      <c r="L102" s="111"/>
      <c r="M102" s="96"/>
      <c r="N102" s="96"/>
      <c r="O102" s="96"/>
      <c r="P102" s="112"/>
      <c r="Q102" s="111"/>
      <c r="R102" s="96"/>
      <c r="S102" s="96"/>
      <c r="T102" s="96"/>
      <c r="U102" s="96"/>
      <c r="V102" s="112"/>
      <c r="W102" s="96"/>
      <c r="X102" s="96"/>
      <c r="Y102" s="96"/>
      <c r="Z102" s="96"/>
      <c r="AA102" s="96"/>
      <c r="AB102" s="96"/>
      <c r="AC102" s="96"/>
      <c r="AD102" s="111"/>
      <c r="AJ102" s="84"/>
      <c r="AK102" s="113"/>
      <c r="AN102" s="84"/>
      <c r="AT102" s="113"/>
      <c r="AX102" s="84"/>
      <c r="AY102" s="113"/>
      <c r="BD102" s="84"/>
      <c r="BE102" s="147" t="e">
        <f t="shared" si="115"/>
        <v>#DIV/0!</v>
      </c>
      <c r="BF102" s="157">
        <f t="shared" si="116"/>
        <v>0</v>
      </c>
      <c r="BG102" s="157">
        <f t="shared" si="117"/>
        <v>0</v>
      </c>
      <c r="BH102" s="157">
        <f t="shared" si="118"/>
        <v>0</v>
      </c>
      <c r="BI102" s="152">
        <f t="shared" si="119"/>
        <v>1</v>
      </c>
      <c r="BJ102" s="153">
        <f t="shared" si="120"/>
        <v>1</v>
      </c>
      <c r="BK102" s="116" t="e">
        <f t="shared" si="121"/>
        <v>#DIV/0!</v>
      </c>
      <c r="BL102" s="116">
        <f t="shared" si="122"/>
        <v>1</v>
      </c>
      <c r="BM102" s="154">
        <f t="shared" si="123"/>
        <v>1</v>
      </c>
      <c r="BN102" s="153">
        <f t="shared" si="124"/>
        <v>1</v>
      </c>
      <c r="BO102" s="116" t="e">
        <f t="shared" si="125"/>
        <v>#DIV/0!</v>
      </c>
      <c r="BP102" s="153">
        <f t="shared" si="126"/>
        <v>1</v>
      </c>
      <c r="BQ102" s="141" t="e">
        <f t="shared" si="127"/>
        <v>#DIV/0!</v>
      </c>
      <c r="BR102" s="111">
        <f t="shared" si="128"/>
        <v>0</v>
      </c>
      <c r="BS102" s="96" t="e">
        <f t="shared" si="129"/>
        <v>#DIV/0!</v>
      </c>
      <c r="BT102" s="96" t="e">
        <f t="shared" si="130"/>
        <v>#DIV/0!</v>
      </c>
      <c r="BU102" s="96">
        <f t="shared" si="131"/>
        <v>0</v>
      </c>
      <c r="BV102" s="96"/>
      <c r="BW102" s="96">
        <f t="shared" si="132"/>
        <v>0.76384925376347856</v>
      </c>
      <c r="BX102" s="96">
        <f t="shared" si="133"/>
        <v>0.76384925376347856</v>
      </c>
      <c r="BY102" s="96">
        <f t="shared" si="134"/>
        <v>0</v>
      </c>
      <c r="BZ102" s="96" t="e">
        <f t="shared" si="135"/>
        <v>#DIV/0!</v>
      </c>
      <c r="CA102" s="96" t="e">
        <f t="shared" si="136"/>
        <v>#DIV/0!</v>
      </c>
      <c r="CB102" s="112" t="e">
        <f t="shared" si="137"/>
        <v>#DIV/0!</v>
      </c>
      <c r="CC102" s="113" t="e">
        <f t="shared" si="138"/>
        <v>#DIV/0!</v>
      </c>
      <c r="CD102" s="13" t="e">
        <f t="shared" si="139"/>
        <v>#DIV/0!</v>
      </c>
      <c r="CE102" s="84" t="e">
        <f t="shared" si="140"/>
        <v>#DIV/0!</v>
      </c>
      <c r="CF102" s="112">
        <f t="shared" si="141"/>
        <v>0</v>
      </c>
      <c r="CG102" s="111"/>
      <c r="CH102" s="96"/>
      <c r="CI102" s="96"/>
      <c r="CJ102" s="96"/>
      <c r="CK102" s="96"/>
      <c r="CL102" s="96">
        <f t="shared" si="142"/>
        <v>0</v>
      </c>
      <c r="CM102" s="96" t="e">
        <f t="shared" si="143"/>
        <v>#N/A</v>
      </c>
      <c r="CN102" s="96" t="e">
        <f t="shared" si="144"/>
        <v>#N/A</v>
      </c>
      <c r="CO102" s="112">
        <f t="shared" si="145"/>
        <v>0</v>
      </c>
      <c r="CQ102" s="111" t="e">
        <f>IF('3'!$AC$3="",CR102,NA())</f>
        <v>#N/A</v>
      </c>
      <c r="CR102" s="111">
        <v>0.8</v>
      </c>
      <c r="CS102" s="96">
        <v>30</v>
      </c>
      <c r="CT102" s="112">
        <v>50000</v>
      </c>
      <c r="CU102" s="96"/>
      <c r="CV102" s="96"/>
      <c r="CW102" s="96"/>
      <c r="CX102" s="96"/>
      <c r="CY102" s="96"/>
      <c r="CZ102" s="96"/>
      <c r="DA102" s="96"/>
      <c r="DB102" s="111"/>
      <c r="DC102" s="96"/>
      <c r="DD102" s="96"/>
      <c r="DE102" s="96"/>
      <c r="DF102" s="112"/>
      <c r="DG102" s="111"/>
      <c r="DH102" s="96"/>
      <c r="DI102" s="96"/>
      <c r="DJ102" s="96"/>
      <c r="DK102" s="96"/>
      <c r="DL102" s="112"/>
      <c r="DM102" s="96"/>
      <c r="DN102" s="96"/>
      <c r="DO102" s="96"/>
      <c r="DP102" s="96"/>
      <c r="DQ102" s="96"/>
      <c r="DR102" s="96"/>
      <c r="DS102" s="96"/>
      <c r="DT102" s="111"/>
      <c r="DZ102" s="84"/>
      <c r="EA102" s="113"/>
      <c r="ED102" s="84"/>
      <c r="EJ102" s="113"/>
      <c r="EN102" s="84"/>
      <c r="EO102" s="113"/>
      <c r="ET102" s="84"/>
      <c r="EU102" s="147" t="e">
        <f t="shared" si="146"/>
        <v>#DIV/0!</v>
      </c>
      <c r="EV102" s="157">
        <f t="shared" si="147"/>
        <v>0</v>
      </c>
      <c r="EW102" s="157">
        <f t="shared" si="148"/>
        <v>0</v>
      </c>
      <c r="EX102" s="157">
        <f t="shared" si="149"/>
        <v>0</v>
      </c>
      <c r="EY102" s="152">
        <f t="shared" si="150"/>
        <v>1</v>
      </c>
      <c r="EZ102" s="153">
        <f t="shared" si="151"/>
        <v>1</v>
      </c>
      <c r="FA102" s="116" t="e">
        <f t="shared" si="152"/>
        <v>#DIV/0!</v>
      </c>
      <c r="FB102" s="116">
        <f t="shared" si="153"/>
        <v>1</v>
      </c>
      <c r="FC102" s="154">
        <f t="shared" si="154"/>
        <v>1</v>
      </c>
      <c r="FD102" s="153">
        <f t="shared" si="155"/>
        <v>1</v>
      </c>
      <c r="FE102" s="116" t="e">
        <f t="shared" si="156"/>
        <v>#DIV/0!</v>
      </c>
      <c r="FF102" s="153">
        <f t="shared" si="157"/>
        <v>1</v>
      </c>
      <c r="FG102" s="141" t="e">
        <f t="shared" si="158"/>
        <v>#DIV/0!</v>
      </c>
      <c r="FH102" s="111">
        <f t="shared" si="159"/>
        <v>0</v>
      </c>
      <c r="FI102" s="96" t="e">
        <f t="shared" si="160"/>
        <v>#DIV/0!</v>
      </c>
      <c r="FJ102" s="96" t="e">
        <f t="shared" si="161"/>
        <v>#DIV/0!</v>
      </c>
      <c r="FK102" s="96">
        <f t="shared" si="162"/>
        <v>0</v>
      </c>
      <c r="FL102" s="96"/>
      <c r="FM102" s="96" t="e">
        <f t="shared" si="163"/>
        <v>#N/A</v>
      </c>
      <c r="FN102" s="96" t="e">
        <f t="shared" si="164"/>
        <v>#N/A</v>
      </c>
      <c r="FO102" s="96" t="e">
        <f t="shared" si="165"/>
        <v>#N/A</v>
      </c>
      <c r="FP102" s="96" t="e">
        <f t="shared" si="166"/>
        <v>#DIV/0!</v>
      </c>
      <c r="FQ102" s="96" t="e">
        <f t="shared" si="167"/>
        <v>#DIV/0!</v>
      </c>
      <c r="FR102" s="112" t="e">
        <f t="shared" si="168"/>
        <v>#DIV/0!</v>
      </c>
      <c r="FS102" s="113" t="e">
        <f t="shared" si="169"/>
        <v>#DIV/0!</v>
      </c>
      <c r="FT102" s="13" t="e">
        <f t="shared" si="170"/>
        <v>#DIV/0!</v>
      </c>
      <c r="FU102" s="84" t="e">
        <f t="shared" si="171"/>
        <v>#DIV/0!</v>
      </c>
      <c r="FV102" s="112">
        <f t="shared" si="172"/>
        <v>0</v>
      </c>
      <c r="FW102" s="111"/>
      <c r="FX102" s="96"/>
      <c r="FY102" s="96"/>
      <c r="FZ102" s="96"/>
      <c r="GA102" s="96"/>
      <c r="GB102" s="96">
        <f t="shared" si="173"/>
        <v>0</v>
      </c>
      <c r="GC102" s="96" t="e">
        <f t="shared" si="174"/>
        <v>#N/A</v>
      </c>
      <c r="GD102" s="96" t="e">
        <f t="shared" si="175"/>
        <v>#N/A</v>
      </c>
      <c r="GE102" s="112">
        <f t="shared" si="176"/>
        <v>0</v>
      </c>
    </row>
    <row r="103" spans="1:187" x14ac:dyDescent="0.25">
      <c r="A103" s="111">
        <f>IF('3'!$AC$7="",B103,NA())</f>
        <v>0.7</v>
      </c>
      <c r="B103" s="111">
        <v>0.7</v>
      </c>
      <c r="C103" s="96">
        <v>30</v>
      </c>
      <c r="D103" s="112">
        <v>50000</v>
      </c>
      <c r="E103" s="96"/>
      <c r="F103" s="96"/>
      <c r="G103" s="96"/>
      <c r="H103" s="96"/>
      <c r="I103" s="96"/>
      <c r="J103" s="96"/>
      <c r="K103" s="96"/>
      <c r="L103" s="111"/>
      <c r="M103" s="96"/>
      <c r="N103" s="96"/>
      <c r="O103" s="96"/>
      <c r="P103" s="112"/>
      <c r="Q103" s="111"/>
      <c r="R103" s="96"/>
      <c r="S103" s="96"/>
      <c r="T103" s="96"/>
      <c r="U103" s="96"/>
      <c r="V103" s="112"/>
      <c r="W103" s="96"/>
      <c r="X103" s="96"/>
      <c r="Y103" s="96"/>
      <c r="Z103" s="96"/>
      <c r="AA103" s="96"/>
      <c r="AB103" s="96"/>
      <c r="AC103" s="96"/>
      <c r="AD103" s="111"/>
      <c r="AJ103" s="84"/>
      <c r="AK103" s="113"/>
      <c r="AN103" s="84"/>
      <c r="AT103" s="113"/>
      <c r="AX103" s="84"/>
      <c r="AY103" s="113"/>
      <c r="BD103" s="84"/>
      <c r="BE103" s="147" t="e">
        <f t="shared" si="115"/>
        <v>#DIV/0!</v>
      </c>
      <c r="BF103" s="157">
        <f t="shared" si="116"/>
        <v>0</v>
      </c>
      <c r="BG103" s="157">
        <f t="shared" si="117"/>
        <v>0</v>
      </c>
      <c r="BH103" s="157">
        <f t="shared" si="118"/>
        <v>0</v>
      </c>
      <c r="BI103" s="152">
        <f t="shared" si="119"/>
        <v>1</v>
      </c>
      <c r="BJ103" s="153">
        <f t="shared" si="120"/>
        <v>1</v>
      </c>
      <c r="BK103" s="116" t="e">
        <f t="shared" si="121"/>
        <v>#DIV/0!</v>
      </c>
      <c r="BL103" s="116">
        <f t="shared" si="122"/>
        <v>1</v>
      </c>
      <c r="BM103" s="154">
        <f t="shared" si="123"/>
        <v>1</v>
      </c>
      <c r="BN103" s="153">
        <f t="shared" si="124"/>
        <v>1</v>
      </c>
      <c r="BO103" s="116" t="e">
        <f t="shared" si="125"/>
        <v>#DIV/0!</v>
      </c>
      <c r="BP103" s="153">
        <f t="shared" si="126"/>
        <v>1</v>
      </c>
      <c r="BQ103" s="141" t="e">
        <f t="shared" si="127"/>
        <v>#DIV/0!</v>
      </c>
      <c r="BR103" s="111">
        <f t="shared" si="128"/>
        <v>0</v>
      </c>
      <c r="BS103" s="96" t="e">
        <f t="shared" si="129"/>
        <v>#DIV/0!</v>
      </c>
      <c r="BT103" s="96" t="e">
        <f t="shared" si="130"/>
        <v>#DIV/0!</v>
      </c>
      <c r="BU103" s="96">
        <f t="shared" si="131"/>
        <v>0</v>
      </c>
      <c r="BV103" s="96"/>
      <c r="BW103" s="96">
        <f t="shared" si="132"/>
        <v>0.81634468150249617</v>
      </c>
      <c r="BX103" s="96">
        <f t="shared" si="133"/>
        <v>0.81634468150249617</v>
      </c>
      <c r="BY103" s="96">
        <f t="shared" si="134"/>
        <v>0</v>
      </c>
      <c r="BZ103" s="96" t="e">
        <f t="shared" si="135"/>
        <v>#DIV/0!</v>
      </c>
      <c r="CA103" s="96" t="e">
        <f t="shared" si="136"/>
        <v>#DIV/0!</v>
      </c>
      <c r="CB103" s="112" t="e">
        <f t="shared" si="137"/>
        <v>#DIV/0!</v>
      </c>
      <c r="CC103" s="113" t="e">
        <f t="shared" si="138"/>
        <v>#DIV/0!</v>
      </c>
      <c r="CD103" s="13" t="e">
        <f t="shared" si="139"/>
        <v>#DIV/0!</v>
      </c>
      <c r="CE103" s="84" t="e">
        <f t="shared" si="140"/>
        <v>#DIV/0!</v>
      </c>
      <c r="CF103" s="112">
        <f t="shared" si="141"/>
        <v>0</v>
      </c>
      <c r="CG103" s="111"/>
      <c r="CH103" s="96"/>
      <c r="CI103" s="96"/>
      <c r="CJ103" s="96"/>
      <c r="CK103" s="96"/>
      <c r="CL103" s="96">
        <f t="shared" si="142"/>
        <v>0</v>
      </c>
      <c r="CM103" s="96" t="e">
        <f t="shared" si="143"/>
        <v>#N/A</v>
      </c>
      <c r="CN103" s="96" t="e">
        <f t="shared" si="144"/>
        <v>#N/A</v>
      </c>
      <c r="CO103" s="112">
        <f t="shared" si="145"/>
        <v>0</v>
      </c>
      <c r="CQ103" s="111" t="e">
        <f>IF('3'!$AC$3="",CR103,NA())</f>
        <v>#N/A</v>
      </c>
      <c r="CR103" s="111">
        <v>0.7</v>
      </c>
      <c r="CS103" s="96">
        <v>30</v>
      </c>
      <c r="CT103" s="112">
        <v>50000</v>
      </c>
      <c r="CU103" s="96"/>
      <c r="CV103" s="96"/>
      <c r="CW103" s="96"/>
      <c r="CX103" s="96"/>
      <c r="CY103" s="96"/>
      <c r="CZ103" s="96"/>
      <c r="DA103" s="96"/>
      <c r="DB103" s="111"/>
      <c r="DC103" s="96"/>
      <c r="DD103" s="96"/>
      <c r="DE103" s="96"/>
      <c r="DF103" s="112"/>
      <c r="DG103" s="111"/>
      <c r="DH103" s="96"/>
      <c r="DI103" s="96"/>
      <c r="DJ103" s="96"/>
      <c r="DK103" s="96"/>
      <c r="DL103" s="112"/>
      <c r="DM103" s="96"/>
      <c r="DN103" s="96"/>
      <c r="DO103" s="96"/>
      <c r="DP103" s="96"/>
      <c r="DQ103" s="96"/>
      <c r="DR103" s="96"/>
      <c r="DS103" s="96"/>
      <c r="DT103" s="111"/>
      <c r="DZ103" s="84"/>
      <c r="EA103" s="113"/>
      <c r="ED103" s="84"/>
      <c r="EJ103" s="113"/>
      <c r="EN103" s="84"/>
      <c r="EO103" s="113"/>
      <c r="ET103" s="84"/>
      <c r="EU103" s="147" t="e">
        <f t="shared" si="146"/>
        <v>#DIV/0!</v>
      </c>
      <c r="EV103" s="157">
        <f t="shared" si="147"/>
        <v>0</v>
      </c>
      <c r="EW103" s="157">
        <f t="shared" si="148"/>
        <v>0</v>
      </c>
      <c r="EX103" s="157">
        <f t="shared" si="149"/>
        <v>0</v>
      </c>
      <c r="EY103" s="152">
        <f t="shared" si="150"/>
        <v>1</v>
      </c>
      <c r="EZ103" s="153">
        <f t="shared" si="151"/>
        <v>1</v>
      </c>
      <c r="FA103" s="116" t="e">
        <f t="shared" si="152"/>
        <v>#DIV/0!</v>
      </c>
      <c r="FB103" s="116">
        <f t="shared" si="153"/>
        <v>1</v>
      </c>
      <c r="FC103" s="154">
        <f t="shared" si="154"/>
        <v>1</v>
      </c>
      <c r="FD103" s="153">
        <f t="shared" si="155"/>
        <v>1</v>
      </c>
      <c r="FE103" s="116" t="e">
        <f t="shared" si="156"/>
        <v>#DIV/0!</v>
      </c>
      <c r="FF103" s="153">
        <f t="shared" si="157"/>
        <v>1</v>
      </c>
      <c r="FG103" s="141" t="e">
        <f t="shared" si="158"/>
        <v>#DIV/0!</v>
      </c>
      <c r="FH103" s="111">
        <f t="shared" si="159"/>
        <v>0</v>
      </c>
      <c r="FI103" s="96" t="e">
        <f t="shared" si="160"/>
        <v>#DIV/0!</v>
      </c>
      <c r="FJ103" s="96" t="e">
        <f t="shared" si="161"/>
        <v>#DIV/0!</v>
      </c>
      <c r="FK103" s="96">
        <f t="shared" si="162"/>
        <v>0</v>
      </c>
      <c r="FL103" s="96"/>
      <c r="FM103" s="96" t="e">
        <f t="shared" si="163"/>
        <v>#N/A</v>
      </c>
      <c r="FN103" s="96" t="e">
        <f t="shared" si="164"/>
        <v>#N/A</v>
      </c>
      <c r="FO103" s="96" t="e">
        <f t="shared" si="165"/>
        <v>#N/A</v>
      </c>
      <c r="FP103" s="96" t="e">
        <f t="shared" si="166"/>
        <v>#DIV/0!</v>
      </c>
      <c r="FQ103" s="96" t="e">
        <f t="shared" si="167"/>
        <v>#DIV/0!</v>
      </c>
      <c r="FR103" s="112" t="e">
        <f t="shared" si="168"/>
        <v>#DIV/0!</v>
      </c>
      <c r="FS103" s="113" t="e">
        <f t="shared" si="169"/>
        <v>#DIV/0!</v>
      </c>
      <c r="FT103" s="13" t="e">
        <f t="shared" si="170"/>
        <v>#DIV/0!</v>
      </c>
      <c r="FU103" s="84" t="e">
        <f t="shared" si="171"/>
        <v>#DIV/0!</v>
      </c>
      <c r="FV103" s="112">
        <f t="shared" si="172"/>
        <v>0</v>
      </c>
      <c r="FW103" s="111"/>
      <c r="FX103" s="96"/>
      <c r="FY103" s="96"/>
      <c r="FZ103" s="96"/>
      <c r="GA103" s="96"/>
      <c r="GB103" s="96">
        <f t="shared" si="173"/>
        <v>0</v>
      </c>
      <c r="GC103" s="96" t="e">
        <f t="shared" si="174"/>
        <v>#N/A</v>
      </c>
      <c r="GD103" s="96" t="e">
        <f t="shared" si="175"/>
        <v>#N/A</v>
      </c>
      <c r="GE103" s="112">
        <f t="shared" si="176"/>
        <v>0</v>
      </c>
    </row>
    <row r="104" spans="1:187" x14ac:dyDescent="0.25">
      <c r="A104" s="111">
        <f>IF('3'!$AC$7="",B104,NA())</f>
        <v>0.6</v>
      </c>
      <c r="B104" s="111">
        <v>0.6</v>
      </c>
      <c r="C104" s="96">
        <v>30</v>
      </c>
      <c r="D104" s="112">
        <v>50000</v>
      </c>
      <c r="E104" s="96"/>
      <c r="F104" s="96"/>
      <c r="G104" s="96"/>
      <c r="H104" s="96"/>
      <c r="I104" s="96"/>
      <c r="J104" s="96"/>
      <c r="K104" s="96"/>
      <c r="L104" s="111"/>
      <c r="M104" s="96"/>
      <c r="N104" s="96"/>
      <c r="O104" s="96"/>
      <c r="P104" s="112"/>
      <c r="Q104" s="111"/>
      <c r="R104" s="96"/>
      <c r="S104" s="96"/>
      <c r="T104" s="96"/>
      <c r="U104" s="96"/>
      <c r="V104" s="112"/>
      <c r="W104" s="96"/>
      <c r="X104" s="96"/>
      <c r="Y104" s="96"/>
      <c r="Z104" s="96"/>
      <c r="AA104" s="96"/>
      <c r="AB104" s="96"/>
      <c r="AC104" s="96"/>
      <c r="AD104" s="111"/>
      <c r="AJ104" s="84"/>
      <c r="AK104" s="113"/>
      <c r="AN104" s="84"/>
      <c r="AT104" s="113"/>
      <c r="AX104" s="84"/>
      <c r="AY104" s="113"/>
      <c r="BD104" s="84"/>
      <c r="BE104" s="147" t="e">
        <f t="shared" si="115"/>
        <v>#DIV/0!</v>
      </c>
      <c r="BF104" s="157">
        <f t="shared" si="116"/>
        <v>0</v>
      </c>
      <c r="BG104" s="157">
        <f t="shared" si="117"/>
        <v>0</v>
      </c>
      <c r="BH104" s="157">
        <f t="shared" si="118"/>
        <v>0</v>
      </c>
      <c r="BI104" s="152">
        <f t="shared" si="119"/>
        <v>1</v>
      </c>
      <c r="BJ104" s="153">
        <f t="shared" si="120"/>
        <v>1</v>
      </c>
      <c r="BK104" s="116" t="e">
        <f t="shared" si="121"/>
        <v>#DIV/0!</v>
      </c>
      <c r="BL104" s="116">
        <f t="shared" si="122"/>
        <v>1</v>
      </c>
      <c r="BM104" s="154">
        <f t="shared" si="123"/>
        <v>1</v>
      </c>
      <c r="BN104" s="153">
        <f t="shared" si="124"/>
        <v>1</v>
      </c>
      <c r="BO104" s="116" t="e">
        <f t="shared" si="125"/>
        <v>#DIV/0!</v>
      </c>
      <c r="BP104" s="153">
        <f t="shared" si="126"/>
        <v>1</v>
      </c>
      <c r="BQ104" s="141" t="e">
        <f t="shared" si="127"/>
        <v>#DIV/0!</v>
      </c>
      <c r="BR104" s="111">
        <f t="shared" si="128"/>
        <v>0</v>
      </c>
      <c r="BS104" s="96" t="e">
        <f t="shared" si="129"/>
        <v>#DIV/0!</v>
      </c>
      <c r="BT104" s="96" t="e">
        <f t="shared" si="130"/>
        <v>#DIV/0!</v>
      </c>
      <c r="BU104" s="96">
        <f t="shared" si="131"/>
        <v>0</v>
      </c>
      <c r="BV104" s="96"/>
      <c r="BW104" s="96">
        <f t="shared" si="132"/>
        <v>0.85576447930058497</v>
      </c>
      <c r="BX104" s="96">
        <f t="shared" si="133"/>
        <v>0.85576447930058497</v>
      </c>
      <c r="BY104" s="96">
        <f t="shared" si="134"/>
        <v>0</v>
      </c>
      <c r="BZ104" s="96" t="e">
        <f t="shared" si="135"/>
        <v>#DIV/0!</v>
      </c>
      <c r="CA104" s="96" t="e">
        <f t="shared" si="136"/>
        <v>#DIV/0!</v>
      </c>
      <c r="CB104" s="112" t="e">
        <f t="shared" si="137"/>
        <v>#DIV/0!</v>
      </c>
      <c r="CC104" s="113" t="e">
        <f t="shared" si="138"/>
        <v>#DIV/0!</v>
      </c>
      <c r="CD104" s="13" t="e">
        <f t="shared" si="139"/>
        <v>#DIV/0!</v>
      </c>
      <c r="CE104" s="84" t="e">
        <f t="shared" si="140"/>
        <v>#DIV/0!</v>
      </c>
      <c r="CF104" s="112">
        <f t="shared" si="141"/>
        <v>0</v>
      </c>
      <c r="CG104" s="111"/>
      <c r="CH104" s="96"/>
      <c r="CI104" s="96"/>
      <c r="CJ104" s="96"/>
      <c r="CK104" s="96"/>
      <c r="CL104" s="96">
        <f t="shared" si="142"/>
        <v>0</v>
      </c>
      <c r="CM104" s="96" t="e">
        <f t="shared" si="143"/>
        <v>#N/A</v>
      </c>
      <c r="CN104" s="96" t="e">
        <f t="shared" si="144"/>
        <v>#N/A</v>
      </c>
      <c r="CO104" s="112">
        <f t="shared" si="145"/>
        <v>0</v>
      </c>
      <c r="CQ104" s="111" t="e">
        <f>IF('3'!$AC$3="",CR104,NA())</f>
        <v>#N/A</v>
      </c>
      <c r="CR104" s="111">
        <v>0.6</v>
      </c>
      <c r="CS104" s="96">
        <v>30</v>
      </c>
      <c r="CT104" s="112">
        <v>50000</v>
      </c>
      <c r="CU104" s="96"/>
      <c r="CV104" s="96"/>
      <c r="CW104" s="96"/>
      <c r="CX104" s="96"/>
      <c r="CY104" s="96"/>
      <c r="CZ104" s="96"/>
      <c r="DA104" s="96"/>
      <c r="DB104" s="111"/>
      <c r="DC104" s="96"/>
      <c r="DD104" s="96"/>
      <c r="DE104" s="96"/>
      <c r="DF104" s="112"/>
      <c r="DG104" s="111"/>
      <c r="DH104" s="96"/>
      <c r="DI104" s="96"/>
      <c r="DJ104" s="96"/>
      <c r="DK104" s="96"/>
      <c r="DL104" s="112"/>
      <c r="DM104" s="96"/>
      <c r="DN104" s="96"/>
      <c r="DO104" s="96"/>
      <c r="DP104" s="96"/>
      <c r="DQ104" s="96"/>
      <c r="DR104" s="96"/>
      <c r="DS104" s="96"/>
      <c r="DT104" s="111"/>
      <c r="DZ104" s="84"/>
      <c r="EA104" s="113"/>
      <c r="ED104" s="84"/>
      <c r="EJ104" s="113"/>
      <c r="EN104" s="84"/>
      <c r="EO104" s="113"/>
      <c r="ET104" s="84"/>
      <c r="EU104" s="147" t="e">
        <f t="shared" si="146"/>
        <v>#DIV/0!</v>
      </c>
      <c r="EV104" s="157">
        <f t="shared" si="147"/>
        <v>0</v>
      </c>
      <c r="EW104" s="157">
        <f t="shared" si="148"/>
        <v>0</v>
      </c>
      <c r="EX104" s="157">
        <f t="shared" si="149"/>
        <v>0</v>
      </c>
      <c r="EY104" s="152">
        <f t="shared" si="150"/>
        <v>1</v>
      </c>
      <c r="EZ104" s="153">
        <f t="shared" si="151"/>
        <v>1</v>
      </c>
      <c r="FA104" s="116" t="e">
        <f t="shared" si="152"/>
        <v>#DIV/0!</v>
      </c>
      <c r="FB104" s="116">
        <f t="shared" si="153"/>
        <v>1</v>
      </c>
      <c r="FC104" s="154">
        <f t="shared" si="154"/>
        <v>1</v>
      </c>
      <c r="FD104" s="153">
        <f t="shared" si="155"/>
        <v>1</v>
      </c>
      <c r="FE104" s="116" t="e">
        <f t="shared" si="156"/>
        <v>#DIV/0!</v>
      </c>
      <c r="FF104" s="153">
        <f t="shared" si="157"/>
        <v>1</v>
      </c>
      <c r="FG104" s="141" t="e">
        <f t="shared" si="158"/>
        <v>#DIV/0!</v>
      </c>
      <c r="FH104" s="111">
        <f t="shared" si="159"/>
        <v>0</v>
      </c>
      <c r="FI104" s="96" t="e">
        <f t="shared" si="160"/>
        <v>#DIV/0!</v>
      </c>
      <c r="FJ104" s="96" t="e">
        <f t="shared" si="161"/>
        <v>#DIV/0!</v>
      </c>
      <c r="FK104" s="96">
        <f t="shared" si="162"/>
        <v>0</v>
      </c>
      <c r="FL104" s="96"/>
      <c r="FM104" s="96" t="e">
        <f t="shared" si="163"/>
        <v>#N/A</v>
      </c>
      <c r="FN104" s="96" t="e">
        <f t="shared" si="164"/>
        <v>#N/A</v>
      </c>
      <c r="FO104" s="96" t="e">
        <f t="shared" si="165"/>
        <v>#N/A</v>
      </c>
      <c r="FP104" s="96" t="e">
        <f t="shared" si="166"/>
        <v>#DIV/0!</v>
      </c>
      <c r="FQ104" s="96" t="e">
        <f t="shared" si="167"/>
        <v>#DIV/0!</v>
      </c>
      <c r="FR104" s="112" t="e">
        <f t="shared" si="168"/>
        <v>#DIV/0!</v>
      </c>
      <c r="FS104" s="113" t="e">
        <f t="shared" si="169"/>
        <v>#DIV/0!</v>
      </c>
      <c r="FT104" s="13" t="e">
        <f t="shared" si="170"/>
        <v>#DIV/0!</v>
      </c>
      <c r="FU104" s="84" t="e">
        <f t="shared" si="171"/>
        <v>#DIV/0!</v>
      </c>
      <c r="FV104" s="112">
        <f t="shared" si="172"/>
        <v>0</v>
      </c>
      <c r="FW104" s="111"/>
      <c r="FX104" s="96"/>
      <c r="FY104" s="96"/>
      <c r="FZ104" s="96"/>
      <c r="GA104" s="96"/>
      <c r="GB104" s="96">
        <f t="shared" si="173"/>
        <v>0</v>
      </c>
      <c r="GC104" s="96" t="e">
        <f t="shared" si="174"/>
        <v>#N/A</v>
      </c>
      <c r="GD104" s="96" t="e">
        <f t="shared" si="175"/>
        <v>#N/A</v>
      </c>
      <c r="GE104" s="112">
        <f t="shared" si="176"/>
        <v>0</v>
      </c>
    </row>
    <row r="105" spans="1:187" x14ac:dyDescent="0.25">
      <c r="A105" s="111">
        <f>IF('3'!$AC$7="",B105,NA())</f>
        <v>0.5</v>
      </c>
      <c r="B105" s="111">
        <v>0.5</v>
      </c>
      <c r="C105" s="96">
        <v>30</v>
      </c>
      <c r="D105" s="112">
        <v>50000</v>
      </c>
      <c r="E105" s="96"/>
      <c r="F105" s="96"/>
      <c r="G105" s="96"/>
      <c r="H105" s="96"/>
      <c r="I105" s="96"/>
      <c r="J105" s="96"/>
      <c r="K105" s="96"/>
      <c r="L105" s="111"/>
      <c r="M105" s="96"/>
      <c r="N105" s="96"/>
      <c r="O105" s="96"/>
      <c r="P105" s="112"/>
      <c r="Q105" s="111"/>
      <c r="R105" s="96"/>
      <c r="S105" s="96"/>
      <c r="T105" s="96"/>
      <c r="U105" s="96"/>
      <c r="V105" s="112"/>
      <c r="W105" s="96"/>
      <c r="X105" s="96"/>
      <c r="Y105" s="96"/>
      <c r="Z105" s="96"/>
      <c r="AA105" s="96"/>
      <c r="AB105" s="96"/>
      <c r="AC105" s="96"/>
      <c r="AD105" s="111"/>
      <c r="AJ105" s="84"/>
      <c r="AK105" s="113"/>
      <c r="AN105" s="84"/>
      <c r="AT105" s="113"/>
      <c r="AX105" s="84"/>
      <c r="AY105" s="113"/>
      <c r="BD105" s="84"/>
      <c r="BE105" s="147" t="e">
        <f t="shared" si="115"/>
        <v>#DIV/0!</v>
      </c>
      <c r="BF105" s="157">
        <f t="shared" si="116"/>
        <v>0</v>
      </c>
      <c r="BG105" s="157">
        <f t="shared" si="117"/>
        <v>0</v>
      </c>
      <c r="BH105" s="157">
        <f t="shared" si="118"/>
        <v>0</v>
      </c>
      <c r="BI105" s="152">
        <f t="shared" si="119"/>
        <v>1</v>
      </c>
      <c r="BJ105" s="153">
        <f t="shared" si="120"/>
        <v>1</v>
      </c>
      <c r="BK105" s="116" t="e">
        <f t="shared" si="121"/>
        <v>#DIV/0!</v>
      </c>
      <c r="BL105" s="116">
        <f t="shared" si="122"/>
        <v>1</v>
      </c>
      <c r="BM105" s="154">
        <f t="shared" si="123"/>
        <v>1</v>
      </c>
      <c r="BN105" s="153">
        <f t="shared" si="124"/>
        <v>1</v>
      </c>
      <c r="BO105" s="116" t="e">
        <f t="shared" si="125"/>
        <v>#DIV/0!</v>
      </c>
      <c r="BP105" s="153">
        <f t="shared" si="126"/>
        <v>1</v>
      </c>
      <c r="BQ105" s="141" t="e">
        <f t="shared" si="127"/>
        <v>#DIV/0!</v>
      </c>
      <c r="BR105" s="111">
        <f t="shared" si="128"/>
        <v>0</v>
      </c>
      <c r="BS105" s="96" t="e">
        <f t="shared" si="129"/>
        <v>#DIV/0!</v>
      </c>
      <c r="BT105" s="96" t="e">
        <f t="shared" si="130"/>
        <v>#DIV/0!</v>
      </c>
      <c r="BU105" s="96">
        <f t="shared" si="131"/>
        <v>0</v>
      </c>
      <c r="BV105" s="96"/>
      <c r="BW105" s="96">
        <f t="shared" si="132"/>
        <v>0.88764704592069232</v>
      </c>
      <c r="BX105" s="96">
        <f t="shared" si="133"/>
        <v>0.88764704592069232</v>
      </c>
      <c r="BY105" s="96">
        <f t="shared" si="134"/>
        <v>0</v>
      </c>
      <c r="BZ105" s="96" t="e">
        <f t="shared" si="135"/>
        <v>#DIV/0!</v>
      </c>
      <c r="CA105" s="96" t="e">
        <f t="shared" si="136"/>
        <v>#DIV/0!</v>
      </c>
      <c r="CB105" s="112" t="e">
        <f t="shared" si="137"/>
        <v>#DIV/0!</v>
      </c>
      <c r="CC105" s="113" t="e">
        <f t="shared" si="138"/>
        <v>#DIV/0!</v>
      </c>
      <c r="CD105" s="13" t="e">
        <f t="shared" si="139"/>
        <v>#DIV/0!</v>
      </c>
      <c r="CE105" s="84" t="e">
        <f t="shared" si="140"/>
        <v>#DIV/0!</v>
      </c>
      <c r="CF105" s="112">
        <f t="shared" si="141"/>
        <v>0</v>
      </c>
      <c r="CG105" s="111"/>
      <c r="CH105" s="96"/>
      <c r="CI105" s="96"/>
      <c r="CJ105" s="96"/>
      <c r="CK105" s="96"/>
      <c r="CL105" s="96">
        <f t="shared" si="142"/>
        <v>0</v>
      </c>
      <c r="CM105" s="96" t="e">
        <f t="shared" si="143"/>
        <v>#N/A</v>
      </c>
      <c r="CN105" s="96" t="e">
        <f t="shared" si="144"/>
        <v>#N/A</v>
      </c>
      <c r="CO105" s="112">
        <f t="shared" si="145"/>
        <v>0</v>
      </c>
      <c r="CQ105" s="111" t="e">
        <f>IF('3'!$AC$3="",CR105,NA())</f>
        <v>#N/A</v>
      </c>
      <c r="CR105" s="111">
        <v>0.5</v>
      </c>
      <c r="CS105" s="96">
        <v>30</v>
      </c>
      <c r="CT105" s="112">
        <v>50000</v>
      </c>
      <c r="CU105" s="96"/>
      <c r="CV105" s="96"/>
      <c r="CW105" s="96"/>
      <c r="CX105" s="96"/>
      <c r="CY105" s="96"/>
      <c r="CZ105" s="96"/>
      <c r="DA105" s="96"/>
      <c r="DB105" s="111"/>
      <c r="DC105" s="96"/>
      <c r="DD105" s="96"/>
      <c r="DE105" s="96"/>
      <c r="DF105" s="112"/>
      <c r="DG105" s="111"/>
      <c r="DH105" s="96"/>
      <c r="DI105" s="96"/>
      <c r="DJ105" s="96"/>
      <c r="DK105" s="96"/>
      <c r="DL105" s="112"/>
      <c r="DM105" s="96"/>
      <c r="DN105" s="96"/>
      <c r="DO105" s="96"/>
      <c r="DP105" s="96"/>
      <c r="DQ105" s="96"/>
      <c r="DR105" s="96"/>
      <c r="DS105" s="96"/>
      <c r="DT105" s="111"/>
      <c r="DZ105" s="84"/>
      <c r="EA105" s="113"/>
      <c r="ED105" s="84"/>
      <c r="EJ105" s="113"/>
      <c r="EN105" s="84"/>
      <c r="EO105" s="113"/>
      <c r="ET105" s="84"/>
      <c r="EU105" s="147" t="e">
        <f t="shared" si="146"/>
        <v>#DIV/0!</v>
      </c>
      <c r="EV105" s="157">
        <f t="shared" si="147"/>
        <v>0</v>
      </c>
      <c r="EW105" s="157">
        <f t="shared" si="148"/>
        <v>0</v>
      </c>
      <c r="EX105" s="157">
        <f t="shared" si="149"/>
        <v>0</v>
      </c>
      <c r="EY105" s="152">
        <f t="shared" si="150"/>
        <v>1</v>
      </c>
      <c r="EZ105" s="153">
        <f t="shared" si="151"/>
        <v>1</v>
      </c>
      <c r="FA105" s="116" t="e">
        <f t="shared" si="152"/>
        <v>#DIV/0!</v>
      </c>
      <c r="FB105" s="116">
        <f t="shared" si="153"/>
        <v>1</v>
      </c>
      <c r="FC105" s="154">
        <f t="shared" si="154"/>
        <v>1</v>
      </c>
      <c r="FD105" s="153">
        <f t="shared" si="155"/>
        <v>1</v>
      </c>
      <c r="FE105" s="116" t="e">
        <f t="shared" si="156"/>
        <v>#DIV/0!</v>
      </c>
      <c r="FF105" s="153">
        <f t="shared" si="157"/>
        <v>1</v>
      </c>
      <c r="FG105" s="141" t="e">
        <f t="shared" si="158"/>
        <v>#DIV/0!</v>
      </c>
      <c r="FH105" s="111">
        <f t="shared" si="159"/>
        <v>0</v>
      </c>
      <c r="FI105" s="96" t="e">
        <f t="shared" si="160"/>
        <v>#DIV/0!</v>
      </c>
      <c r="FJ105" s="96" t="e">
        <f t="shared" si="161"/>
        <v>#DIV/0!</v>
      </c>
      <c r="FK105" s="96">
        <f t="shared" si="162"/>
        <v>0</v>
      </c>
      <c r="FL105" s="96"/>
      <c r="FM105" s="96" t="e">
        <f t="shared" si="163"/>
        <v>#N/A</v>
      </c>
      <c r="FN105" s="96" t="e">
        <f t="shared" si="164"/>
        <v>#N/A</v>
      </c>
      <c r="FO105" s="96" t="e">
        <f t="shared" si="165"/>
        <v>#N/A</v>
      </c>
      <c r="FP105" s="96" t="e">
        <f t="shared" si="166"/>
        <v>#DIV/0!</v>
      </c>
      <c r="FQ105" s="96" t="e">
        <f t="shared" si="167"/>
        <v>#DIV/0!</v>
      </c>
      <c r="FR105" s="112" t="e">
        <f t="shared" si="168"/>
        <v>#DIV/0!</v>
      </c>
      <c r="FS105" s="113" t="e">
        <f t="shared" si="169"/>
        <v>#DIV/0!</v>
      </c>
      <c r="FT105" s="13" t="e">
        <f t="shared" si="170"/>
        <v>#DIV/0!</v>
      </c>
      <c r="FU105" s="84" t="e">
        <f t="shared" si="171"/>
        <v>#DIV/0!</v>
      </c>
      <c r="FV105" s="112">
        <f t="shared" si="172"/>
        <v>0</v>
      </c>
      <c r="FW105" s="111"/>
      <c r="FX105" s="96"/>
      <c r="FY105" s="96"/>
      <c r="FZ105" s="96"/>
      <c r="GA105" s="96"/>
      <c r="GB105" s="96">
        <f t="shared" si="173"/>
        <v>0</v>
      </c>
      <c r="GC105" s="96" t="e">
        <f t="shared" si="174"/>
        <v>#N/A</v>
      </c>
      <c r="GD105" s="96" t="e">
        <f t="shared" si="175"/>
        <v>#N/A</v>
      </c>
      <c r="GE105" s="112">
        <f t="shared" si="176"/>
        <v>0</v>
      </c>
    </row>
    <row r="106" spans="1:187" x14ac:dyDescent="0.25">
      <c r="A106" s="111">
        <f>IF('3'!$AC$7="",B106,NA())</f>
        <v>0.4</v>
      </c>
      <c r="B106" s="111">
        <v>0.4</v>
      </c>
      <c r="C106" s="96">
        <v>30</v>
      </c>
      <c r="D106" s="112">
        <v>50000</v>
      </c>
      <c r="E106" s="96"/>
      <c r="F106" s="96"/>
      <c r="G106" s="96"/>
      <c r="H106" s="96"/>
      <c r="I106" s="96"/>
      <c r="J106" s="96"/>
      <c r="K106" s="96"/>
      <c r="L106" s="111"/>
      <c r="M106" s="96"/>
      <c r="N106" s="96"/>
      <c r="O106" s="96"/>
      <c r="P106" s="112"/>
      <c r="Q106" s="111"/>
      <c r="R106" s="96"/>
      <c r="S106" s="96"/>
      <c r="T106" s="96"/>
      <c r="U106" s="96"/>
      <c r="V106" s="112"/>
      <c r="W106" s="96"/>
      <c r="X106" s="96"/>
      <c r="Y106" s="96"/>
      <c r="Z106" s="96"/>
      <c r="AA106" s="96"/>
      <c r="AB106" s="96"/>
      <c r="AC106" s="96"/>
      <c r="AD106" s="111"/>
      <c r="AJ106" s="84"/>
      <c r="AK106" s="113"/>
      <c r="AN106" s="84"/>
      <c r="AT106" s="113"/>
      <c r="AX106" s="84"/>
      <c r="AY106" s="113"/>
      <c r="BD106" s="84"/>
      <c r="BE106" s="147" t="e">
        <f t="shared" si="115"/>
        <v>#DIV/0!</v>
      </c>
      <c r="BF106" s="157">
        <f t="shared" si="116"/>
        <v>0</v>
      </c>
      <c r="BG106" s="157">
        <f t="shared" si="117"/>
        <v>0</v>
      </c>
      <c r="BH106" s="157">
        <f t="shared" si="118"/>
        <v>0</v>
      </c>
      <c r="BI106" s="152">
        <f t="shared" si="119"/>
        <v>1</v>
      </c>
      <c r="BJ106" s="153">
        <f t="shared" si="120"/>
        <v>1</v>
      </c>
      <c r="BK106" s="116" t="e">
        <f t="shared" si="121"/>
        <v>#DIV/0!</v>
      </c>
      <c r="BL106" s="116">
        <f t="shared" si="122"/>
        <v>1</v>
      </c>
      <c r="BM106" s="154">
        <f t="shared" si="123"/>
        <v>1</v>
      </c>
      <c r="BN106" s="153">
        <f t="shared" si="124"/>
        <v>1</v>
      </c>
      <c r="BO106" s="116" t="e">
        <f t="shared" si="125"/>
        <v>#DIV/0!</v>
      </c>
      <c r="BP106" s="153">
        <f t="shared" si="126"/>
        <v>1</v>
      </c>
      <c r="BQ106" s="141"/>
      <c r="BR106" s="111">
        <f t="shared" si="128"/>
        <v>0</v>
      </c>
      <c r="BS106" s="96" t="e">
        <f t="shared" si="129"/>
        <v>#DIV/0!</v>
      </c>
      <c r="BT106" s="96" t="e">
        <f t="shared" si="130"/>
        <v>#DIV/0!</v>
      </c>
      <c r="BU106" s="96">
        <f t="shared" si="131"/>
        <v>0</v>
      </c>
      <c r="BV106" s="96"/>
      <c r="BW106" s="96">
        <f t="shared" si="132"/>
        <v>0.91457676741031746</v>
      </c>
      <c r="BX106" s="96">
        <f t="shared" si="133"/>
        <v>0.91457676741031746</v>
      </c>
      <c r="BY106" s="96">
        <f t="shared" si="134"/>
        <v>0</v>
      </c>
      <c r="BZ106" s="96" t="e">
        <f t="shared" si="135"/>
        <v>#DIV/0!</v>
      </c>
      <c r="CA106" s="96" t="e">
        <f t="shared" si="136"/>
        <v>#DIV/0!</v>
      </c>
      <c r="CB106" s="112" t="e">
        <f t="shared" si="137"/>
        <v>#DIV/0!</v>
      </c>
      <c r="CC106" s="113" t="e">
        <f t="shared" si="138"/>
        <v>#DIV/0!</v>
      </c>
      <c r="CD106" s="13" t="e">
        <f t="shared" si="139"/>
        <v>#DIV/0!</v>
      </c>
      <c r="CE106" s="84" t="e">
        <f t="shared" si="140"/>
        <v>#DIV/0!</v>
      </c>
      <c r="CF106" s="112">
        <f t="shared" si="141"/>
        <v>0</v>
      </c>
      <c r="CG106" s="111"/>
      <c r="CH106" s="96"/>
      <c r="CI106" s="96"/>
      <c r="CJ106" s="96"/>
      <c r="CK106" s="96"/>
      <c r="CL106" s="96">
        <f t="shared" si="142"/>
        <v>0</v>
      </c>
      <c r="CM106" s="96" t="e">
        <f t="shared" si="143"/>
        <v>#N/A</v>
      </c>
      <c r="CN106" s="96" t="e">
        <f t="shared" si="144"/>
        <v>#N/A</v>
      </c>
      <c r="CO106" s="112">
        <f t="shared" si="145"/>
        <v>0</v>
      </c>
      <c r="CQ106" s="111" t="e">
        <f>IF('3'!$AC$3="",CR106,NA())</f>
        <v>#N/A</v>
      </c>
      <c r="CR106" s="111">
        <v>0.4</v>
      </c>
      <c r="CS106" s="96">
        <v>30</v>
      </c>
      <c r="CT106" s="112">
        <v>50000</v>
      </c>
      <c r="CU106" s="96"/>
      <c r="CV106" s="96"/>
      <c r="CW106" s="96"/>
      <c r="CX106" s="96"/>
      <c r="CY106" s="96"/>
      <c r="CZ106" s="96"/>
      <c r="DA106" s="96"/>
      <c r="DB106" s="111"/>
      <c r="DC106" s="96"/>
      <c r="DD106" s="96"/>
      <c r="DE106" s="96"/>
      <c r="DF106" s="112"/>
      <c r="DG106" s="111"/>
      <c r="DH106" s="96"/>
      <c r="DI106" s="96"/>
      <c r="DJ106" s="96"/>
      <c r="DK106" s="96"/>
      <c r="DL106" s="112"/>
      <c r="DM106" s="96"/>
      <c r="DN106" s="96"/>
      <c r="DO106" s="96"/>
      <c r="DP106" s="96"/>
      <c r="DQ106" s="96"/>
      <c r="DR106" s="96"/>
      <c r="DS106" s="96"/>
      <c r="DT106" s="111"/>
      <c r="DZ106" s="84"/>
      <c r="EA106" s="113"/>
      <c r="ED106" s="84"/>
      <c r="EJ106" s="113"/>
      <c r="EN106" s="84"/>
      <c r="EO106" s="113"/>
      <c r="ET106" s="84"/>
      <c r="EU106" s="147" t="e">
        <f t="shared" si="146"/>
        <v>#DIV/0!</v>
      </c>
      <c r="EV106" s="157">
        <f t="shared" si="147"/>
        <v>0</v>
      </c>
      <c r="EW106" s="157">
        <f t="shared" si="148"/>
        <v>0</v>
      </c>
      <c r="EX106" s="157">
        <f t="shared" si="149"/>
        <v>0</v>
      </c>
      <c r="EY106" s="152">
        <f t="shared" si="150"/>
        <v>1</v>
      </c>
      <c r="EZ106" s="153">
        <f t="shared" si="151"/>
        <v>1</v>
      </c>
      <c r="FA106" s="116" t="e">
        <f t="shared" si="152"/>
        <v>#DIV/0!</v>
      </c>
      <c r="FB106" s="116">
        <f t="shared" si="153"/>
        <v>1</v>
      </c>
      <c r="FC106" s="154">
        <f t="shared" si="154"/>
        <v>1</v>
      </c>
      <c r="FD106" s="153">
        <f t="shared" si="155"/>
        <v>1</v>
      </c>
      <c r="FE106" s="116" t="e">
        <f t="shared" si="156"/>
        <v>#DIV/0!</v>
      </c>
      <c r="FF106" s="153">
        <f t="shared" si="157"/>
        <v>1</v>
      </c>
      <c r="FG106" s="141"/>
      <c r="FH106" s="111">
        <f t="shared" si="159"/>
        <v>0</v>
      </c>
      <c r="FI106" s="96" t="e">
        <f t="shared" si="160"/>
        <v>#DIV/0!</v>
      </c>
      <c r="FJ106" s="96" t="e">
        <f t="shared" si="161"/>
        <v>#DIV/0!</v>
      </c>
      <c r="FK106" s="96">
        <f t="shared" si="162"/>
        <v>0</v>
      </c>
      <c r="FL106" s="96"/>
      <c r="FM106" s="96" t="e">
        <f t="shared" si="163"/>
        <v>#N/A</v>
      </c>
      <c r="FN106" s="96" t="e">
        <f t="shared" si="164"/>
        <v>#N/A</v>
      </c>
      <c r="FO106" s="96" t="e">
        <f t="shared" si="165"/>
        <v>#N/A</v>
      </c>
      <c r="FP106" s="96" t="e">
        <f t="shared" si="166"/>
        <v>#DIV/0!</v>
      </c>
      <c r="FQ106" s="96" t="e">
        <f t="shared" si="167"/>
        <v>#DIV/0!</v>
      </c>
      <c r="FR106" s="112" t="e">
        <f t="shared" si="168"/>
        <v>#DIV/0!</v>
      </c>
      <c r="FS106" s="113" t="e">
        <f t="shared" si="169"/>
        <v>#DIV/0!</v>
      </c>
      <c r="FT106" s="13" t="e">
        <f t="shared" si="170"/>
        <v>#DIV/0!</v>
      </c>
      <c r="FU106" s="84" t="e">
        <f t="shared" si="171"/>
        <v>#DIV/0!</v>
      </c>
      <c r="FV106" s="112">
        <f t="shared" si="172"/>
        <v>0</v>
      </c>
      <c r="FW106" s="111"/>
      <c r="FX106" s="96"/>
      <c r="FY106" s="96"/>
      <c r="FZ106" s="96"/>
      <c r="GA106" s="96"/>
      <c r="GB106" s="96">
        <f t="shared" si="173"/>
        <v>0</v>
      </c>
      <c r="GC106" s="96" t="e">
        <f t="shared" si="174"/>
        <v>#N/A</v>
      </c>
      <c r="GD106" s="96" t="e">
        <f t="shared" si="175"/>
        <v>#N/A</v>
      </c>
      <c r="GE106" s="112">
        <f t="shared" si="176"/>
        <v>0</v>
      </c>
    </row>
    <row r="107" spans="1:187" x14ac:dyDescent="0.25">
      <c r="A107" s="111">
        <f>IF('3'!$AC$7="",B107,NA())</f>
        <v>0.3</v>
      </c>
      <c r="B107" s="111">
        <v>0.3</v>
      </c>
      <c r="C107" s="96">
        <v>30</v>
      </c>
      <c r="D107" s="112">
        <v>50000</v>
      </c>
      <c r="E107" s="96"/>
      <c r="F107" s="96"/>
      <c r="G107" s="96"/>
      <c r="H107" s="96"/>
      <c r="I107" s="96"/>
      <c r="J107" s="96"/>
      <c r="K107" s="96"/>
      <c r="L107" s="111"/>
      <c r="M107" s="96"/>
      <c r="N107" s="96"/>
      <c r="O107" s="96"/>
      <c r="P107" s="112"/>
      <c r="Q107" s="111"/>
      <c r="R107" s="96"/>
      <c r="S107" s="96"/>
      <c r="T107" s="96"/>
      <c r="U107" s="96"/>
      <c r="V107" s="112"/>
      <c r="W107" s="96"/>
      <c r="X107" s="96"/>
      <c r="Y107" s="96"/>
      <c r="Z107" s="96"/>
      <c r="AA107" s="96"/>
      <c r="AB107" s="96"/>
      <c r="AC107" s="96"/>
      <c r="AD107" s="111"/>
      <c r="AJ107" s="84"/>
      <c r="AK107" s="113"/>
      <c r="AN107" s="84"/>
      <c r="AT107" s="113"/>
      <c r="AX107" s="84"/>
      <c r="AY107" s="113"/>
      <c r="BD107" s="84"/>
      <c r="BE107" s="147" t="e">
        <f t="shared" si="115"/>
        <v>#DIV/0!</v>
      </c>
      <c r="BF107" s="157">
        <f t="shared" si="116"/>
        <v>0</v>
      </c>
      <c r="BG107" s="157">
        <f t="shared" si="117"/>
        <v>0</v>
      </c>
      <c r="BH107" s="157">
        <f t="shared" si="118"/>
        <v>0</v>
      </c>
      <c r="BI107" s="152">
        <f t="shared" si="119"/>
        <v>1</v>
      </c>
      <c r="BJ107" s="153">
        <f t="shared" si="120"/>
        <v>1</v>
      </c>
      <c r="BK107" s="116" t="e">
        <f t="shared" si="121"/>
        <v>#DIV/0!</v>
      </c>
      <c r="BL107" s="116">
        <f t="shared" si="122"/>
        <v>1</v>
      </c>
      <c r="BM107" s="154">
        <f t="shared" si="123"/>
        <v>1</v>
      </c>
      <c r="BN107" s="153">
        <f t="shared" si="124"/>
        <v>1</v>
      </c>
      <c r="BO107" s="116" t="e">
        <f t="shared" si="125"/>
        <v>#DIV/0!</v>
      </c>
      <c r="BP107" s="153">
        <f t="shared" si="126"/>
        <v>1</v>
      </c>
      <c r="BQ107" s="141"/>
      <c r="BR107" s="111">
        <f t="shared" si="128"/>
        <v>0</v>
      </c>
      <c r="BS107" s="96" t="e">
        <f t="shared" si="129"/>
        <v>#DIV/0!</v>
      </c>
      <c r="BT107" s="96" t="e">
        <f t="shared" si="130"/>
        <v>#DIV/0!</v>
      </c>
      <c r="BU107" s="96">
        <f t="shared" si="131"/>
        <v>0</v>
      </c>
      <c r="BV107" s="96"/>
      <c r="BW107" s="96">
        <f t="shared" si="132"/>
        <v>0.93798193514099792</v>
      </c>
      <c r="BX107" s="96">
        <f t="shared" si="133"/>
        <v>0.93798193514099792</v>
      </c>
      <c r="BY107" s="96">
        <f t="shared" si="134"/>
        <v>0</v>
      </c>
      <c r="BZ107" s="96" t="e">
        <f t="shared" si="135"/>
        <v>#DIV/0!</v>
      </c>
      <c r="CA107" s="96" t="e">
        <f t="shared" si="136"/>
        <v>#DIV/0!</v>
      </c>
      <c r="CB107" s="112" t="e">
        <f t="shared" si="137"/>
        <v>#DIV/0!</v>
      </c>
      <c r="CC107" s="113" t="e">
        <f t="shared" si="138"/>
        <v>#DIV/0!</v>
      </c>
      <c r="CD107" s="13" t="e">
        <f t="shared" si="139"/>
        <v>#DIV/0!</v>
      </c>
      <c r="CE107" s="84" t="e">
        <f t="shared" si="140"/>
        <v>#DIV/0!</v>
      </c>
      <c r="CF107" s="112">
        <f t="shared" si="141"/>
        <v>0</v>
      </c>
      <c r="CG107" s="111"/>
      <c r="CH107" s="96"/>
      <c r="CI107" s="96"/>
      <c r="CJ107" s="96"/>
      <c r="CK107" s="96"/>
      <c r="CL107" s="96">
        <f t="shared" si="142"/>
        <v>0</v>
      </c>
      <c r="CM107" s="96" t="e">
        <f t="shared" si="143"/>
        <v>#N/A</v>
      </c>
      <c r="CN107" s="96" t="e">
        <f t="shared" si="144"/>
        <v>#N/A</v>
      </c>
      <c r="CO107" s="112">
        <f t="shared" si="145"/>
        <v>0</v>
      </c>
      <c r="CQ107" s="111" t="e">
        <f>IF('3'!$AC$3="",CR107,NA())</f>
        <v>#N/A</v>
      </c>
      <c r="CR107" s="111">
        <v>0.3</v>
      </c>
      <c r="CS107" s="96">
        <v>30</v>
      </c>
      <c r="CT107" s="112">
        <v>50000</v>
      </c>
      <c r="CU107" s="96"/>
      <c r="CV107" s="96"/>
      <c r="CW107" s="96"/>
      <c r="CX107" s="96"/>
      <c r="CY107" s="96"/>
      <c r="CZ107" s="96"/>
      <c r="DA107" s="96"/>
      <c r="DB107" s="111"/>
      <c r="DC107" s="96"/>
      <c r="DD107" s="96"/>
      <c r="DE107" s="96"/>
      <c r="DF107" s="112"/>
      <c r="DG107" s="111"/>
      <c r="DH107" s="96"/>
      <c r="DI107" s="96"/>
      <c r="DJ107" s="96"/>
      <c r="DK107" s="96"/>
      <c r="DL107" s="112"/>
      <c r="DM107" s="96"/>
      <c r="DN107" s="96"/>
      <c r="DO107" s="96"/>
      <c r="DP107" s="96"/>
      <c r="DQ107" s="96"/>
      <c r="DR107" s="96"/>
      <c r="DS107" s="96"/>
      <c r="DT107" s="111"/>
      <c r="DZ107" s="84"/>
      <c r="EA107" s="113"/>
      <c r="ED107" s="84"/>
      <c r="EJ107" s="113"/>
      <c r="EN107" s="84"/>
      <c r="EO107" s="113"/>
      <c r="ET107" s="84"/>
      <c r="EU107" s="147" t="e">
        <f t="shared" si="146"/>
        <v>#DIV/0!</v>
      </c>
      <c r="EV107" s="157">
        <f t="shared" si="147"/>
        <v>0</v>
      </c>
      <c r="EW107" s="157">
        <f t="shared" si="148"/>
        <v>0</v>
      </c>
      <c r="EX107" s="157">
        <f t="shared" si="149"/>
        <v>0</v>
      </c>
      <c r="EY107" s="152">
        <f t="shared" si="150"/>
        <v>1</v>
      </c>
      <c r="EZ107" s="153">
        <f t="shared" si="151"/>
        <v>1</v>
      </c>
      <c r="FA107" s="116" t="e">
        <f t="shared" si="152"/>
        <v>#DIV/0!</v>
      </c>
      <c r="FB107" s="116">
        <f t="shared" si="153"/>
        <v>1</v>
      </c>
      <c r="FC107" s="154">
        <f t="shared" si="154"/>
        <v>1</v>
      </c>
      <c r="FD107" s="153">
        <f t="shared" si="155"/>
        <v>1</v>
      </c>
      <c r="FE107" s="116" t="e">
        <f t="shared" si="156"/>
        <v>#DIV/0!</v>
      </c>
      <c r="FF107" s="153">
        <f t="shared" si="157"/>
        <v>1</v>
      </c>
      <c r="FG107" s="141"/>
      <c r="FH107" s="111">
        <f t="shared" si="159"/>
        <v>0</v>
      </c>
      <c r="FI107" s="96" t="e">
        <f t="shared" si="160"/>
        <v>#DIV/0!</v>
      </c>
      <c r="FJ107" s="96" t="e">
        <f t="shared" si="161"/>
        <v>#DIV/0!</v>
      </c>
      <c r="FK107" s="96">
        <f t="shared" si="162"/>
        <v>0</v>
      </c>
      <c r="FL107" s="96"/>
      <c r="FM107" s="96" t="e">
        <f t="shared" si="163"/>
        <v>#N/A</v>
      </c>
      <c r="FN107" s="96" t="e">
        <f t="shared" si="164"/>
        <v>#N/A</v>
      </c>
      <c r="FO107" s="96" t="e">
        <f t="shared" si="165"/>
        <v>#N/A</v>
      </c>
      <c r="FP107" s="96" t="e">
        <f t="shared" si="166"/>
        <v>#DIV/0!</v>
      </c>
      <c r="FQ107" s="96" t="e">
        <f t="shared" si="167"/>
        <v>#DIV/0!</v>
      </c>
      <c r="FR107" s="112" t="e">
        <f t="shared" si="168"/>
        <v>#DIV/0!</v>
      </c>
      <c r="FS107" s="113" t="e">
        <f t="shared" si="169"/>
        <v>#DIV/0!</v>
      </c>
      <c r="FT107" s="13" t="e">
        <f t="shared" si="170"/>
        <v>#DIV/0!</v>
      </c>
      <c r="FU107" s="84" t="e">
        <f t="shared" si="171"/>
        <v>#DIV/0!</v>
      </c>
      <c r="FV107" s="112">
        <f t="shared" si="172"/>
        <v>0</v>
      </c>
      <c r="FW107" s="111"/>
      <c r="FX107" s="96"/>
      <c r="FY107" s="96"/>
      <c r="FZ107" s="96"/>
      <c r="GA107" s="96"/>
      <c r="GB107" s="96">
        <f t="shared" si="173"/>
        <v>0</v>
      </c>
      <c r="GC107" s="96" t="e">
        <f t="shared" si="174"/>
        <v>#N/A</v>
      </c>
      <c r="GD107" s="96" t="e">
        <f t="shared" si="175"/>
        <v>#N/A</v>
      </c>
      <c r="GE107" s="112">
        <f t="shared" si="176"/>
        <v>0</v>
      </c>
    </row>
    <row r="108" spans="1:187" x14ac:dyDescent="0.25">
      <c r="A108" s="111">
        <f>IF('3'!$AC$7="",B108,NA())</f>
        <v>0.2</v>
      </c>
      <c r="B108" s="111">
        <v>0.2</v>
      </c>
      <c r="C108" s="96">
        <v>30</v>
      </c>
      <c r="D108" s="112">
        <v>50000</v>
      </c>
      <c r="E108" s="96"/>
      <c r="F108" s="96"/>
      <c r="G108" s="96"/>
      <c r="H108" s="96"/>
      <c r="I108" s="96"/>
      <c r="J108" s="96"/>
      <c r="K108" s="96"/>
      <c r="L108" s="111"/>
      <c r="M108" s="96"/>
      <c r="N108" s="96"/>
      <c r="O108" s="96"/>
      <c r="P108" s="112"/>
      <c r="Q108" s="111"/>
      <c r="R108" s="96"/>
      <c r="S108" s="96"/>
      <c r="T108" s="96"/>
      <c r="U108" s="96"/>
      <c r="V108" s="112"/>
      <c r="W108" s="96"/>
      <c r="X108" s="96"/>
      <c r="Y108" s="96"/>
      <c r="Z108" s="96"/>
      <c r="AA108" s="96"/>
      <c r="AB108" s="96"/>
      <c r="AC108" s="96"/>
      <c r="AD108" s="111"/>
      <c r="AJ108" s="84"/>
      <c r="AK108" s="113"/>
      <c r="AN108" s="84"/>
      <c r="AT108" s="113"/>
      <c r="AX108" s="84"/>
      <c r="AY108" s="113"/>
      <c r="BD108" s="84"/>
      <c r="BE108" s="147" t="e">
        <f t="shared" si="115"/>
        <v>#DIV/0!</v>
      </c>
      <c r="BF108" s="157">
        <f t="shared" si="116"/>
        <v>0</v>
      </c>
      <c r="BG108" s="157">
        <f t="shared" si="117"/>
        <v>0</v>
      </c>
      <c r="BH108" s="157">
        <f t="shared" si="118"/>
        <v>0</v>
      </c>
      <c r="BI108" s="152">
        <f t="shared" si="119"/>
        <v>1</v>
      </c>
      <c r="BJ108" s="153">
        <f t="shared" si="120"/>
        <v>1</v>
      </c>
      <c r="BK108" s="116" t="e">
        <f t="shared" si="121"/>
        <v>#DIV/0!</v>
      </c>
      <c r="BL108" s="116">
        <f t="shared" si="122"/>
        <v>1</v>
      </c>
      <c r="BM108" s="154">
        <f t="shared" si="123"/>
        <v>1</v>
      </c>
      <c r="BN108" s="153">
        <f t="shared" si="124"/>
        <v>1</v>
      </c>
      <c r="BO108" s="116" t="e">
        <f t="shared" si="125"/>
        <v>#DIV/0!</v>
      </c>
      <c r="BP108" s="153">
        <f t="shared" si="126"/>
        <v>1</v>
      </c>
      <c r="BQ108" s="141"/>
      <c r="BR108" s="111">
        <f t="shared" si="128"/>
        <v>0</v>
      </c>
      <c r="BS108" s="96" t="e">
        <f t="shared" si="129"/>
        <v>#DIV/0!</v>
      </c>
      <c r="BT108" s="96" t="e">
        <f t="shared" si="130"/>
        <v>#DIV/0!</v>
      </c>
      <c r="BU108" s="96">
        <f t="shared" si="131"/>
        <v>0</v>
      </c>
      <c r="BV108" s="96"/>
      <c r="BW108" s="96">
        <f t="shared" si="132"/>
        <v>0.95874001371920414</v>
      </c>
      <c r="BX108" s="96">
        <f t="shared" si="133"/>
        <v>0.95874001371920414</v>
      </c>
      <c r="BY108" s="96">
        <f t="shared" si="134"/>
        <v>0</v>
      </c>
      <c r="BZ108" s="96" t="e">
        <f t="shared" si="135"/>
        <v>#DIV/0!</v>
      </c>
      <c r="CA108" s="96" t="e">
        <f t="shared" si="136"/>
        <v>#DIV/0!</v>
      </c>
      <c r="CB108" s="112" t="e">
        <f t="shared" si="137"/>
        <v>#DIV/0!</v>
      </c>
      <c r="CC108" s="113" t="e">
        <f t="shared" si="138"/>
        <v>#DIV/0!</v>
      </c>
      <c r="CD108" s="13" t="e">
        <f t="shared" si="139"/>
        <v>#DIV/0!</v>
      </c>
      <c r="CE108" s="84" t="e">
        <f t="shared" si="140"/>
        <v>#DIV/0!</v>
      </c>
      <c r="CF108" s="112">
        <f t="shared" si="141"/>
        <v>0</v>
      </c>
      <c r="CG108" s="111"/>
      <c r="CH108" s="96"/>
      <c r="CI108" s="96"/>
      <c r="CJ108" s="96"/>
      <c r="CK108" s="96"/>
      <c r="CL108" s="96">
        <f t="shared" si="142"/>
        <v>0</v>
      </c>
      <c r="CM108" s="96" t="e">
        <f t="shared" si="143"/>
        <v>#N/A</v>
      </c>
      <c r="CN108" s="96" t="e">
        <f t="shared" si="144"/>
        <v>#N/A</v>
      </c>
      <c r="CO108" s="112">
        <f t="shared" si="145"/>
        <v>0</v>
      </c>
      <c r="CQ108" s="111" t="e">
        <f>IF('3'!$AC$3="",CR108,NA())</f>
        <v>#N/A</v>
      </c>
      <c r="CR108" s="111">
        <v>0.2</v>
      </c>
      <c r="CS108" s="96">
        <v>30</v>
      </c>
      <c r="CT108" s="112">
        <v>50000</v>
      </c>
      <c r="CU108" s="96"/>
      <c r="CV108" s="96"/>
      <c r="CW108" s="96"/>
      <c r="CX108" s="96"/>
      <c r="CY108" s="96"/>
      <c r="CZ108" s="96"/>
      <c r="DA108" s="96"/>
      <c r="DB108" s="111"/>
      <c r="DC108" s="96"/>
      <c r="DD108" s="96"/>
      <c r="DE108" s="96"/>
      <c r="DF108" s="112"/>
      <c r="DG108" s="111"/>
      <c r="DH108" s="96"/>
      <c r="DI108" s="96"/>
      <c r="DJ108" s="96"/>
      <c r="DK108" s="96"/>
      <c r="DL108" s="112"/>
      <c r="DM108" s="96"/>
      <c r="DN108" s="96"/>
      <c r="DO108" s="96"/>
      <c r="DP108" s="96"/>
      <c r="DQ108" s="96"/>
      <c r="DR108" s="96"/>
      <c r="DS108" s="96"/>
      <c r="DT108" s="111"/>
      <c r="DZ108" s="84"/>
      <c r="EA108" s="113"/>
      <c r="ED108" s="84"/>
      <c r="EJ108" s="113"/>
      <c r="EN108" s="84"/>
      <c r="EO108" s="113"/>
      <c r="ET108" s="84"/>
      <c r="EU108" s="147" t="e">
        <f t="shared" si="146"/>
        <v>#DIV/0!</v>
      </c>
      <c r="EV108" s="157">
        <f t="shared" si="147"/>
        <v>0</v>
      </c>
      <c r="EW108" s="157">
        <f t="shared" si="148"/>
        <v>0</v>
      </c>
      <c r="EX108" s="157">
        <f t="shared" si="149"/>
        <v>0</v>
      </c>
      <c r="EY108" s="152">
        <f t="shared" si="150"/>
        <v>1</v>
      </c>
      <c r="EZ108" s="153">
        <f t="shared" si="151"/>
        <v>1</v>
      </c>
      <c r="FA108" s="116" t="e">
        <f t="shared" si="152"/>
        <v>#DIV/0!</v>
      </c>
      <c r="FB108" s="116">
        <f t="shared" si="153"/>
        <v>1</v>
      </c>
      <c r="FC108" s="154">
        <f t="shared" si="154"/>
        <v>1</v>
      </c>
      <c r="FD108" s="153">
        <f t="shared" si="155"/>
        <v>1</v>
      </c>
      <c r="FE108" s="116" t="e">
        <f t="shared" si="156"/>
        <v>#DIV/0!</v>
      </c>
      <c r="FF108" s="153">
        <f t="shared" si="157"/>
        <v>1</v>
      </c>
      <c r="FG108" s="141"/>
      <c r="FH108" s="111">
        <f t="shared" si="159"/>
        <v>0</v>
      </c>
      <c r="FI108" s="96" t="e">
        <f t="shared" si="160"/>
        <v>#DIV/0!</v>
      </c>
      <c r="FJ108" s="96" t="e">
        <f t="shared" si="161"/>
        <v>#DIV/0!</v>
      </c>
      <c r="FK108" s="96">
        <f t="shared" si="162"/>
        <v>0</v>
      </c>
      <c r="FL108" s="96"/>
      <c r="FM108" s="96" t="e">
        <f t="shared" si="163"/>
        <v>#N/A</v>
      </c>
      <c r="FN108" s="96" t="e">
        <f t="shared" si="164"/>
        <v>#N/A</v>
      </c>
      <c r="FO108" s="96" t="e">
        <f t="shared" si="165"/>
        <v>#N/A</v>
      </c>
      <c r="FP108" s="96" t="e">
        <f t="shared" si="166"/>
        <v>#DIV/0!</v>
      </c>
      <c r="FQ108" s="96" t="e">
        <f t="shared" si="167"/>
        <v>#DIV/0!</v>
      </c>
      <c r="FR108" s="112" t="e">
        <f t="shared" si="168"/>
        <v>#DIV/0!</v>
      </c>
      <c r="FS108" s="113" t="e">
        <f t="shared" si="169"/>
        <v>#DIV/0!</v>
      </c>
      <c r="FT108" s="13" t="e">
        <f t="shared" si="170"/>
        <v>#DIV/0!</v>
      </c>
      <c r="FU108" s="84" t="e">
        <f t="shared" si="171"/>
        <v>#DIV/0!</v>
      </c>
      <c r="FV108" s="112">
        <f t="shared" si="172"/>
        <v>0</v>
      </c>
      <c r="FW108" s="111"/>
      <c r="FX108" s="96"/>
      <c r="FY108" s="96"/>
      <c r="FZ108" s="96"/>
      <c r="GA108" s="96"/>
      <c r="GB108" s="96">
        <f t="shared" si="173"/>
        <v>0</v>
      </c>
      <c r="GC108" s="96" t="e">
        <f t="shared" si="174"/>
        <v>#N/A</v>
      </c>
      <c r="GD108" s="96" t="e">
        <f t="shared" si="175"/>
        <v>#N/A</v>
      </c>
      <c r="GE108" s="112">
        <f t="shared" si="176"/>
        <v>0</v>
      </c>
    </row>
    <row r="109" spans="1:187" ht="15.75" thickBot="1" x14ac:dyDescent="0.3">
      <c r="A109" s="111">
        <f>IF('3'!$AC$7="",B109,NA())</f>
        <v>0.1</v>
      </c>
      <c r="B109" s="111">
        <v>0.1</v>
      </c>
      <c r="C109" s="96">
        <v>30</v>
      </c>
      <c r="D109" s="112">
        <v>50000</v>
      </c>
      <c r="E109" s="96"/>
      <c r="F109" s="96"/>
      <c r="G109" s="96"/>
      <c r="H109" s="96"/>
      <c r="I109" s="96"/>
      <c r="J109" s="96"/>
      <c r="K109" s="96"/>
      <c r="L109" s="111"/>
      <c r="M109" s="96"/>
      <c r="N109" s="96"/>
      <c r="O109" s="96"/>
      <c r="P109" s="112"/>
      <c r="Q109" s="111"/>
      <c r="R109" s="96"/>
      <c r="S109" s="96"/>
      <c r="T109" s="96"/>
      <c r="U109" s="96"/>
      <c r="V109" s="112"/>
      <c r="W109" s="96"/>
      <c r="X109" s="96"/>
      <c r="Y109" s="96"/>
      <c r="Z109" s="96"/>
      <c r="AA109" s="96"/>
      <c r="AB109" s="96"/>
      <c r="AC109" s="96"/>
      <c r="AD109" s="111"/>
      <c r="AJ109" s="84"/>
      <c r="AK109" s="113"/>
      <c r="AN109" s="84"/>
      <c r="AT109" s="113"/>
      <c r="AX109" s="84"/>
      <c r="AY109" s="113"/>
      <c r="BD109" s="84"/>
      <c r="BE109" s="147" t="e">
        <f t="shared" ref="BE109" si="177">AQ109/AO109</f>
        <v>#DIV/0!</v>
      </c>
      <c r="BF109" s="157">
        <f t="shared" ref="BF109:BF119" si="178">I109/C109</f>
        <v>0</v>
      </c>
      <c r="BG109" s="157">
        <f t="shared" ref="BG109:BG119" si="179">J109/C109</f>
        <v>0</v>
      </c>
      <c r="BH109" s="157">
        <f t="shared" ref="BH109:BH119" si="180">K109/C109</f>
        <v>0</v>
      </c>
      <c r="BI109" s="152">
        <f t="shared" si="119"/>
        <v>1</v>
      </c>
      <c r="BJ109" s="153">
        <f t="shared" si="120"/>
        <v>1</v>
      </c>
      <c r="BK109" s="116" t="e">
        <f t="shared" si="121"/>
        <v>#DIV/0!</v>
      </c>
      <c r="BL109" s="116">
        <f t="shared" si="122"/>
        <v>1</v>
      </c>
      <c r="BM109" s="154">
        <f t="shared" si="123"/>
        <v>1</v>
      </c>
      <c r="BN109" s="153">
        <f t="shared" si="124"/>
        <v>1</v>
      </c>
      <c r="BO109" s="116" t="e">
        <f t="shared" si="125"/>
        <v>#DIV/0!</v>
      </c>
      <c r="BP109" s="153">
        <f t="shared" si="126"/>
        <v>1</v>
      </c>
      <c r="BQ109" s="141"/>
      <c r="BR109" s="111">
        <f t="shared" ref="BR109:BR119" si="181">AK109*P109</f>
        <v>0</v>
      </c>
      <c r="BS109" s="96" t="e">
        <f t="shared" ref="BS109:BS119" si="182">6000*AC109/AJ109</f>
        <v>#DIV/0!</v>
      </c>
      <c r="BT109" s="96" t="e">
        <f t="shared" ref="BT109:BT119" si="183">BS109*AC109</f>
        <v>#DIV/0!</v>
      </c>
      <c r="BU109" s="96">
        <f t="shared" ref="BU109:BU119" si="184">AB109*AN109</f>
        <v>0</v>
      </c>
      <c r="BV109" s="96"/>
      <c r="BW109" s="96">
        <f t="shared" si="132"/>
        <v>0.97743092137960175</v>
      </c>
      <c r="BX109" s="96">
        <f t="shared" ref="BX109:BX119" si="185">SUM(W109:X109)*AO109+SUM(Y109:Z109)*AP109+(1-AC109)*BW109</f>
        <v>0.97743092137960175</v>
      </c>
      <c r="BY109" s="96">
        <f t="shared" ref="BY109:BY119" si="186">AC109*BX109</f>
        <v>0</v>
      </c>
      <c r="BZ109" s="96" t="e">
        <f t="shared" ref="BZ109:BZ119" si="187">(AO109*SUM(W109:X109)/AC109)+(AP109*SUM(Y109:Z109)/AC109)-BX109</f>
        <v>#DIV/0!</v>
      </c>
      <c r="CA109" s="96" t="e">
        <f t="shared" ref="CA109:CA119" si="188">AC109*BZ109</f>
        <v>#DIV/0!</v>
      </c>
      <c r="CB109" s="112" t="e">
        <f t="shared" ref="CB109:CB119" si="189">CA109/(1-AC109)</f>
        <v>#DIV/0!</v>
      </c>
      <c r="CC109" s="113" t="e">
        <f t="shared" ref="CC109:CC119" si="190">M109/L109*100</f>
        <v>#DIV/0!</v>
      </c>
      <c r="CD109" s="13" t="e">
        <f t="shared" ref="CD109:CD119" si="191">N109/L109*100</f>
        <v>#DIV/0!</v>
      </c>
      <c r="CE109" s="84" t="e">
        <f t="shared" ref="CE109:CE119" si="192">O109/L109*100</f>
        <v>#DIV/0!</v>
      </c>
      <c r="CF109" s="115">
        <f t="shared" si="141"/>
        <v>0</v>
      </c>
      <c r="CG109" s="111"/>
      <c r="CH109" s="96"/>
      <c r="CI109" s="96"/>
      <c r="CJ109" s="96"/>
      <c r="CK109" s="96"/>
      <c r="CL109" s="96">
        <f t="shared" si="142"/>
        <v>0</v>
      </c>
      <c r="CM109" s="96" t="e">
        <f t="shared" si="143"/>
        <v>#N/A</v>
      </c>
      <c r="CN109" s="96" t="e">
        <f t="shared" si="144"/>
        <v>#N/A</v>
      </c>
      <c r="CO109" s="112">
        <f t="shared" si="145"/>
        <v>0</v>
      </c>
      <c r="CQ109" s="111" t="e">
        <f>IF('3'!$AC$3="",CR109,NA())</f>
        <v>#N/A</v>
      </c>
      <c r="CR109" s="111">
        <v>0.1</v>
      </c>
      <c r="CS109" s="96">
        <v>30</v>
      </c>
      <c r="CT109" s="112">
        <v>50000</v>
      </c>
      <c r="CU109" s="96"/>
      <c r="CV109" s="96"/>
      <c r="CW109" s="96"/>
      <c r="CX109" s="96"/>
      <c r="CY109" s="96"/>
      <c r="CZ109" s="96"/>
      <c r="DA109" s="96"/>
      <c r="DB109" s="111"/>
      <c r="DC109" s="96"/>
      <c r="DD109" s="96"/>
      <c r="DE109" s="96"/>
      <c r="DF109" s="112"/>
      <c r="DG109" s="111"/>
      <c r="DH109" s="96"/>
      <c r="DI109" s="96"/>
      <c r="DJ109" s="96"/>
      <c r="DK109" s="96"/>
      <c r="DL109" s="112"/>
      <c r="DM109" s="96"/>
      <c r="DN109" s="96"/>
      <c r="DO109" s="96"/>
      <c r="DP109" s="96"/>
      <c r="DQ109" s="96"/>
      <c r="DR109" s="96"/>
      <c r="DS109" s="96"/>
      <c r="DT109" s="111"/>
      <c r="DZ109" s="84"/>
      <c r="EA109" s="113"/>
      <c r="ED109" s="84"/>
      <c r="EJ109" s="113"/>
      <c r="EN109" s="84"/>
      <c r="EO109" s="113"/>
      <c r="ET109" s="84"/>
      <c r="EU109" s="147" t="e">
        <f t="shared" si="146"/>
        <v>#DIV/0!</v>
      </c>
      <c r="EV109" s="157">
        <f t="shared" si="147"/>
        <v>0</v>
      </c>
      <c r="EW109" s="157">
        <f t="shared" si="148"/>
        <v>0</v>
      </c>
      <c r="EX109" s="157">
        <f t="shared" si="149"/>
        <v>0</v>
      </c>
      <c r="EY109" s="152">
        <f t="shared" si="150"/>
        <v>1</v>
      </c>
      <c r="EZ109" s="153">
        <f t="shared" si="151"/>
        <v>1</v>
      </c>
      <c r="FA109" s="116" t="e">
        <f t="shared" si="152"/>
        <v>#DIV/0!</v>
      </c>
      <c r="FB109" s="116">
        <f t="shared" si="153"/>
        <v>1</v>
      </c>
      <c r="FC109" s="154">
        <f t="shared" si="154"/>
        <v>1</v>
      </c>
      <c r="FD109" s="153">
        <f t="shared" si="155"/>
        <v>1</v>
      </c>
      <c r="FE109" s="116" t="e">
        <f t="shared" si="156"/>
        <v>#DIV/0!</v>
      </c>
      <c r="FF109" s="153">
        <f t="shared" si="157"/>
        <v>1</v>
      </c>
      <c r="FG109" s="141"/>
      <c r="FH109" s="111">
        <f t="shared" si="159"/>
        <v>0</v>
      </c>
      <c r="FI109" s="96" t="e">
        <f t="shared" si="160"/>
        <v>#DIV/0!</v>
      </c>
      <c r="FJ109" s="96" t="e">
        <f t="shared" si="161"/>
        <v>#DIV/0!</v>
      </c>
      <c r="FK109" s="96">
        <f t="shared" si="162"/>
        <v>0</v>
      </c>
      <c r="FL109" s="96"/>
      <c r="FM109" s="96" t="e">
        <f t="shared" si="163"/>
        <v>#N/A</v>
      </c>
      <c r="FN109" s="96" t="e">
        <f t="shared" si="164"/>
        <v>#N/A</v>
      </c>
      <c r="FO109" s="96" t="e">
        <f t="shared" si="165"/>
        <v>#N/A</v>
      </c>
      <c r="FP109" s="96" t="e">
        <f t="shared" si="166"/>
        <v>#DIV/0!</v>
      </c>
      <c r="FQ109" s="96" t="e">
        <f t="shared" si="167"/>
        <v>#DIV/0!</v>
      </c>
      <c r="FR109" s="112" t="e">
        <f t="shared" si="168"/>
        <v>#DIV/0!</v>
      </c>
      <c r="FS109" s="113" t="e">
        <f t="shared" si="169"/>
        <v>#DIV/0!</v>
      </c>
      <c r="FT109" s="13" t="e">
        <f t="shared" si="170"/>
        <v>#DIV/0!</v>
      </c>
      <c r="FU109" s="84" t="e">
        <f t="shared" si="171"/>
        <v>#DIV/0!</v>
      </c>
      <c r="FV109" s="115">
        <f t="shared" si="172"/>
        <v>0</v>
      </c>
      <c r="FW109" s="111"/>
      <c r="FX109" s="96"/>
      <c r="FY109" s="96"/>
      <c r="FZ109" s="96"/>
      <c r="GA109" s="96"/>
      <c r="GB109" s="96">
        <f t="shared" si="173"/>
        <v>0</v>
      </c>
      <c r="GC109" s="96" t="e">
        <f t="shared" si="174"/>
        <v>#N/A</v>
      </c>
      <c r="GD109" s="96" t="e">
        <f t="shared" si="175"/>
        <v>#N/A</v>
      </c>
      <c r="GE109" s="112">
        <f t="shared" si="176"/>
        <v>0</v>
      </c>
    </row>
    <row r="110" spans="1:187" ht="15.75" thickBot="1" x14ac:dyDescent="0.3">
      <c r="A110" s="111">
        <f>IF('3'!$AC$7="",B110,NA())</f>
        <v>0</v>
      </c>
      <c r="B110" s="117">
        <v>0</v>
      </c>
      <c r="C110" s="118">
        <v>30</v>
      </c>
      <c r="D110" s="144">
        <v>50000</v>
      </c>
      <c r="E110" s="118"/>
      <c r="F110" s="118"/>
      <c r="G110" s="118"/>
      <c r="H110" s="118"/>
      <c r="I110" s="118"/>
      <c r="J110" s="118"/>
      <c r="K110" s="118"/>
      <c r="L110" s="117"/>
      <c r="M110" s="118"/>
      <c r="N110" s="118"/>
      <c r="O110" s="118"/>
      <c r="P110" s="144"/>
      <c r="Q110" s="117"/>
      <c r="R110" s="118"/>
      <c r="S110" s="118"/>
      <c r="T110" s="118"/>
      <c r="U110" s="118"/>
      <c r="V110" s="144"/>
      <c r="W110" s="118"/>
      <c r="X110" s="118"/>
      <c r="Y110" s="118"/>
      <c r="Z110" s="118"/>
      <c r="AA110" s="118"/>
      <c r="AB110" s="118"/>
      <c r="AC110" s="118"/>
      <c r="AD110" s="117"/>
      <c r="AE110" s="145"/>
      <c r="AF110" s="145"/>
      <c r="AG110" s="145"/>
      <c r="AH110" s="145"/>
      <c r="AI110" s="145"/>
      <c r="AJ110" s="144"/>
      <c r="AK110" s="117"/>
      <c r="AL110" s="118"/>
      <c r="AM110" s="118"/>
      <c r="AN110" s="144"/>
      <c r="AO110" s="118"/>
      <c r="AP110" s="118"/>
      <c r="AQ110" s="118"/>
      <c r="AR110" s="118"/>
      <c r="AS110" s="118"/>
      <c r="AT110" s="117"/>
      <c r="AU110" s="145"/>
      <c r="AV110" s="145"/>
      <c r="AW110" s="145"/>
      <c r="AX110" s="146"/>
      <c r="AY110" s="88"/>
      <c r="AZ110" s="89"/>
      <c r="BA110" s="89"/>
      <c r="BB110" s="89"/>
      <c r="BC110" s="89"/>
      <c r="BD110" s="90"/>
      <c r="BE110" s="89"/>
      <c r="BF110" s="158">
        <f t="shared" si="178"/>
        <v>0</v>
      </c>
      <c r="BG110" s="159">
        <f t="shared" si="179"/>
        <v>0</v>
      </c>
      <c r="BH110" s="160">
        <f t="shared" si="180"/>
        <v>0</v>
      </c>
      <c r="BI110" s="117">
        <f t="shared" si="119"/>
        <v>1</v>
      </c>
      <c r="BJ110" s="118">
        <f t="shared" si="120"/>
        <v>1</v>
      </c>
      <c r="BK110" s="131" t="e">
        <f t="shared" si="121"/>
        <v>#DIV/0!</v>
      </c>
      <c r="BL110" s="131">
        <f t="shared" si="122"/>
        <v>1</v>
      </c>
      <c r="BM110" s="155">
        <f t="shared" si="123"/>
        <v>1</v>
      </c>
      <c r="BN110" s="118">
        <f t="shared" si="124"/>
        <v>1</v>
      </c>
      <c r="BO110" s="131" t="e">
        <f t="shared" si="125"/>
        <v>#DIV/0!</v>
      </c>
      <c r="BP110" s="156">
        <f t="shared" si="126"/>
        <v>1</v>
      </c>
      <c r="BQ110" s="143" t="e">
        <f t="shared" ref="BQ110" si="193">I110/H110</f>
        <v>#DIV/0!</v>
      </c>
      <c r="BR110" s="36">
        <f t="shared" si="181"/>
        <v>0</v>
      </c>
      <c r="BS110" s="37" t="e">
        <f t="shared" si="182"/>
        <v>#DIV/0!</v>
      </c>
      <c r="BT110" s="37" t="e">
        <f t="shared" si="183"/>
        <v>#DIV/0!</v>
      </c>
      <c r="BU110" s="37">
        <f t="shared" si="184"/>
        <v>0</v>
      </c>
      <c r="BV110" s="37"/>
      <c r="BW110" s="37">
        <f t="shared" si="132"/>
        <v>0.9944590615391693</v>
      </c>
      <c r="BX110" s="37">
        <f t="shared" si="185"/>
        <v>0.9944590615391693</v>
      </c>
      <c r="BY110" s="37">
        <f t="shared" si="186"/>
        <v>0</v>
      </c>
      <c r="BZ110" s="37" t="e">
        <f t="shared" si="187"/>
        <v>#DIV/0!</v>
      </c>
      <c r="CA110" s="37" t="e">
        <f t="shared" si="188"/>
        <v>#DIV/0!</v>
      </c>
      <c r="CB110" s="35" t="e">
        <f t="shared" si="189"/>
        <v>#DIV/0!</v>
      </c>
      <c r="CC110" s="88" t="e">
        <f t="shared" si="190"/>
        <v>#DIV/0!</v>
      </c>
      <c r="CD110" s="89" t="e">
        <f t="shared" si="191"/>
        <v>#DIV/0!</v>
      </c>
      <c r="CE110" s="90" t="e">
        <f t="shared" si="192"/>
        <v>#DIV/0!</v>
      </c>
      <c r="CF110" s="118">
        <f>CG110</f>
        <v>0</v>
      </c>
      <c r="CG110" s="117"/>
      <c r="CH110" s="118"/>
      <c r="CI110" s="118"/>
      <c r="CJ110" s="118"/>
      <c r="CK110" s="118"/>
      <c r="CL110" s="118">
        <f>SQRT(2*CONVERT(CJ110, "psi", "Pa") / $J$1)</f>
        <v>0</v>
      </c>
      <c r="CM110" s="118">
        <f t="shared" si="143"/>
        <v>0</v>
      </c>
      <c r="CN110" s="118">
        <f t="shared" si="144"/>
        <v>0</v>
      </c>
      <c r="CO110" s="118">
        <f t="shared" si="145"/>
        <v>0</v>
      </c>
      <c r="CQ110" s="111" t="e">
        <f>IF('3'!$AC$3="",CR110,NA())</f>
        <v>#N/A</v>
      </c>
      <c r="CR110" s="117">
        <v>0</v>
      </c>
      <c r="CS110" s="118">
        <v>30</v>
      </c>
      <c r="CT110" s="144">
        <v>50000</v>
      </c>
      <c r="CU110" s="118"/>
      <c r="CV110" s="118"/>
      <c r="CW110" s="118"/>
      <c r="CX110" s="118"/>
      <c r="CY110" s="118"/>
      <c r="CZ110" s="118"/>
      <c r="DA110" s="118"/>
      <c r="DB110" s="117"/>
      <c r="DC110" s="118"/>
      <c r="DD110" s="118"/>
      <c r="DE110" s="118"/>
      <c r="DF110" s="144"/>
      <c r="DG110" s="117"/>
      <c r="DH110" s="118"/>
      <c r="DI110" s="118"/>
      <c r="DJ110" s="118"/>
      <c r="DK110" s="118"/>
      <c r="DL110" s="144"/>
      <c r="DM110" s="118"/>
      <c r="DN110" s="118"/>
      <c r="DO110" s="118"/>
      <c r="DP110" s="118"/>
      <c r="DQ110" s="118"/>
      <c r="DR110" s="118"/>
      <c r="DS110" s="118"/>
      <c r="DT110" s="117"/>
      <c r="DU110" s="145"/>
      <c r="DV110" s="145"/>
      <c r="DW110" s="145"/>
      <c r="DX110" s="145"/>
      <c r="DY110" s="145"/>
      <c r="DZ110" s="144"/>
      <c r="EA110" s="117"/>
      <c r="EB110" s="118"/>
      <c r="EC110" s="118"/>
      <c r="ED110" s="144"/>
      <c r="EE110" s="118"/>
      <c r="EF110" s="118"/>
      <c r="EG110" s="118"/>
      <c r="EH110" s="118"/>
      <c r="EI110" s="118"/>
      <c r="EJ110" s="117"/>
      <c r="EK110" s="145"/>
      <c r="EL110" s="145"/>
      <c r="EM110" s="145"/>
      <c r="EN110" s="146"/>
      <c r="EO110" s="88"/>
      <c r="EP110" s="89"/>
      <c r="EQ110" s="89"/>
      <c r="ER110" s="89"/>
      <c r="ES110" s="89"/>
      <c r="ET110" s="90"/>
      <c r="EU110" s="164"/>
      <c r="EV110" s="159">
        <f t="shared" si="147"/>
        <v>0</v>
      </c>
      <c r="EW110" s="159">
        <f t="shared" si="148"/>
        <v>0</v>
      </c>
      <c r="EX110" s="160">
        <f t="shared" si="149"/>
        <v>0</v>
      </c>
      <c r="EY110" s="117">
        <f t="shared" si="150"/>
        <v>1</v>
      </c>
      <c r="EZ110" s="118">
        <f t="shared" si="151"/>
        <v>1</v>
      </c>
      <c r="FA110" s="131" t="e">
        <f t="shared" si="152"/>
        <v>#DIV/0!</v>
      </c>
      <c r="FB110" s="131">
        <f t="shared" si="153"/>
        <v>1</v>
      </c>
      <c r="FC110" s="155">
        <f t="shared" si="154"/>
        <v>1</v>
      </c>
      <c r="FD110" s="118">
        <f t="shared" si="155"/>
        <v>1</v>
      </c>
      <c r="FE110" s="131" t="e">
        <f t="shared" si="156"/>
        <v>#DIV/0!</v>
      </c>
      <c r="FF110" s="156">
        <f t="shared" si="157"/>
        <v>1</v>
      </c>
      <c r="FG110" s="143" t="e">
        <f t="shared" ref="FG110" si="194">CY110/CX110</f>
        <v>#DIV/0!</v>
      </c>
      <c r="FH110" s="36">
        <f t="shared" si="159"/>
        <v>0</v>
      </c>
      <c r="FI110" s="37" t="e">
        <f t="shared" si="160"/>
        <v>#DIV/0!</v>
      </c>
      <c r="FJ110" s="37" t="e">
        <f t="shared" si="161"/>
        <v>#DIV/0!</v>
      </c>
      <c r="FK110" s="37">
        <f t="shared" si="162"/>
        <v>0</v>
      </c>
      <c r="FL110" s="37"/>
      <c r="FM110" s="37" t="e">
        <f t="shared" si="163"/>
        <v>#N/A</v>
      </c>
      <c r="FN110" s="37" t="e">
        <f t="shared" si="164"/>
        <v>#N/A</v>
      </c>
      <c r="FO110" s="37" t="e">
        <f t="shared" si="165"/>
        <v>#N/A</v>
      </c>
      <c r="FP110" s="37" t="e">
        <f t="shared" si="166"/>
        <v>#DIV/0!</v>
      </c>
      <c r="FQ110" s="37" t="e">
        <f t="shared" si="167"/>
        <v>#DIV/0!</v>
      </c>
      <c r="FR110" s="35" t="e">
        <f t="shared" si="168"/>
        <v>#DIV/0!</v>
      </c>
      <c r="FS110" s="88" t="e">
        <f t="shared" si="169"/>
        <v>#DIV/0!</v>
      </c>
      <c r="FT110" s="89" t="e">
        <f t="shared" si="170"/>
        <v>#DIV/0!</v>
      </c>
      <c r="FU110" s="90" t="e">
        <f t="shared" si="171"/>
        <v>#DIV/0!</v>
      </c>
      <c r="FV110" s="118">
        <f>FW110</f>
        <v>0</v>
      </c>
      <c r="FW110" s="117"/>
      <c r="FX110" s="118"/>
      <c r="FY110" s="118"/>
      <c r="FZ110" s="118"/>
      <c r="GA110" s="118"/>
      <c r="GB110" s="118">
        <f>SQRT(2*CONVERT(FZ110, "psi", "Pa") / $J$1)</f>
        <v>0</v>
      </c>
      <c r="GC110" s="118" t="e">
        <f t="shared" si="174"/>
        <v>#N/A</v>
      </c>
      <c r="GD110" s="118" t="e">
        <f t="shared" si="175"/>
        <v>#N/A</v>
      </c>
      <c r="GE110" s="118">
        <f t="shared" si="176"/>
        <v>0</v>
      </c>
    </row>
    <row r="111" spans="1:187" x14ac:dyDescent="0.25">
      <c r="A111" s="111">
        <f>IF('3'!$AC$7="",-B111,NA())</f>
        <v>-0.1</v>
      </c>
      <c r="B111" s="110">
        <v>0.1</v>
      </c>
      <c r="C111" s="110">
        <v>30</v>
      </c>
      <c r="D111" s="115">
        <v>50000</v>
      </c>
      <c r="E111" s="110"/>
      <c r="F111" s="110"/>
      <c r="G111" s="110"/>
      <c r="H111" s="110"/>
      <c r="I111" s="110"/>
      <c r="J111" s="110"/>
      <c r="K111" s="109"/>
      <c r="L111" s="114"/>
      <c r="M111" s="110"/>
      <c r="N111" s="110"/>
      <c r="O111" s="110"/>
      <c r="P111" s="115"/>
      <c r="Q111" s="114"/>
      <c r="R111" s="110"/>
      <c r="S111" s="110"/>
      <c r="T111" s="110"/>
      <c r="U111" s="110"/>
      <c r="V111" s="115"/>
      <c r="W111" s="110"/>
      <c r="X111" s="110"/>
      <c r="Y111" s="110"/>
      <c r="Z111" s="110"/>
      <c r="AA111" s="110"/>
      <c r="AB111" s="110"/>
      <c r="AC111" s="110"/>
      <c r="AD111" s="114"/>
      <c r="AE111" s="3"/>
      <c r="AF111" s="3"/>
      <c r="AG111" s="3"/>
      <c r="AH111" s="3"/>
      <c r="AI111" s="3"/>
      <c r="AJ111" s="115"/>
      <c r="AK111" s="114"/>
      <c r="AL111" s="110"/>
      <c r="AM111" s="110"/>
      <c r="AN111" s="115"/>
      <c r="AO111" s="110"/>
      <c r="AP111" s="110"/>
      <c r="AQ111" s="110"/>
      <c r="AR111" s="110"/>
      <c r="AS111" s="110"/>
      <c r="AT111" s="114"/>
      <c r="AU111" s="3"/>
      <c r="AV111" s="3"/>
      <c r="AW111" s="3"/>
      <c r="AX111" s="3"/>
      <c r="AY111" s="113"/>
      <c r="BD111" s="84"/>
      <c r="BF111" s="157">
        <f t="shared" si="178"/>
        <v>0</v>
      </c>
      <c r="BG111" s="157">
        <f t="shared" si="179"/>
        <v>0</v>
      </c>
      <c r="BH111" s="157">
        <f t="shared" si="180"/>
        <v>0</v>
      </c>
      <c r="BI111" s="114">
        <f t="shared" si="119"/>
        <v>1</v>
      </c>
      <c r="BJ111" s="110">
        <f t="shared" si="120"/>
        <v>1</v>
      </c>
      <c r="BK111" s="116" t="e">
        <f t="shared" si="121"/>
        <v>#DIV/0!</v>
      </c>
      <c r="BL111" s="116">
        <f t="shared" si="122"/>
        <v>1</v>
      </c>
      <c r="BM111" s="154">
        <f t="shared" si="123"/>
        <v>1</v>
      </c>
      <c r="BN111" s="110">
        <f t="shared" si="124"/>
        <v>1</v>
      </c>
      <c r="BO111" s="116" t="e">
        <f t="shared" si="125"/>
        <v>#DIV/0!</v>
      </c>
      <c r="BP111" s="153">
        <f t="shared" si="126"/>
        <v>1</v>
      </c>
      <c r="BQ111" s="141"/>
      <c r="BR111" s="111">
        <f t="shared" si="181"/>
        <v>0</v>
      </c>
      <c r="BS111" s="96" t="e">
        <f t="shared" si="182"/>
        <v>#DIV/0!</v>
      </c>
      <c r="BT111" s="96" t="e">
        <f t="shared" si="183"/>
        <v>#DIV/0!</v>
      </c>
      <c r="BU111" s="96">
        <f t="shared" si="184"/>
        <v>0</v>
      </c>
      <c r="BV111" s="96"/>
      <c r="BW111" s="96">
        <f t="shared" si="132"/>
        <v>0.97743092137960175</v>
      </c>
      <c r="BX111" s="96">
        <f t="shared" si="185"/>
        <v>0.97743092137960175</v>
      </c>
      <c r="BY111" s="96">
        <f t="shared" si="186"/>
        <v>0</v>
      </c>
      <c r="BZ111" s="96" t="e">
        <f t="shared" si="187"/>
        <v>#DIV/0!</v>
      </c>
      <c r="CA111" s="96" t="e">
        <f t="shared" si="188"/>
        <v>#DIV/0!</v>
      </c>
      <c r="CB111" s="112" t="e">
        <f t="shared" si="189"/>
        <v>#DIV/0!</v>
      </c>
      <c r="CC111" s="113" t="e">
        <f t="shared" si="190"/>
        <v>#DIV/0!</v>
      </c>
      <c r="CD111" s="13" t="e">
        <f t="shared" si="191"/>
        <v>#DIV/0!</v>
      </c>
      <c r="CE111" s="84" t="e">
        <f t="shared" si="192"/>
        <v>#DIV/0!</v>
      </c>
      <c r="CF111" s="115">
        <f>-CG111</f>
        <v>0</v>
      </c>
      <c r="CG111" s="110"/>
      <c r="CH111" s="96"/>
      <c r="CI111" s="96"/>
      <c r="CJ111" s="110"/>
      <c r="CK111" s="110"/>
      <c r="CL111" s="96">
        <f t="shared" ref="CL111:CL120" si="195">SQRT(2*CONVERT(CJ111, "psi", "Pa") / $J$1)</f>
        <v>0</v>
      </c>
      <c r="CM111" s="96" t="e">
        <f t="shared" si="143"/>
        <v>#N/A</v>
      </c>
      <c r="CN111" s="110" t="e">
        <f t="shared" si="144"/>
        <v>#N/A</v>
      </c>
      <c r="CO111" s="112">
        <f t="shared" si="145"/>
        <v>0</v>
      </c>
      <c r="CQ111" s="111" t="e">
        <f>IF('3'!$AC$3="",-CR111,NA())</f>
        <v>#N/A</v>
      </c>
      <c r="CR111" s="110">
        <v>0.1</v>
      </c>
      <c r="CS111" s="110">
        <v>30</v>
      </c>
      <c r="CT111" s="115">
        <v>50000</v>
      </c>
      <c r="CU111" s="110"/>
      <c r="CV111" s="110"/>
      <c r="CW111" s="110"/>
      <c r="CX111" s="110"/>
      <c r="CY111" s="110"/>
      <c r="CZ111" s="110"/>
      <c r="DA111" s="109"/>
      <c r="DB111" s="114"/>
      <c r="DC111" s="110"/>
      <c r="DD111" s="110"/>
      <c r="DE111" s="110"/>
      <c r="DF111" s="115"/>
      <c r="DG111" s="114"/>
      <c r="DH111" s="110"/>
      <c r="DI111" s="110"/>
      <c r="DJ111" s="110"/>
      <c r="DK111" s="110"/>
      <c r="DL111" s="115"/>
      <c r="DM111" s="110"/>
      <c r="DN111" s="110"/>
      <c r="DO111" s="110"/>
      <c r="DP111" s="110"/>
      <c r="DQ111" s="110"/>
      <c r="DR111" s="110"/>
      <c r="DS111" s="110"/>
      <c r="DT111" s="114"/>
      <c r="DU111" s="3"/>
      <c r="DV111" s="3"/>
      <c r="DW111" s="3"/>
      <c r="DX111" s="3"/>
      <c r="DY111" s="3"/>
      <c r="DZ111" s="115"/>
      <c r="EA111" s="114"/>
      <c r="EB111" s="110"/>
      <c r="EC111" s="110"/>
      <c r="ED111" s="115"/>
      <c r="EE111" s="110"/>
      <c r="EF111" s="110"/>
      <c r="EG111" s="110"/>
      <c r="EH111" s="110"/>
      <c r="EI111" s="110"/>
      <c r="EJ111" s="114"/>
      <c r="EK111" s="3"/>
      <c r="EL111" s="3"/>
      <c r="EM111" s="3"/>
      <c r="EN111" s="3"/>
      <c r="EO111" s="113"/>
      <c r="ET111" s="84"/>
      <c r="EU111" s="163"/>
      <c r="EV111" s="157">
        <f t="shared" si="147"/>
        <v>0</v>
      </c>
      <c r="EW111" s="157">
        <f t="shared" si="148"/>
        <v>0</v>
      </c>
      <c r="EX111" s="157">
        <f t="shared" si="149"/>
        <v>0</v>
      </c>
      <c r="EY111" s="114">
        <f t="shared" si="150"/>
        <v>1</v>
      </c>
      <c r="EZ111" s="110">
        <f t="shared" si="151"/>
        <v>1</v>
      </c>
      <c r="FA111" s="116" t="e">
        <f t="shared" si="152"/>
        <v>#DIV/0!</v>
      </c>
      <c r="FB111" s="116">
        <f t="shared" si="153"/>
        <v>1</v>
      </c>
      <c r="FC111" s="154">
        <f t="shared" si="154"/>
        <v>1</v>
      </c>
      <c r="FD111" s="110">
        <f t="shared" si="155"/>
        <v>1</v>
      </c>
      <c r="FE111" s="116" t="e">
        <f t="shared" si="156"/>
        <v>#DIV/0!</v>
      </c>
      <c r="FF111" s="153">
        <f t="shared" si="157"/>
        <v>1</v>
      </c>
      <c r="FG111" s="141"/>
      <c r="FH111" s="111">
        <f t="shared" si="159"/>
        <v>0</v>
      </c>
      <c r="FI111" s="96" t="e">
        <f t="shared" si="160"/>
        <v>#DIV/0!</v>
      </c>
      <c r="FJ111" s="96" t="e">
        <f t="shared" si="161"/>
        <v>#DIV/0!</v>
      </c>
      <c r="FK111" s="96">
        <f t="shared" si="162"/>
        <v>0</v>
      </c>
      <c r="FL111" s="96"/>
      <c r="FM111" s="96" t="e">
        <f t="shared" si="163"/>
        <v>#N/A</v>
      </c>
      <c r="FN111" s="96" t="e">
        <f t="shared" si="164"/>
        <v>#N/A</v>
      </c>
      <c r="FO111" s="96" t="e">
        <f t="shared" si="165"/>
        <v>#N/A</v>
      </c>
      <c r="FP111" s="96" t="e">
        <f t="shared" si="166"/>
        <v>#DIV/0!</v>
      </c>
      <c r="FQ111" s="96" t="e">
        <f t="shared" si="167"/>
        <v>#DIV/0!</v>
      </c>
      <c r="FR111" s="112" t="e">
        <f t="shared" si="168"/>
        <v>#DIV/0!</v>
      </c>
      <c r="FS111" s="113" t="e">
        <f t="shared" si="169"/>
        <v>#DIV/0!</v>
      </c>
      <c r="FT111" s="13" t="e">
        <f t="shared" si="170"/>
        <v>#DIV/0!</v>
      </c>
      <c r="FU111" s="84" t="e">
        <f t="shared" si="171"/>
        <v>#DIV/0!</v>
      </c>
      <c r="FV111" s="115">
        <f>-FW111</f>
        <v>0</v>
      </c>
      <c r="FW111" s="110"/>
      <c r="FX111" s="96"/>
      <c r="FY111" s="96"/>
      <c r="FZ111" s="110"/>
      <c r="GA111" s="110"/>
      <c r="GB111" s="96">
        <f t="shared" ref="GB111:GB120" si="196">SQRT(2*CONVERT(FZ111, "psi", "Pa") / $J$1)</f>
        <v>0</v>
      </c>
      <c r="GC111" s="96" t="e">
        <f t="shared" si="174"/>
        <v>#N/A</v>
      </c>
      <c r="GD111" s="110" t="e">
        <f t="shared" si="175"/>
        <v>#N/A</v>
      </c>
      <c r="GE111" s="112">
        <f t="shared" si="176"/>
        <v>0</v>
      </c>
    </row>
    <row r="112" spans="1:187" x14ac:dyDescent="0.25">
      <c r="A112" s="111">
        <f>IF('3'!$AC$7="",-B112,NA())</f>
        <v>-0.2</v>
      </c>
      <c r="B112" s="110">
        <v>0.2</v>
      </c>
      <c r="C112" s="110">
        <v>30</v>
      </c>
      <c r="D112" s="115">
        <v>50000</v>
      </c>
      <c r="E112" s="110"/>
      <c r="F112" s="110"/>
      <c r="G112" s="110"/>
      <c r="H112" s="110"/>
      <c r="I112" s="110"/>
      <c r="J112" s="110"/>
      <c r="K112" s="109"/>
      <c r="L112" s="114"/>
      <c r="M112" s="110"/>
      <c r="N112" s="110"/>
      <c r="O112" s="110"/>
      <c r="P112" s="115"/>
      <c r="Q112" s="114"/>
      <c r="R112" s="110"/>
      <c r="S112" s="110"/>
      <c r="T112" s="110"/>
      <c r="U112" s="110"/>
      <c r="V112" s="115"/>
      <c r="W112" s="110"/>
      <c r="X112" s="110"/>
      <c r="Y112" s="110"/>
      <c r="Z112" s="110"/>
      <c r="AA112" s="110"/>
      <c r="AB112" s="110"/>
      <c r="AC112" s="110"/>
      <c r="AD112" s="114"/>
      <c r="AE112" s="3"/>
      <c r="AF112" s="3"/>
      <c r="AG112" s="3"/>
      <c r="AH112" s="3"/>
      <c r="AI112" s="3"/>
      <c r="AJ112" s="115"/>
      <c r="AK112" s="114"/>
      <c r="AL112" s="110"/>
      <c r="AM112" s="110"/>
      <c r="AN112" s="115"/>
      <c r="AO112" s="110"/>
      <c r="AP112" s="110"/>
      <c r="AQ112" s="110"/>
      <c r="AR112" s="110"/>
      <c r="AS112" s="110"/>
      <c r="AT112" s="114"/>
      <c r="AU112" s="3"/>
      <c r="AV112" s="3"/>
      <c r="AW112" s="3"/>
      <c r="AX112" s="3"/>
      <c r="AY112" s="113"/>
      <c r="BD112" s="84"/>
      <c r="BF112" s="157">
        <f t="shared" si="178"/>
        <v>0</v>
      </c>
      <c r="BG112" s="157">
        <f t="shared" si="179"/>
        <v>0</v>
      </c>
      <c r="BH112" s="157">
        <f t="shared" si="180"/>
        <v>0</v>
      </c>
      <c r="BI112" s="114">
        <f t="shared" si="119"/>
        <v>1</v>
      </c>
      <c r="BJ112" s="110">
        <f t="shared" si="120"/>
        <v>1</v>
      </c>
      <c r="BK112" s="116" t="e">
        <f t="shared" si="121"/>
        <v>#DIV/0!</v>
      </c>
      <c r="BL112" s="116">
        <f t="shared" si="122"/>
        <v>1</v>
      </c>
      <c r="BM112" s="154">
        <f t="shared" si="123"/>
        <v>1</v>
      </c>
      <c r="BN112" s="110">
        <f t="shared" si="124"/>
        <v>1</v>
      </c>
      <c r="BO112" s="116" t="e">
        <f t="shared" si="125"/>
        <v>#DIV/0!</v>
      </c>
      <c r="BP112" s="153">
        <f t="shared" si="126"/>
        <v>1</v>
      </c>
      <c r="BQ112" s="141"/>
      <c r="BR112" s="111">
        <f t="shared" si="181"/>
        <v>0</v>
      </c>
      <c r="BS112" s="96" t="e">
        <f t="shared" si="182"/>
        <v>#DIV/0!</v>
      </c>
      <c r="BT112" s="96" t="e">
        <f t="shared" si="183"/>
        <v>#DIV/0!</v>
      </c>
      <c r="BU112" s="96">
        <f t="shared" si="184"/>
        <v>0</v>
      </c>
      <c r="BV112" s="96"/>
      <c r="BW112" s="96">
        <f t="shared" si="132"/>
        <v>0.95874001371920414</v>
      </c>
      <c r="BX112" s="96">
        <f t="shared" si="185"/>
        <v>0.95874001371920414</v>
      </c>
      <c r="BY112" s="96">
        <f t="shared" si="186"/>
        <v>0</v>
      </c>
      <c r="BZ112" s="96" t="e">
        <f t="shared" si="187"/>
        <v>#DIV/0!</v>
      </c>
      <c r="CA112" s="96" t="e">
        <f t="shared" si="188"/>
        <v>#DIV/0!</v>
      </c>
      <c r="CB112" s="112" t="e">
        <f t="shared" si="189"/>
        <v>#DIV/0!</v>
      </c>
      <c r="CC112" s="113" t="e">
        <f t="shared" si="190"/>
        <v>#DIV/0!</v>
      </c>
      <c r="CD112" s="13" t="e">
        <f t="shared" si="191"/>
        <v>#DIV/0!</v>
      </c>
      <c r="CE112" s="84" t="e">
        <f t="shared" si="192"/>
        <v>#DIV/0!</v>
      </c>
      <c r="CF112" s="115">
        <f t="shared" ref="CF112:CF120" si="197">-CG112</f>
        <v>0</v>
      </c>
      <c r="CG112" s="110"/>
      <c r="CH112" s="96"/>
      <c r="CI112" s="96"/>
      <c r="CJ112" s="110"/>
      <c r="CK112" s="110"/>
      <c r="CL112" s="96">
        <f t="shared" si="195"/>
        <v>0</v>
      </c>
      <c r="CM112" s="96" t="e">
        <f t="shared" si="143"/>
        <v>#N/A</v>
      </c>
      <c r="CN112" s="110" t="e">
        <f t="shared" si="144"/>
        <v>#N/A</v>
      </c>
      <c r="CO112" s="112">
        <f t="shared" si="145"/>
        <v>0</v>
      </c>
      <c r="CQ112" s="111" t="e">
        <f>IF('3'!$AC$3="",-CR112,NA())</f>
        <v>#N/A</v>
      </c>
      <c r="CR112" s="110"/>
      <c r="CS112" s="110"/>
      <c r="CT112" s="115"/>
      <c r="CU112" s="110"/>
      <c r="CV112" s="110"/>
      <c r="CW112" s="110"/>
      <c r="CX112" s="110"/>
      <c r="CY112" s="110"/>
      <c r="CZ112" s="110"/>
      <c r="DA112" s="109"/>
      <c r="DB112" s="114"/>
      <c r="DC112" s="110"/>
      <c r="DD112" s="110"/>
      <c r="DE112" s="110"/>
      <c r="DF112" s="115"/>
      <c r="DG112" s="114"/>
      <c r="DH112" s="110"/>
      <c r="DI112" s="110"/>
      <c r="DJ112" s="110"/>
      <c r="DK112" s="110"/>
      <c r="DL112" s="115"/>
      <c r="DM112" s="110"/>
      <c r="DN112" s="110"/>
      <c r="DO112" s="110"/>
      <c r="DP112" s="110"/>
      <c r="DQ112" s="110"/>
      <c r="DR112" s="110"/>
      <c r="DS112" s="110"/>
      <c r="DT112" s="114"/>
      <c r="DU112" s="3"/>
      <c r="DV112" s="3"/>
      <c r="DW112" s="3"/>
      <c r="DX112" s="3"/>
      <c r="DY112" s="3"/>
      <c r="DZ112" s="115"/>
      <c r="EA112" s="114"/>
      <c r="EB112" s="110"/>
      <c r="EC112" s="110"/>
      <c r="ED112" s="115"/>
      <c r="EE112" s="110"/>
      <c r="EF112" s="110"/>
      <c r="EG112" s="110"/>
      <c r="EH112" s="110"/>
      <c r="EI112" s="110"/>
      <c r="EJ112" s="114"/>
      <c r="EK112" s="3"/>
      <c r="EL112" s="3"/>
      <c r="EM112" s="3"/>
      <c r="EN112" s="3"/>
      <c r="EO112" s="113"/>
      <c r="ET112" s="84"/>
      <c r="EU112" s="163"/>
      <c r="EV112" s="157" t="e">
        <f t="shared" si="147"/>
        <v>#DIV/0!</v>
      </c>
      <c r="EW112" s="157" t="e">
        <f t="shared" si="148"/>
        <v>#DIV/0!</v>
      </c>
      <c r="EX112" s="157" t="e">
        <f t="shared" si="149"/>
        <v>#DIV/0!</v>
      </c>
      <c r="EY112" s="114">
        <f t="shared" si="150"/>
        <v>1</v>
      </c>
      <c r="EZ112" s="110">
        <f t="shared" si="151"/>
        <v>1</v>
      </c>
      <c r="FA112" s="116" t="e">
        <f t="shared" si="152"/>
        <v>#DIV/0!</v>
      </c>
      <c r="FB112" s="116">
        <f t="shared" si="153"/>
        <v>1</v>
      </c>
      <c r="FC112" s="154">
        <f t="shared" si="154"/>
        <v>1</v>
      </c>
      <c r="FD112" s="110">
        <f t="shared" si="155"/>
        <v>1</v>
      </c>
      <c r="FE112" s="116" t="e">
        <f t="shared" si="156"/>
        <v>#DIV/0!</v>
      </c>
      <c r="FF112" s="153">
        <f t="shared" si="157"/>
        <v>1</v>
      </c>
      <c r="FG112" s="141"/>
      <c r="FH112" s="111">
        <f t="shared" si="159"/>
        <v>0</v>
      </c>
      <c r="FI112" s="96" t="e">
        <f t="shared" si="160"/>
        <v>#DIV/0!</v>
      </c>
      <c r="FJ112" s="96" t="e">
        <f t="shared" si="161"/>
        <v>#DIV/0!</v>
      </c>
      <c r="FK112" s="96">
        <f t="shared" si="162"/>
        <v>0</v>
      </c>
      <c r="FL112" s="96"/>
      <c r="FM112" s="96" t="e">
        <f t="shared" si="163"/>
        <v>#N/A</v>
      </c>
      <c r="FN112" s="96" t="e">
        <f t="shared" si="164"/>
        <v>#N/A</v>
      </c>
      <c r="FO112" s="96" t="e">
        <f t="shared" si="165"/>
        <v>#N/A</v>
      </c>
      <c r="FP112" s="96" t="e">
        <f t="shared" si="166"/>
        <v>#DIV/0!</v>
      </c>
      <c r="FQ112" s="96" t="e">
        <f t="shared" si="167"/>
        <v>#DIV/0!</v>
      </c>
      <c r="FR112" s="112" t="e">
        <f t="shared" si="168"/>
        <v>#DIV/0!</v>
      </c>
      <c r="FS112" s="113" t="e">
        <f t="shared" si="169"/>
        <v>#DIV/0!</v>
      </c>
      <c r="FT112" s="13" t="e">
        <f t="shared" si="170"/>
        <v>#DIV/0!</v>
      </c>
      <c r="FU112" s="84" t="e">
        <f t="shared" si="171"/>
        <v>#DIV/0!</v>
      </c>
      <c r="FV112" s="115">
        <f t="shared" ref="FV112:FV120" si="198">-FW112</f>
        <v>0</v>
      </c>
      <c r="FW112" s="110"/>
      <c r="FX112" s="96"/>
      <c r="FY112" s="96"/>
      <c r="FZ112" s="110"/>
      <c r="GA112" s="110"/>
      <c r="GB112" s="96">
        <f t="shared" si="196"/>
        <v>0</v>
      </c>
      <c r="GC112" s="96" t="e">
        <f t="shared" si="174"/>
        <v>#N/A</v>
      </c>
      <c r="GD112" s="110" t="e">
        <f t="shared" si="175"/>
        <v>#N/A</v>
      </c>
      <c r="GE112" s="112">
        <f t="shared" si="176"/>
        <v>0</v>
      </c>
    </row>
    <row r="113" spans="1:187" x14ac:dyDescent="0.25">
      <c r="A113" s="111">
        <f>IF('3'!$AC$7="",-B113,NA())</f>
        <v>-0.3</v>
      </c>
      <c r="B113" s="110">
        <v>0.3</v>
      </c>
      <c r="C113" s="110">
        <v>30</v>
      </c>
      <c r="D113" s="115">
        <v>50000</v>
      </c>
      <c r="E113" s="110"/>
      <c r="F113" s="110"/>
      <c r="G113" s="110"/>
      <c r="H113" s="110"/>
      <c r="I113" s="110"/>
      <c r="J113" s="110"/>
      <c r="K113" s="109"/>
      <c r="L113" s="114"/>
      <c r="M113" s="110"/>
      <c r="N113" s="110"/>
      <c r="O113" s="110"/>
      <c r="P113" s="115"/>
      <c r="Q113" s="114"/>
      <c r="R113" s="110"/>
      <c r="S113" s="110"/>
      <c r="T113" s="110"/>
      <c r="U113" s="110"/>
      <c r="V113" s="115"/>
      <c r="W113" s="110"/>
      <c r="X113" s="110"/>
      <c r="Y113" s="110"/>
      <c r="Z113" s="110"/>
      <c r="AA113" s="110"/>
      <c r="AB113" s="110"/>
      <c r="AC113" s="110"/>
      <c r="AD113" s="114"/>
      <c r="AE113" s="3"/>
      <c r="AF113" s="3"/>
      <c r="AG113" s="3"/>
      <c r="AH113" s="3"/>
      <c r="AI113" s="3"/>
      <c r="AJ113" s="115"/>
      <c r="AK113" s="114"/>
      <c r="AL113" s="110"/>
      <c r="AM113" s="110"/>
      <c r="AN113" s="115"/>
      <c r="AO113" s="110"/>
      <c r="AP113" s="110"/>
      <c r="AQ113" s="110"/>
      <c r="AR113" s="110"/>
      <c r="AS113" s="110"/>
      <c r="AT113" s="114"/>
      <c r="AU113" s="3"/>
      <c r="AV113" s="3"/>
      <c r="AW113" s="3"/>
      <c r="AX113" s="3"/>
      <c r="AY113" s="113"/>
      <c r="BD113" s="84"/>
      <c r="BF113" s="157">
        <f t="shared" si="178"/>
        <v>0</v>
      </c>
      <c r="BG113" s="157">
        <f t="shared" si="179"/>
        <v>0</v>
      </c>
      <c r="BH113" s="157">
        <f t="shared" si="180"/>
        <v>0</v>
      </c>
      <c r="BI113" s="114">
        <f t="shared" si="119"/>
        <v>1</v>
      </c>
      <c r="BJ113" s="110">
        <f t="shared" si="120"/>
        <v>1</v>
      </c>
      <c r="BK113" s="116" t="e">
        <f t="shared" si="121"/>
        <v>#DIV/0!</v>
      </c>
      <c r="BL113" s="116">
        <f t="shared" si="122"/>
        <v>1</v>
      </c>
      <c r="BM113" s="154">
        <f t="shared" si="123"/>
        <v>1</v>
      </c>
      <c r="BN113" s="110">
        <f t="shared" si="124"/>
        <v>1</v>
      </c>
      <c r="BO113" s="116" t="e">
        <f t="shared" si="125"/>
        <v>#DIV/0!</v>
      </c>
      <c r="BP113" s="153">
        <f t="shared" si="126"/>
        <v>1</v>
      </c>
      <c r="BQ113" s="141"/>
      <c r="BR113" s="111">
        <f t="shared" si="181"/>
        <v>0</v>
      </c>
      <c r="BS113" s="96" t="e">
        <f t="shared" si="182"/>
        <v>#DIV/0!</v>
      </c>
      <c r="BT113" s="96" t="e">
        <f t="shared" si="183"/>
        <v>#DIV/0!</v>
      </c>
      <c r="BU113" s="96">
        <f t="shared" si="184"/>
        <v>0</v>
      </c>
      <c r="BV113" s="96"/>
      <c r="BW113" s="96">
        <f t="shared" si="132"/>
        <v>0.93798193514099792</v>
      </c>
      <c r="BX113" s="96">
        <f t="shared" si="185"/>
        <v>0.93798193514099792</v>
      </c>
      <c r="BY113" s="96">
        <f t="shared" si="186"/>
        <v>0</v>
      </c>
      <c r="BZ113" s="96" t="e">
        <f t="shared" si="187"/>
        <v>#DIV/0!</v>
      </c>
      <c r="CA113" s="96" t="e">
        <f t="shared" si="188"/>
        <v>#DIV/0!</v>
      </c>
      <c r="CB113" s="112" t="e">
        <f t="shared" si="189"/>
        <v>#DIV/0!</v>
      </c>
      <c r="CC113" s="113" t="e">
        <f t="shared" si="190"/>
        <v>#DIV/0!</v>
      </c>
      <c r="CD113" s="13" t="e">
        <f t="shared" si="191"/>
        <v>#DIV/0!</v>
      </c>
      <c r="CE113" s="84" t="e">
        <f t="shared" si="192"/>
        <v>#DIV/0!</v>
      </c>
      <c r="CF113" s="115">
        <f t="shared" si="197"/>
        <v>0</v>
      </c>
      <c r="CG113" s="110"/>
      <c r="CH113" s="96"/>
      <c r="CI113" s="96"/>
      <c r="CJ113" s="110"/>
      <c r="CK113" s="110"/>
      <c r="CL113" s="96">
        <f t="shared" si="195"/>
        <v>0</v>
      </c>
      <c r="CM113" s="96" t="e">
        <f t="shared" si="143"/>
        <v>#N/A</v>
      </c>
      <c r="CN113" s="110" t="e">
        <f t="shared" si="144"/>
        <v>#N/A</v>
      </c>
      <c r="CO113" s="112">
        <f t="shared" si="145"/>
        <v>0</v>
      </c>
      <c r="CQ113" s="111" t="e">
        <f>IF('3'!$AC$3="",-CR113,NA())</f>
        <v>#N/A</v>
      </c>
      <c r="CR113" s="110"/>
      <c r="CS113" s="110"/>
      <c r="CT113" s="115"/>
      <c r="CU113" s="110"/>
      <c r="CV113" s="110"/>
      <c r="CW113" s="110"/>
      <c r="CX113" s="110"/>
      <c r="CY113" s="110"/>
      <c r="CZ113" s="110"/>
      <c r="DA113" s="109"/>
      <c r="DB113" s="114"/>
      <c r="DC113" s="110"/>
      <c r="DD113" s="110"/>
      <c r="DE113" s="110"/>
      <c r="DF113" s="115"/>
      <c r="DG113" s="114"/>
      <c r="DH113" s="110"/>
      <c r="DI113" s="110"/>
      <c r="DJ113" s="110"/>
      <c r="DK113" s="110"/>
      <c r="DL113" s="115"/>
      <c r="DM113" s="110"/>
      <c r="DN113" s="110"/>
      <c r="DO113" s="110"/>
      <c r="DP113" s="110"/>
      <c r="DQ113" s="110"/>
      <c r="DR113" s="110"/>
      <c r="DS113" s="110"/>
      <c r="DT113" s="114"/>
      <c r="DU113" s="3"/>
      <c r="DV113" s="3"/>
      <c r="DW113" s="3"/>
      <c r="DX113" s="3"/>
      <c r="DY113" s="3"/>
      <c r="DZ113" s="115"/>
      <c r="EA113" s="114"/>
      <c r="EB113" s="110"/>
      <c r="EC113" s="110"/>
      <c r="ED113" s="115"/>
      <c r="EE113" s="110"/>
      <c r="EF113" s="110"/>
      <c r="EG113" s="110"/>
      <c r="EH113" s="110"/>
      <c r="EI113" s="110"/>
      <c r="EJ113" s="114"/>
      <c r="EK113" s="3"/>
      <c r="EL113" s="3"/>
      <c r="EM113" s="3"/>
      <c r="EN113" s="3"/>
      <c r="EO113" s="113"/>
      <c r="ET113" s="84"/>
      <c r="EU113" s="163"/>
      <c r="EV113" s="157" t="e">
        <f t="shared" si="147"/>
        <v>#DIV/0!</v>
      </c>
      <c r="EW113" s="157" t="e">
        <f t="shared" si="148"/>
        <v>#DIV/0!</v>
      </c>
      <c r="EX113" s="157" t="e">
        <f t="shared" si="149"/>
        <v>#DIV/0!</v>
      </c>
      <c r="EY113" s="114">
        <f t="shared" si="150"/>
        <v>1</v>
      </c>
      <c r="EZ113" s="110">
        <f t="shared" si="151"/>
        <v>1</v>
      </c>
      <c r="FA113" s="116" t="e">
        <f t="shared" si="152"/>
        <v>#DIV/0!</v>
      </c>
      <c r="FB113" s="116">
        <f t="shared" si="153"/>
        <v>1</v>
      </c>
      <c r="FC113" s="154">
        <f t="shared" si="154"/>
        <v>1</v>
      </c>
      <c r="FD113" s="110">
        <f t="shared" si="155"/>
        <v>1</v>
      </c>
      <c r="FE113" s="116" t="e">
        <f t="shared" si="156"/>
        <v>#DIV/0!</v>
      </c>
      <c r="FF113" s="153">
        <f t="shared" si="157"/>
        <v>1</v>
      </c>
      <c r="FG113" s="141"/>
      <c r="FH113" s="111">
        <f t="shared" si="159"/>
        <v>0</v>
      </c>
      <c r="FI113" s="96" t="e">
        <f t="shared" si="160"/>
        <v>#DIV/0!</v>
      </c>
      <c r="FJ113" s="96" t="e">
        <f t="shared" si="161"/>
        <v>#DIV/0!</v>
      </c>
      <c r="FK113" s="96">
        <f t="shared" si="162"/>
        <v>0</v>
      </c>
      <c r="FL113" s="96"/>
      <c r="FM113" s="96" t="e">
        <f t="shared" si="163"/>
        <v>#N/A</v>
      </c>
      <c r="FN113" s="96" t="e">
        <f t="shared" si="164"/>
        <v>#N/A</v>
      </c>
      <c r="FO113" s="96" t="e">
        <f t="shared" si="165"/>
        <v>#N/A</v>
      </c>
      <c r="FP113" s="96" t="e">
        <f t="shared" si="166"/>
        <v>#DIV/0!</v>
      </c>
      <c r="FQ113" s="96" t="e">
        <f t="shared" si="167"/>
        <v>#DIV/0!</v>
      </c>
      <c r="FR113" s="112" t="e">
        <f t="shared" si="168"/>
        <v>#DIV/0!</v>
      </c>
      <c r="FS113" s="113" t="e">
        <f t="shared" si="169"/>
        <v>#DIV/0!</v>
      </c>
      <c r="FT113" s="13" t="e">
        <f t="shared" si="170"/>
        <v>#DIV/0!</v>
      </c>
      <c r="FU113" s="84" t="e">
        <f t="shared" si="171"/>
        <v>#DIV/0!</v>
      </c>
      <c r="FV113" s="115">
        <f t="shared" si="198"/>
        <v>0</v>
      </c>
      <c r="FW113" s="110"/>
      <c r="FX113" s="96"/>
      <c r="FY113" s="96"/>
      <c r="FZ113" s="110"/>
      <c r="GA113" s="110"/>
      <c r="GB113" s="96">
        <f t="shared" si="196"/>
        <v>0</v>
      </c>
      <c r="GC113" s="96" t="e">
        <f t="shared" si="174"/>
        <v>#N/A</v>
      </c>
      <c r="GD113" s="110" t="e">
        <f t="shared" si="175"/>
        <v>#N/A</v>
      </c>
      <c r="GE113" s="112">
        <f t="shared" si="176"/>
        <v>0</v>
      </c>
    </row>
    <row r="114" spans="1:187" x14ac:dyDescent="0.25">
      <c r="A114" s="111">
        <f>IF('3'!$AC$7="",-B114,NA())</f>
        <v>-0.4</v>
      </c>
      <c r="B114" s="110">
        <v>0.4</v>
      </c>
      <c r="C114" s="110">
        <v>30</v>
      </c>
      <c r="D114" s="115">
        <v>50000</v>
      </c>
      <c r="E114" s="110"/>
      <c r="F114" s="110"/>
      <c r="G114" s="110"/>
      <c r="H114" s="110"/>
      <c r="I114" s="110"/>
      <c r="J114" s="110"/>
      <c r="K114" s="109"/>
      <c r="L114" s="114"/>
      <c r="M114" s="110"/>
      <c r="N114" s="110"/>
      <c r="O114" s="110"/>
      <c r="P114" s="115"/>
      <c r="Q114" s="114"/>
      <c r="R114" s="110"/>
      <c r="S114" s="110"/>
      <c r="T114" s="110"/>
      <c r="U114" s="110"/>
      <c r="V114" s="115"/>
      <c r="W114" s="110"/>
      <c r="X114" s="110"/>
      <c r="Y114" s="110"/>
      <c r="Z114" s="110"/>
      <c r="AA114" s="110"/>
      <c r="AB114" s="110"/>
      <c r="AC114" s="110"/>
      <c r="AD114" s="114"/>
      <c r="AE114" s="3"/>
      <c r="AF114" s="3"/>
      <c r="AG114" s="3"/>
      <c r="AH114" s="3"/>
      <c r="AI114" s="3"/>
      <c r="AJ114" s="115"/>
      <c r="AK114" s="114"/>
      <c r="AL114" s="110"/>
      <c r="AM114" s="110"/>
      <c r="AN114" s="115"/>
      <c r="AO114" s="110"/>
      <c r="AP114" s="110"/>
      <c r="AQ114" s="110"/>
      <c r="AR114" s="110"/>
      <c r="AS114" s="110"/>
      <c r="AT114" s="114"/>
      <c r="AU114" s="3"/>
      <c r="AV114" s="3"/>
      <c r="AW114" s="3"/>
      <c r="AX114" s="3"/>
      <c r="AY114" s="113"/>
      <c r="BD114" s="84"/>
      <c r="BF114" s="157">
        <f t="shared" si="178"/>
        <v>0</v>
      </c>
      <c r="BG114" s="157">
        <f t="shared" si="179"/>
        <v>0</v>
      </c>
      <c r="BH114" s="157">
        <f t="shared" si="180"/>
        <v>0</v>
      </c>
      <c r="BI114" s="114">
        <f t="shared" si="119"/>
        <v>1</v>
      </c>
      <c r="BJ114" s="110">
        <f t="shared" si="120"/>
        <v>1</v>
      </c>
      <c r="BK114" s="116" t="e">
        <f t="shared" si="121"/>
        <v>#DIV/0!</v>
      </c>
      <c r="BL114" s="116">
        <f t="shared" si="122"/>
        <v>1</v>
      </c>
      <c r="BM114" s="154">
        <f t="shared" si="123"/>
        <v>1</v>
      </c>
      <c r="BN114" s="110">
        <f t="shared" si="124"/>
        <v>1</v>
      </c>
      <c r="BO114" s="116" t="e">
        <f t="shared" si="125"/>
        <v>#DIV/0!</v>
      </c>
      <c r="BP114" s="153">
        <f t="shared" si="126"/>
        <v>1</v>
      </c>
      <c r="BQ114" s="141"/>
      <c r="BR114" s="111">
        <f t="shared" si="181"/>
        <v>0</v>
      </c>
      <c r="BS114" s="96" t="e">
        <f t="shared" si="182"/>
        <v>#DIV/0!</v>
      </c>
      <c r="BT114" s="96" t="e">
        <f t="shared" si="183"/>
        <v>#DIV/0!</v>
      </c>
      <c r="BU114" s="96">
        <f t="shared" si="184"/>
        <v>0</v>
      </c>
      <c r="BV114" s="96"/>
      <c r="BW114" s="96">
        <f t="shared" si="132"/>
        <v>0.91457676741031746</v>
      </c>
      <c r="BX114" s="96">
        <f t="shared" si="185"/>
        <v>0.91457676741031746</v>
      </c>
      <c r="BY114" s="96">
        <f t="shared" si="186"/>
        <v>0</v>
      </c>
      <c r="BZ114" s="96" t="e">
        <f t="shared" si="187"/>
        <v>#DIV/0!</v>
      </c>
      <c r="CA114" s="96" t="e">
        <f t="shared" si="188"/>
        <v>#DIV/0!</v>
      </c>
      <c r="CB114" s="112" t="e">
        <f t="shared" si="189"/>
        <v>#DIV/0!</v>
      </c>
      <c r="CC114" s="113" t="e">
        <f t="shared" si="190"/>
        <v>#DIV/0!</v>
      </c>
      <c r="CD114" s="13" t="e">
        <f t="shared" si="191"/>
        <v>#DIV/0!</v>
      </c>
      <c r="CE114" s="84" t="e">
        <f t="shared" si="192"/>
        <v>#DIV/0!</v>
      </c>
      <c r="CF114" s="115">
        <f t="shared" si="197"/>
        <v>0</v>
      </c>
      <c r="CG114" s="110"/>
      <c r="CH114" s="96"/>
      <c r="CI114" s="96"/>
      <c r="CJ114" s="110"/>
      <c r="CK114" s="110"/>
      <c r="CL114" s="96">
        <f t="shared" si="195"/>
        <v>0</v>
      </c>
      <c r="CM114" s="96" t="e">
        <f t="shared" si="143"/>
        <v>#N/A</v>
      </c>
      <c r="CN114" s="110" t="e">
        <f t="shared" si="144"/>
        <v>#N/A</v>
      </c>
      <c r="CO114" s="112">
        <f t="shared" si="145"/>
        <v>0</v>
      </c>
      <c r="CQ114" s="111" t="e">
        <f>IF('3'!$AC$3="",-CR114,NA())</f>
        <v>#N/A</v>
      </c>
      <c r="CR114" s="110"/>
      <c r="CS114" s="110"/>
      <c r="CT114" s="115"/>
      <c r="CU114" s="110"/>
      <c r="CV114" s="110"/>
      <c r="CW114" s="110"/>
      <c r="CX114" s="110"/>
      <c r="CY114" s="110"/>
      <c r="CZ114" s="110"/>
      <c r="DA114" s="109"/>
      <c r="DB114" s="114"/>
      <c r="DC114" s="110"/>
      <c r="DD114" s="110"/>
      <c r="DE114" s="110"/>
      <c r="DF114" s="115"/>
      <c r="DG114" s="114"/>
      <c r="DH114" s="110"/>
      <c r="DI114" s="110"/>
      <c r="DJ114" s="110"/>
      <c r="DK114" s="110"/>
      <c r="DL114" s="115"/>
      <c r="DM114" s="110"/>
      <c r="DN114" s="110"/>
      <c r="DO114" s="110"/>
      <c r="DP114" s="110"/>
      <c r="DQ114" s="110"/>
      <c r="DR114" s="110"/>
      <c r="DS114" s="110"/>
      <c r="DT114" s="114"/>
      <c r="DU114" s="3"/>
      <c r="DV114" s="3"/>
      <c r="DW114" s="3"/>
      <c r="DX114" s="3"/>
      <c r="DY114" s="3"/>
      <c r="DZ114" s="115"/>
      <c r="EA114" s="114"/>
      <c r="EB114" s="110"/>
      <c r="EC114" s="110"/>
      <c r="ED114" s="115"/>
      <c r="EE114" s="110"/>
      <c r="EF114" s="110"/>
      <c r="EG114" s="110"/>
      <c r="EH114" s="110"/>
      <c r="EI114" s="110"/>
      <c r="EJ114" s="114"/>
      <c r="EK114" s="3"/>
      <c r="EL114" s="3"/>
      <c r="EM114" s="3"/>
      <c r="EN114" s="3"/>
      <c r="EO114" s="113"/>
      <c r="ET114" s="84"/>
      <c r="EU114" s="163"/>
      <c r="EV114" s="157" t="e">
        <f t="shared" si="147"/>
        <v>#DIV/0!</v>
      </c>
      <c r="EW114" s="157" t="e">
        <f t="shared" si="148"/>
        <v>#DIV/0!</v>
      </c>
      <c r="EX114" s="157" t="e">
        <f t="shared" si="149"/>
        <v>#DIV/0!</v>
      </c>
      <c r="EY114" s="114">
        <f t="shared" si="150"/>
        <v>1</v>
      </c>
      <c r="EZ114" s="110">
        <f t="shared" si="151"/>
        <v>1</v>
      </c>
      <c r="FA114" s="116" t="e">
        <f t="shared" si="152"/>
        <v>#DIV/0!</v>
      </c>
      <c r="FB114" s="116">
        <f t="shared" si="153"/>
        <v>1</v>
      </c>
      <c r="FC114" s="154">
        <f t="shared" si="154"/>
        <v>1</v>
      </c>
      <c r="FD114" s="110">
        <f t="shared" si="155"/>
        <v>1</v>
      </c>
      <c r="FE114" s="116" t="e">
        <f t="shared" si="156"/>
        <v>#DIV/0!</v>
      </c>
      <c r="FF114" s="153">
        <f t="shared" si="157"/>
        <v>1</v>
      </c>
      <c r="FG114" s="141"/>
      <c r="FH114" s="111">
        <f t="shared" si="159"/>
        <v>0</v>
      </c>
      <c r="FI114" s="96" t="e">
        <f t="shared" si="160"/>
        <v>#DIV/0!</v>
      </c>
      <c r="FJ114" s="96" t="e">
        <f t="shared" si="161"/>
        <v>#DIV/0!</v>
      </c>
      <c r="FK114" s="96">
        <f t="shared" si="162"/>
        <v>0</v>
      </c>
      <c r="FL114" s="96"/>
      <c r="FM114" s="96" t="e">
        <f t="shared" si="163"/>
        <v>#N/A</v>
      </c>
      <c r="FN114" s="96" t="e">
        <f t="shared" si="164"/>
        <v>#N/A</v>
      </c>
      <c r="FO114" s="96" t="e">
        <f t="shared" si="165"/>
        <v>#N/A</v>
      </c>
      <c r="FP114" s="96" t="e">
        <f t="shared" si="166"/>
        <v>#DIV/0!</v>
      </c>
      <c r="FQ114" s="96" t="e">
        <f t="shared" si="167"/>
        <v>#DIV/0!</v>
      </c>
      <c r="FR114" s="112" t="e">
        <f t="shared" si="168"/>
        <v>#DIV/0!</v>
      </c>
      <c r="FS114" s="113" t="e">
        <f t="shared" si="169"/>
        <v>#DIV/0!</v>
      </c>
      <c r="FT114" s="13" t="e">
        <f t="shared" si="170"/>
        <v>#DIV/0!</v>
      </c>
      <c r="FU114" s="84" t="e">
        <f t="shared" si="171"/>
        <v>#DIV/0!</v>
      </c>
      <c r="FV114" s="115">
        <f t="shared" si="198"/>
        <v>0</v>
      </c>
      <c r="FW114" s="110"/>
      <c r="FX114" s="96"/>
      <c r="FY114" s="96"/>
      <c r="FZ114" s="110"/>
      <c r="GA114" s="110"/>
      <c r="GB114" s="96">
        <f t="shared" si="196"/>
        <v>0</v>
      </c>
      <c r="GC114" s="96" t="e">
        <f t="shared" si="174"/>
        <v>#N/A</v>
      </c>
      <c r="GD114" s="110" t="e">
        <f t="shared" si="175"/>
        <v>#N/A</v>
      </c>
      <c r="GE114" s="112">
        <f t="shared" si="176"/>
        <v>0</v>
      </c>
    </row>
    <row r="115" spans="1:187" x14ac:dyDescent="0.25">
      <c r="A115" s="111">
        <f>IF('3'!$AC$7="",-B115,NA())</f>
        <v>-0.5</v>
      </c>
      <c r="B115" s="110">
        <v>0.5</v>
      </c>
      <c r="C115" s="110">
        <v>30</v>
      </c>
      <c r="D115" s="115">
        <v>50000</v>
      </c>
      <c r="E115" s="110"/>
      <c r="F115" s="110"/>
      <c r="G115" s="110"/>
      <c r="H115" s="110"/>
      <c r="I115" s="110"/>
      <c r="J115" s="110"/>
      <c r="K115" s="109"/>
      <c r="L115" s="114"/>
      <c r="M115" s="110"/>
      <c r="N115" s="110"/>
      <c r="O115" s="110"/>
      <c r="P115" s="115"/>
      <c r="Q115" s="114"/>
      <c r="R115" s="110"/>
      <c r="S115" s="110"/>
      <c r="T115" s="110"/>
      <c r="U115" s="110"/>
      <c r="V115" s="115"/>
      <c r="W115" s="110"/>
      <c r="X115" s="110"/>
      <c r="Y115" s="110"/>
      <c r="Z115" s="110"/>
      <c r="AA115" s="110"/>
      <c r="AB115" s="110"/>
      <c r="AC115" s="110"/>
      <c r="AD115" s="114"/>
      <c r="AE115" s="3"/>
      <c r="AF115" s="3"/>
      <c r="AG115" s="3"/>
      <c r="AH115" s="3"/>
      <c r="AI115" s="3"/>
      <c r="AJ115" s="115"/>
      <c r="AK115" s="114"/>
      <c r="AL115" s="110"/>
      <c r="AM115" s="110"/>
      <c r="AN115" s="115"/>
      <c r="AO115" s="110"/>
      <c r="AP115" s="110"/>
      <c r="AQ115" s="110"/>
      <c r="AR115" s="110"/>
      <c r="AS115" s="110"/>
      <c r="AT115" s="114"/>
      <c r="AU115" s="3"/>
      <c r="AV115" s="3"/>
      <c r="AW115" s="3"/>
      <c r="AX115" s="3"/>
      <c r="AY115" s="113"/>
      <c r="BD115" s="84"/>
      <c r="BF115" s="157">
        <f t="shared" si="178"/>
        <v>0</v>
      </c>
      <c r="BG115" s="157">
        <f t="shared" si="179"/>
        <v>0</v>
      </c>
      <c r="BH115" s="157">
        <f t="shared" si="180"/>
        <v>0</v>
      </c>
      <c r="BI115" s="114">
        <f t="shared" si="119"/>
        <v>1</v>
      </c>
      <c r="BJ115" s="110">
        <f t="shared" si="120"/>
        <v>1</v>
      </c>
      <c r="BK115" s="116" t="e">
        <f t="shared" si="121"/>
        <v>#DIV/0!</v>
      </c>
      <c r="BL115" s="116">
        <f t="shared" si="122"/>
        <v>1</v>
      </c>
      <c r="BM115" s="154">
        <f t="shared" si="123"/>
        <v>1</v>
      </c>
      <c r="BN115" s="110">
        <f t="shared" si="124"/>
        <v>1</v>
      </c>
      <c r="BO115" s="116" t="e">
        <f t="shared" si="125"/>
        <v>#DIV/0!</v>
      </c>
      <c r="BP115" s="153">
        <f t="shared" si="126"/>
        <v>1</v>
      </c>
      <c r="BQ115" s="141"/>
      <c r="BR115" s="111">
        <f t="shared" si="181"/>
        <v>0</v>
      </c>
      <c r="BS115" s="96" t="e">
        <f t="shared" si="182"/>
        <v>#DIV/0!</v>
      </c>
      <c r="BT115" s="96" t="e">
        <f t="shared" si="183"/>
        <v>#DIV/0!</v>
      </c>
      <c r="BU115" s="96">
        <f t="shared" si="184"/>
        <v>0</v>
      </c>
      <c r="BV115" s="96"/>
      <c r="BW115" s="96">
        <f t="shared" si="132"/>
        <v>0.88764704592069232</v>
      </c>
      <c r="BX115" s="96">
        <f t="shared" si="185"/>
        <v>0.88764704592069232</v>
      </c>
      <c r="BY115" s="96">
        <f t="shared" si="186"/>
        <v>0</v>
      </c>
      <c r="BZ115" s="96" t="e">
        <f t="shared" si="187"/>
        <v>#DIV/0!</v>
      </c>
      <c r="CA115" s="96" t="e">
        <f t="shared" si="188"/>
        <v>#DIV/0!</v>
      </c>
      <c r="CB115" s="112" t="e">
        <f t="shared" si="189"/>
        <v>#DIV/0!</v>
      </c>
      <c r="CC115" s="113" t="e">
        <f t="shared" si="190"/>
        <v>#DIV/0!</v>
      </c>
      <c r="CD115" s="13" t="e">
        <f t="shared" si="191"/>
        <v>#DIV/0!</v>
      </c>
      <c r="CE115" s="84" t="e">
        <f t="shared" si="192"/>
        <v>#DIV/0!</v>
      </c>
      <c r="CF115" s="115">
        <f t="shared" si="197"/>
        <v>0</v>
      </c>
      <c r="CG115" s="110"/>
      <c r="CH115" s="96"/>
      <c r="CI115" s="96"/>
      <c r="CJ115" s="110"/>
      <c r="CK115" s="110"/>
      <c r="CL115" s="96">
        <f t="shared" si="195"/>
        <v>0</v>
      </c>
      <c r="CM115" s="96" t="e">
        <f t="shared" si="143"/>
        <v>#N/A</v>
      </c>
      <c r="CN115" s="110" t="e">
        <f t="shared" si="144"/>
        <v>#N/A</v>
      </c>
      <c r="CO115" s="112">
        <f t="shared" si="145"/>
        <v>0</v>
      </c>
      <c r="CQ115" s="111" t="e">
        <f>IF('3'!$AC$3="",-CR115,NA())</f>
        <v>#N/A</v>
      </c>
      <c r="CR115" s="110"/>
      <c r="CS115" s="110"/>
      <c r="CT115" s="115"/>
      <c r="CU115" s="110"/>
      <c r="CV115" s="110"/>
      <c r="CW115" s="110"/>
      <c r="CX115" s="110"/>
      <c r="CY115" s="110"/>
      <c r="CZ115" s="110"/>
      <c r="DA115" s="109"/>
      <c r="DB115" s="114"/>
      <c r="DC115" s="110"/>
      <c r="DD115" s="110"/>
      <c r="DE115" s="110"/>
      <c r="DF115" s="115"/>
      <c r="DG115" s="114"/>
      <c r="DH115" s="110"/>
      <c r="DI115" s="110"/>
      <c r="DJ115" s="110"/>
      <c r="DK115" s="110"/>
      <c r="DL115" s="115"/>
      <c r="DM115" s="110"/>
      <c r="DN115" s="110"/>
      <c r="DO115" s="110"/>
      <c r="DP115" s="110"/>
      <c r="DQ115" s="110"/>
      <c r="DR115" s="110"/>
      <c r="DS115" s="110"/>
      <c r="DT115" s="114"/>
      <c r="DU115" s="3"/>
      <c r="DV115" s="3"/>
      <c r="DW115" s="3"/>
      <c r="DX115" s="3"/>
      <c r="DY115" s="3"/>
      <c r="DZ115" s="115"/>
      <c r="EA115" s="114"/>
      <c r="EB115" s="110"/>
      <c r="EC115" s="110"/>
      <c r="ED115" s="115"/>
      <c r="EE115" s="110"/>
      <c r="EF115" s="110"/>
      <c r="EG115" s="110"/>
      <c r="EH115" s="110"/>
      <c r="EI115" s="110"/>
      <c r="EJ115" s="114"/>
      <c r="EK115" s="3"/>
      <c r="EL115" s="3"/>
      <c r="EM115" s="3"/>
      <c r="EN115" s="3"/>
      <c r="EO115" s="113"/>
      <c r="ET115" s="84"/>
      <c r="EU115" s="163"/>
      <c r="EV115" s="157" t="e">
        <f t="shared" si="147"/>
        <v>#DIV/0!</v>
      </c>
      <c r="EW115" s="157" t="e">
        <f t="shared" si="148"/>
        <v>#DIV/0!</v>
      </c>
      <c r="EX115" s="157" t="e">
        <f t="shared" si="149"/>
        <v>#DIV/0!</v>
      </c>
      <c r="EY115" s="114">
        <f t="shared" si="150"/>
        <v>1</v>
      </c>
      <c r="EZ115" s="110">
        <f t="shared" si="151"/>
        <v>1</v>
      </c>
      <c r="FA115" s="116" t="e">
        <f t="shared" si="152"/>
        <v>#DIV/0!</v>
      </c>
      <c r="FB115" s="116">
        <f t="shared" si="153"/>
        <v>1</v>
      </c>
      <c r="FC115" s="154">
        <f t="shared" si="154"/>
        <v>1</v>
      </c>
      <c r="FD115" s="110">
        <f t="shared" si="155"/>
        <v>1</v>
      </c>
      <c r="FE115" s="116" t="e">
        <f t="shared" si="156"/>
        <v>#DIV/0!</v>
      </c>
      <c r="FF115" s="153">
        <f t="shared" si="157"/>
        <v>1</v>
      </c>
      <c r="FG115" s="141"/>
      <c r="FH115" s="111">
        <f t="shared" si="159"/>
        <v>0</v>
      </c>
      <c r="FI115" s="96" t="e">
        <f t="shared" si="160"/>
        <v>#DIV/0!</v>
      </c>
      <c r="FJ115" s="96" t="e">
        <f t="shared" si="161"/>
        <v>#DIV/0!</v>
      </c>
      <c r="FK115" s="96">
        <f t="shared" si="162"/>
        <v>0</v>
      </c>
      <c r="FL115" s="96"/>
      <c r="FM115" s="96" t="e">
        <f t="shared" si="163"/>
        <v>#N/A</v>
      </c>
      <c r="FN115" s="96" t="e">
        <f t="shared" si="164"/>
        <v>#N/A</v>
      </c>
      <c r="FO115" s="96" t="e">
        <f t="shared" si="165"/>
        <v>#N/A</v>
      </c>
      <c r="FP115" s="96" t="e">
        <f t="shared" si="166"/>
        <v>#DIV/0!</v>
      </c>
      <c r="FQ115" s="96" t="e">
        <f t="shared" si="167"/>
        <v>#DIV/0!</v>
      </c>
      <c r="FR115" s="112" t="e">
        <f t="shared" si="168"/>
        <v>#DIV/0!</v>
      </c>
      <c r="FS115" s="113" t="e">
        <f t="shared" si="169"/>
        <v>#DIV/0!</v>
      </c>
      <c r="FT115" s="13" t="e">
        <f t="shared" si="170"/>
        <v>#DIV/0!</v>
      </c>
      <c r="FU115" s="84" t="e">
        <f t="shared" si="171"/>
        <v>#DIV/0!</v>
      </c>
      <c r="FV115" s="115">
        <f t="shared" si="198"/>
        <v>0</v>
      </c>
      <c r="FW115" s="110"/>
      <c r="FX115" s="96"/>
      <c r="FY115" s="96"/>
      <c r="FZ115" s="110"/>
      <c r="GA115" s="110"/>
      <c r="GB115" s="96">
        <f t="shared" si="196"/>
        <v>0</v>
      </c>
      <c r="GC115" s="96" t="e">
        <f t="shared" si="174"/>
        <v>#N/A</v>
      </c>
      <c r="GD115" s="110" t="e">
        <f t="shared" si="175"/>
        <v>#N/A</v>
      </c>
      <c r="GE115" s="112">
        <f t="shared" si="176"/>
        <v>0</v>
      </c>
    </row>
    <row r="116" spans="1:187" x14ac:dyDescent="0.25">
      <c r="A116" s="111">
        <f>IF('3'!$AC$7="",-B116,NA())</f>
        <v>-0.6</v>
      </c>
      <c r="B116" s="110">
        <v>0.6</v>
      </c>
      <c r="C116" s="110">
        <v>30</v>
      </c>
      <c r="D116" s="115">
        <v>50000</v>
      </c>
      <c r="E116" s="110"/>
      <c r="F116" s="110"/>
      <c r="G116" s="110"/>
      <c r="H116" s="110"/>
      <c r="I116" s="110"/>
      <c r="J116" s="110"/>
      <c r="K116" s="109"/>
      <c r="L116" s="114"/>
      <c r="M116" s="110"/>
      <c r="N116" s="110"/>
      <c r="O116" s="110"/>
      <c r="P116" s="115"/>
      <c r="Q116" s="114"/>
      <c r="R116" s="110"/>
      <c r="S116" s="110"/>
      <c r="T116" s="110"/>
      <c r="U116" s="110"/>
      <c r="V116" s="115"/>
      <c r="W116" s="110"/>
      <c r="X116" s="110"/>
      <c r="Y116" s="110"/>
      <c r="Z116" s="110"/>
      <c r="AA116" s="110"/>
      <c r="AB116" s="110"/>
      <c r="AC116" s="110"/>
      <c r="AD116" s="114"/>
      <c r="AE116" s="3"/>
      <c r="AF116" s="3"/>
      <c r="AG116" s="3"/>
      <c r="AH116" s="3"/>
      <c r="AI116" s="3"/>
      <c r="AJ116" s="115"/>
      <c r="AK116" s="114"/>
      <c r="AL116" s="110"/>
      <c r="AM116" s="110"/>
      <c r="AN116" s="115"/>
      <c r="AO116" s="110"/>
      <c r="AP116" s="110"/>
      <c r="AQ116" s="110"/>
      <c r="AR116" s="110"/>
      <c r="AS116" s="110"/>
      <c r="AT116" s="114"/>
      <c r="AU116" s="3"/>
      <c r="AV116" s="3"/>
      <c r="AW116" s="3"/>
      <c r="AX116" s="3"/>
      <c r="AY116" s="113"/>
      <c r="BD116" s="84"/>
      <c r="BF116" s="157">
        <f t="shared" si="178"/>
        <v>0</v>
      </c>
      <c r="BG116" s="157">
        <f t="shared" si="179"/>
        <v>0</v>
      </c>
      <c r="BH116" s="157">
        <f t="shared" si="180"/>
        <v>0</v>
      </c>
      <c r="BI116" s="114">
        <f t="shared" si="119"/>
        <v>1</v>
      </c>
      <c r="BJ116" s="110">
        <f t="shared" si="120"/>
        <v>1</v>
      </c>
      <c r="BK116" s="116" t="e">
        <f t="shared" si="121"/>
        <v>#DIV/0!</v>
      </c>
      <c r="BL116" s="116">
        <f t="shared" si="122"/>
        <v>1</v>
      </c>
      <c r="BM116" s="154">
        <f t="shared" si="123"/>
        <v>1</v>
      </c>
      <c r="BN116" s="110">
        <f t="shared" si="124"/>
        <v>1</v>
      </c>
      <c r="BO116" s="116" t="e">
        <f t="shared" si="125"/>
        <v>#DIV/0!</v>
      </c>
      <c r="BP116" s="153">
        <f t="shared" si="126"/>
        <v>1</v>
      </c>
      <c r="BQ116" s="141"/>
      <c r="BR116" s="111">
        <f t="shared" si="181"/>
        <v>0</v>
      </c>
      <c r="BS116" s="96" t="e">
        <f t="shared" si="182"/>
        <v>#DIV/0!</v>
      </c>
      <c r="BT116" s="96" t="e">
        <f t="shared" si="183"/>
        <v>#DIV/0!</v>
      </c>
      <c r="BU116" s="96">
        <f t="shared" si="184"/>
        <v>0</v>
      </c>
      <c r="BV116" s="96"/>
      <c r="BW116" s="96">
        <f t="shared" si="132"/>
        <v>0.85576447930058497</v>
      </c>
      <c r="BX116" s="96">
        <f t="shared" si="185"/>
        <v>0.85576447930058497</v>
      </c>
      <c r="BY116" s="96">
        <f t="shared" si="186"/>
        <v>0</v>
      </c>
      <c r="BZ116" s="96" t="e">
        <f t="shared" si="187"/>
        <v>#DIV/0!</v>
      </c>
      <c r="CA116" s="96" t="e">
        <f t="shared" si="188"/>
        <v>#DIV/0!</v>
      </c>
      <c r="CB116" s="112" t="e">
        <f t="shared" si="189"/>
        <v>#DIV/0!</v>
      </c>
      <c r="CC116" s="113" t="e">
        <f t="shared" si="190"/>
        <v>#DIV/0!</v>
      </c>
      <c r="CD116" s="13" t="e">
        <f t="shared" si="191"/>
        <v>#DIV/0!</v>
      </c>
      <c r="CE116" s="84" t="e">
        <f t="shared" si="192"/>
        <v>#DIV/0!</v>
      </c>
      <c r="CF116" s="112">
        <f t="shared" si="197"/>
        <v>0</v>
      </c>
      <c r="CG116" s="110"/>
      <c r="CH116" s="96"/>
      <c r="CI116" s="96"/>
      <c r="CJ116" s="110"/>
      <c r="CK116" s="110"/>
      <c r="CL116" s="96">
        <f t="shared" si="195"/>
        <v>0</v>
      </c>
      <c r="CM116" s="96" t="e">
        <f t="shared" si="143"/>
        <v>#N/A</v>
      </c>
      <c r="CN116" s="110" t="e">
        <f t="shared" si="144"/>
        <v>#N/A</v>
      </c>
      <c r="CO116" s="112">
        <f t="shared" si="145"/>
        <v>0</v>
      </c>
      <c r="CQ116" s="111" t="e">
        <f>IF('3'!$AC$3="",-CR116,NA())</f>
        <v>#N/A</v>
      </c>
      <c r="CR116" s="110"/>
      <c r="CS116" s="110"/>
      <c r="CT116" s="115"/>
      <c r="CU116" s="110"/>
      <c r="CV116" s="110"/>
      <c r="CW116" s="110"/>
      <c r="CX116" s="110"/>
      <c r="CY116" s="110"/>
      <c r="CZ116" s="110"/>
      <c r="DA116" s="109"/>
      <c r="DB116" s="114"/>
      <c r="DC116" s="110"/>
      <c r="DD116" s="110"/>
      <c r="DE116" s="110"/>
      <c r="DF116" s="115"/>
      <c r="DG116" s="114"/>
      <c r="DH116" s="110"/>
      <c r="DI116" s="110"/>
      <c r="DJ116" s="110"/>
      <c r="DK116" s="110"/>
      <c r="DL116" s="115"/>
      <c r="DM116" s="110"/>
      <c r="DN116" s="110"/>
      <c r="DO116" s="110"/>
      <c r="DP116" s="110"/>
      <c r="DQ116" s="110"/>
      <c r="DR116" s="110"/>
      <c r="DS116" s="110"/>
      <c r="DT116" s="114"/>
      <c r="DU116" s="3"/>
      <c r="DV116" s="3"/>
      <c r="DW116" s="3"/>
      <c r="DX116" s="3"/>
      <c r="DY116" s="3"/>
      <c r="DZ116" s="115"/>
      <c r="EA116" s="114"/>
      <c r="EB116" s="110"/>
      <c r="EC116" s="110"/>
      <c r="ED116" s="115"/>
      <c r="EE116" s="110"/>
      <c r="EF116" s="110"/>
      <c r="EG116" s="110"/>
      <c r="EH116" s="110"/>
      <c r="EI116" s="110"/>
      <c r="EJ116" s="114"/>
      <c r="EK116" s="3"/>
      <c r="EL116" s="3"/>
      <c r="EM116" s="3"/>
      <c r="EN116" s="3"/>
      <c r="EO116" s="113"/>
      <c r="ET116" s="84"/>
      <c r="EU116" s="163"/>
      <c r="EV116" s="157" t="e">
        <f t="shared" si="147"/>
        <v>#DIV/0!</v>
      </c>
      <c r="EW116" s="157" t="e">
        <f t="shared" si="148"/>
        <v>#DIV/0!</v>
      </c>
      <c r="EX116" s="157" t="e">
        <f t="shared" si="149"/>
        <v>#DIV/0!</v>
      </c>
      <c r="EY116" s="114">
        <f t="shared" si="150"/>
        <v>1</v>
      </c>
      <c r="EZ116" s="110">
        <f t="shared" si="151"/>
        <v>1</v>
      </c>
      <c r="FA116" s="116" t="e">
        <f t="shared" si="152"/>
        <v>#DIV/0!</v>
      </c>
      <c r="FB116" s="116">
        <f t="shared" si="153"/>
        <v>1</v>
      </c>
      <c r="FC116" s="154">
        <f t="shared" si="154"/>
        <v>1</v>
      </c>
      <c r="FD116" s="110">
        <f t="shared" si="155"/>
        <v>1</v>
      </c>
      <c r="FE116" s="116" t="e">
        <f t="shared" si="156"/>
        <v>#DIV/0!</v>
      </c>
      <c r="FF116" s="153">
        <f t="shared" si="157"/>
        <v>1</v>
      </c>
      <c r="FG116" s="141"/>
      <c r="FH116" s="111">
        <f t="shared" si="159"/>
        <v>0</v>
      </c>
      <c r="FI116" s="96" t="e">
        <f t="shared" si="160"/>
        <v>#DIV/0!</v>
      </c>
      <c r="FJ116" s="96" t="e">
        <f t="shared" si="161"/>
        <v>#DIV/0!</v>
      </c>
      <c r="FK116" s="96">
        <f t="shared" si="162"/>
        <v>0</v>
      </c>
      <c r="FL116" s="96"/>
      <c r="FM116" s="96" t="e">
        <f t="shared" si="163"/>
        <v>#N/A</v>
      </c>
      <c r="FN116" s="96" t="e">
        <f t="shared" si="164"/>
        <v>#N/A</v>
      </c>
      <c r="FO116" s="96" t="e">
        <f t="shared" si="165"/>
        <v>#N/A</v>
      </c>
      <c r="FP116" s="96" t="e">
        <f t="shared" si="166"/>
        <v>#DIV/0!</v>
      </c>
      <c r="FQ116" s="96" t="e">
        <f t="shared" si="167"/>
        <v>#DIV/0!</v>
      </c>
      <c r="FR116" s="112" t="e">
        <f t="shared" si="168"/>
        <v>#DIV/0!</v>
      </c>
      <c r="FS116" s="113" t="e">
        <f t="shared" si="169"/>
        <v>#DIV/0!</v>
      </c>
      <c r="FT116" s="13" t="e">
        <f t="shared" si="170"/>
        <v>#DIV/0!</v>
      </c>
      <c r="FU116" s="84" t="e">
        <f t="shared" si="171"/>
        <v>#DIV/0!</v>
      </c>
      <c r="FV116" s="112">
        <f t="shared" si="198"/>
        <v>0</v>
      </c>
      <c r="FW116" s="110"/>
      <c r="FX116" s="96"/>
      <c r="FY116" s="96"/>
      <c r="FZ116" s="110"/>
      <c r="GA116" s="110"/>
      <c r="GB116" s="96">
        <f t="shared" si="196"/>
        <v>0</v>
      </c>
      <c r="GC116" s="96" t="e">
        <f t="shared" si="174"/>
        <v>#N/A</v>
      </c>
      <c r="GD116" s="110" t="e">
        <f t="shared" si="175"/>
        <v>#N/A</v>
      </c>
      <c r="GE116" s="112">
        <f t="shared" si="176"/>
        <v>0</v>
      </c>
    </row>
    <row r="117" spans="1:187" x14ac:dyDescent="0.25">
      <c r="A117" s="111">
        <f>IF('3'!$AC$7="",-B117,NA())</f>
        <v>-0.7</v>
      </c>
      <c r="B117" s="110">
        <v>0.7</v>
      </c>
      <c r="C117" s="110">
        <v>45</v>
      </c>
      <c r="D117" s="115">
        <v>50000</v>
      </c>
      <c r="E117" s="110"/>
      <c r="F117" s="110"/>
      <c r="G117" s="110"/>
      <c r="H117" s="110"/>
      <c r="I117" s="110"/>
      <c r="J117" s="110"/>
      <c r="K117" s="109"/>
      <c r="L117" s="114"/>
      <c r="M117" s="110"/>
      <c r="N117" s="110"/>
      <c r="O117" s="110"/>
      <c r="P117" s="115"/>
      <c r="Q117" s="114"/>
      <c r="R117" s="110"/>
      <c r="S117" s="110"/>
      <c r="T117" s="110"/>
      <c r="U117" s="110"/>
      <c r="V117" s="115"/>
      <c r="W117" s="110"/>
      <c r="X117" s="110"/>
      <c r="Y117" s="110"/>
      <c r="Z117" s="110"/>
      <c r="AA117" s="110"/>
      <c r="AB117" s="110"/>
      <c r="AC117" s="110"/>
      <c r="AD117" s="114"/>
      <c r="AE117" s="3"/>
      <c r="AF117" s="3"/>
      <c r="AG117" s="3"/>
      <c r="AH117" s="3"/>
      <c r="AI117" s="3"/>
      <c r="AJ117" s="115"/>
      <c r="AK117" s="114"/>
      <c r="AL117" s="110"/>
      <c r="AM117" s="110"/>
      <c r="AN117" s="115"/>
      <c r="AO117" s="110"/>
      <c r="AP117" s="110"/>
      <c r="AQ117" s="110"/>
      <c r="AR117" s="110"/>
      <c r="AS117" s="110"/>
      <c r="AT117" s="114"/>
      <c r="AU117" s="3"/>
      <c r="AV117" s="3"/>
      <c r="AW117" s="3"/>
      <c r="AX117" s="3"/>
      <c r="AY117" s="113"/>
      <c r="BD117" s="84"/>
      <c r="BF117" s="157">
        <f t="shared" si="178"/>
        <v>0</v>
      </c>
      <c r="BG117" s="157">
        <f t="shared" si="179"/>
        <v>0</v>
      </c>
      <c r="BH117" s="157">
        <f t="shared" si="180"/>
        <v>0</v>
      </c>
      <c r="BI117" s="114">
        <f t="shared" si="119"/>
        <v>1</v>
      </c>
      <c r="BJ117" s="110">
        <f t="shared" si="120"/>
        <v>1</v>
      </c>
      <c r="BK117" s="116" t="e">
        <f t="shared" si="121"/>
        <v>#DIV/0!</v>
      </c>
      <c r="BL117" s="116">
        <f t="shared" si="122"/>
        <v>1</v>
      </c>
      <c r="BM117" s="154">
        <f t="shared" si="123"/>
        <v>1</v>
      </c>
      <c r="BN117" s="110">
        <f t="shared" si="124"/>
        <v>1</v>
      </c>
      <c r="BO117" s="116" t="e">
        <f t="shared" si="125"/>
        <v>#DIV/0!</v>
      </c>
      <c r="BP117" s="153">
        <f t="shared" si="126"/>
        <v>1</v>
      </c>
      <c r="BQ117" s="141"/>
      <c r="BR117" s="111">
        <f t="shared" si="181"/>
        <v>0</v>
      </c>
      <c r="BS117" s="96" t="e">
        <f t="shared" si="182"/>
        <v>#DIV/0!</v>
      </c>
      <c r="BT117" s="96" t="e">
        <f t="shared" si="183"/>
        <v>#DIV/0!</v>
      </c>
      <c r="BU117" s="96">
        <f t="shared" si="184"/>
        <v>0</v>
      </c>
      <c r="BV117" s="96"/>
      <c r="BW117" s="96">
        <f t="shared" si="132"/>
        <v>0.81634468150249617</v>
      </c>
      <c r="BX117" s="96">
        <f t="shared" si="185"/>
        <v>0.81634468150249617</v>
      </c>
      <c r="BY117" s="96">
        <f t="shared" si="186"/>
        <v>0</v>
      </c>
      <c r="BZ117" s="96" t="e">
        <f t="shared" si="187"/>
        <v>#DIV/0!</v>
      </c>
      <c r="CA117" s="96" t="e">
        <f t="shared" si="188"/>
        <v>#DIV/0!</v>
      </c>
      <c r="CB117" s="112" t="e">
        <f t="shared" si="189"/>
        <v>#DIV/0!</v>
      </c>
      <c r="CC117" s="113" t="e">
        <f t="shared" si="190"/>
        <v>#DIV/0!</v>
      </c>
      <c r="CD117" s="13" t="e">
        <f t="shared" si="191"/>
        <v>#DIV/0!</v>
      </c>
      <c r="CE117" s="84" t="e">
        <f t="shared" si="192"/>
        <v>#DIV/0!</v>
      </c>
      <c r="CF117" s="112">
        <f t="shared" si="197"/>
        <v>0</v>
      </c>
      <c r="CG117" s="110"/>
      <c r="CH117" s="96"/>
      <c r="CI117" s="96"/>
      <c r="CJ117" s="110"/>
      <c r="CK117" s="110"/>
      <c r="CL117" s="96">
        <f t="shared" si="195"/>
        <v>0</v>
      </c>
      <c r="CM117" s="96" t="e">
        <f t="shared" si="143"/>
        <v>#N/A</v>
      </c>
      <c r="CN117" s="110" t="e">
        <f t="shared" si="144"/>
        <v>#N/A</v>
      </c>
      <c r="CO117" s="112">
        <f t="shared" si="145"/>
        <v>0</v>
      </c>
      <c r="CQ117" s="111" t="e">
        <f>IF('3'!$AC$3="",-CR117,NA())</f>
        <v>#N/A</v>
      </c>
      <c r="CR117" s="110"/>
      <c r="CS117" s="110"/>
      <c r="CT117" s="115"/>
      <c r="CU117" s="110"/>
      <c r="CV117" s="110"/>
      <c r="CW117" s="110"/>
      <c r="CX117" s="110"/>
      <c r="CY117" s="110"/>
      <c r="CZ117" s="110"/>
      <c r="DA117" s="109"/>
      <c r="DB117" s="114"/>
      <c r="DC117" s="110"/>
      <c r="DD117" s="110"/>
      <c r="DE117" s="110"/>
      <c r="DF117" s="115"/>
      <c r="DG117" s="114"/>
      <c r="DH117" s="110"/>
      <c r="DI117" s="110"/>
      <c r="DJ117" s="110"/>
      <c r="DK117" s="110"/>
      <c r="DL117" s="115"/>
      <c r="DM117" s="110"/>
      <c r="DN117" s="110"/>
      <c r="DO117" s="110"/>
      <c r="DP117" s="110"/>
      <c r="DQ117" s="110"/>
      <c r="DR117" s="110"/>
      <c r="DS117" s="110"/>
      <c r="DT117" s="114"/>
      <c r="DU117" s="3"/>
      <c r="DV117" s="3"/>
      <c r="DW117" s="3"/>
      <c r="DX117" s="3"/>
      <c r="DY117" s="3"/>
      <c r="DZ117" s="115"/>
      <c r="EA117" s="114"/>
      <c r="EB117" s="110"/>
      <c r="EC117" s="110"/>
      <c r="ED117" s="115"/>
      <c r="EE117" s="110"/>
      <c r="EF117" s="110"/>
      <c r="EG117" s="110"/>
      <c r="EH117" s="110"/>
      <c r="EI117" s="110"/>
      <c r="EJ117" s="114"/>
      <c r="EK117" s="3"/>
      <c r="EL117" s="3"/>
      <c r="EM117" s="3"/>
      <c r="EN117" s="3"/>
      <c r="EO117" s="113"/>
      <c r="ET117" s="84"/>
      <c r="EU117" s="163"/>
      <c r="EV117" s="157" t="e">
        <f t="shared" si="147"/>
        <v>#DIV/0!</v>
      </c>
      <c r="EW117" s="157" t="e">
        <f t="shared" si="148"/>
        <v>#DIV/0!</v>
      </c>
      <c r="EX117" s="157" t="e">
        <f t="shared" si="149"/>
        <v>#DIV/0!</v>
      </c>
      <c r="EY117" s="114">
        <f t="shared" si="150"/>
        <v>1</v>
      </c>
      <c r="EZ117" s="110">
        <f t="shared" si="151"/>
        <v>1</v>
      </c>
      <c r="FA117" s="116" t="e">
        <f t="shared" si="152"/>
        <v>#DIV/0!</v>
      </c>
      <c r="FB117" s="116">
        <f t="shared" si="153"/>
        <v>1</v>
      </c>
      <c r="FC117" s="154">
        <f t="shared" si="154"/>
        <v>1</v>
      </c>
      <c r="FD117" s="110">
        <f t="shared" si="155"/>
        <v>1</v>
      </c>
      <c r="FE117" s="116" t="e">
        <f t="shared" si="156"/>
        <v>#DIV/0!</v>
      </c>
      <c r="FF117" s="153">
        <f t="shared" si="157"/>
        <v>1</v>
      </c>
      <c r="FG117" s="141"/>
      <c r="FH117" s="111">
        <f t="shared" si="159"/>
        <v>0</v>
      </c>
      <c r="FI117" s="96" t="e">
        <f t="shared" si="160"/>
        <v>#DIV/0!</v>
      </c>
      <c r="FJ117" s="96" t="e">
        <f t="shared" si="161"/>
        <v>#DIV/0!</v>
      </c>
      <c r="FK117" s="96">
        <f t="shared" si="162"/>
        <v>0</v>
      </c>
      <c r="FL117" s="96"/>
      <c r="FM117" s="96" t="e">
        <f t="shared" si="163"/>
        <v>#N/A</v>
      </c>
      <c r="FN117" s="96" t="e">
        <f t="shared" si="164"/>
        <v>#N/A</v>
      </c>
      <c r="FO117" s="96" t="e">
        <f t="shared" si="165"/>
        <v>#N/A</v>
      </c>
      <c r="FP117" s="96" t="e">
        <f t="shared" si="166"/>
        <v>#DIV/0!</v>
      </c>
      <c r="FQ117" s="96" t="e">
        <f t="shared" si="167"/>
        <v>#DIV/0!</v>
      </c>
      <c r="FR117" s="112" t="e">
        <f t="shared" si="168"/>
        <v>#DIV/0!</v>
      </c>
      <c r="FS117" s="113" t="e">
        <f t="shared" si="169"/>
        <v>#DIV/0!</v>
      </c>
      <c r="FT117" s="13" t="e">
        <f t="shared" si="170"/>
        <v>#DIV/0!</v>
      </c>
      <c r="FU117" s="84" t="e">
        <f t="shared" si="171"/>
        <v>#DIV/0!</v>
      </c>
      <c r="FV117" s="112">
        <f t="shared" si="198"/>
        <v>0</v>
      </c>
      <c r="FW117" s="110"/>
      <c r="FX117" s="96"/>
      <c r="FY117" s="96"/>
      <c r="FZ117" s="110"/>
      <c r="GA117" s="110"/>
      <c r="GB117" s="96">
        <f t="shared" si="196"/>
        <v>0</v>
      </c>
      <c r="GC117" s="96" t="e">
        <f t="shared" si="174"/>
        <v>#N/A</v>
      </c>
      <c r="GD117" s="110" t="e">
        <f t="shared" si="175"/>
        <v>#N/A</v>
      </c>
      <c r="GE117" s="112">
        <f t="shared" si="176"/>
        <v>0</v>
      </c>
    </row>
    <row r="118" spans="1:187" x14ac:dyDescent="0.25">
      <c r="A118" s="111">
        <f>IF('3'!$AC$7="",-B118,NA())</f>
        <v>-0.8</v>
      </c>
      <c r="B118" s="110">
        <v>0.8</v>
      </c>
      <c r="C118" s="110">
        <v>45</v>
      </c>
      <c r="D118" s="115">
        <v>50000</v>
      </c>
      <c r="E118" s="110"/>
      <c r="F118" s="110"/>
      <c r="G118" s="110"/>
      <c r="H118" s="110"/>
      <c r="I118" s="110"/>
      <c r="J118" s="110"/>
      <c r="K118" s="109"/>
      <c r="L118" s="114"/>
      <c r="M118" s="110"/>
      <c r="N118" s="110"/>
      <c r="O118" s="110"/>
      <c r="P118" s="115"/>
      <c r="Q118" s="114"/>
      <c r="R118" s="110"/>
      <c r="S118" s="110"/>
      <c r="T118" s="110"/>
      <c r="U118" s="110"/>
      <c r="V118" s="115"/>
      <c r="W118" s="110"/>
      <c r="X118" s="110"/>
      <c r="Y118" s="110"/>
      <c r="Z118" s="110"/>
      <c r="AA118" s="110"/>
      <c r="AB118" s="110"/>
      <c r="AC118" s="110"/>
      <c r="AD118" s="114"/>
      <c r="AE118" s="3"/>
      <c r="AF118" s="3"/>
      <c r="AG118" s="3"/>
      <c r="AH118" s="3"/>
      <c r="AI118" s="3"/>
      <c r="AJ118" s="115"/>
      <c r="AK118" s="114"/>
      <c r="AL118" s="110"/>
      <c r="AM118" s="110"/>
      <c r="AN118" s="115"/>
      <c r="AO118" s="110"/>
      <c r="AP118" s="110"/>
      <c r="AQ118" s="110"/>
      <c r="AR118" s="110"/>
      <c r="AS118" s="110"/>
      <c r="AT118" s="114"/>
      <c r="AU118" s="3"/>
      <c r="AV118" s="3"/>
      <c r="AW118" s="3"/>
      <c r="AX118" s="3"/>
      <c r="AY118" s="113"/>
      <c r="BD118" s="84"/>
      <c r="BF118" s="157">
        <f t="shared" si="178"/>
        <v>0</v>
      </c>
      <c r="BG118" s="157">
        <f t="shared" si="179"/>
        <v>0</v>
      </c>
      <c r="BH118" s="157">
        <f t="shared" si="180"/>
        <v>0</v>
      </c>
      <c r="BI118" s="114">
        <f t="shared" si="119"/>
        <v>1</v>
      </c>
      <c r="BJ118" s="110">
        <f t="shared" si="120"/>
        <v>1</v>
      </c>
      <c r="BK118" s="116" t="e">
        <f t="shared" si="121"/>
        <v>#DIV/0!</v>
      </c>
      <c r="BL118" s="116">
        <f t="shared" si="122"/>
        <v>1</v>
      </c>
      <c r="BM118" s="154">
        <f t="shared" si="123"/>
        <v>1</v>
      </c>
      <c r="BN118" s="110">
        <f t="shared" si="124"/>
        <v>1</v>
      </c>
      <c r="BO118" s="116" t="e">
        <f t="shared" si="125"/>
        <v>#DIV/0!</v>
      </c>
      <c r="BP118" s="153">
        <f t="shared" si="126"/>
        <v>1</v>
      </c>
      <c r="BQ118" s="141"/>
      <c r="BR118" s="111">
        <f t="shared" si="181"/>
        <v>0</v>
      </c>
      <c r="BS118" s="96" t="e">
        <f t="shared" si="182"/>
        <v>#DIV/0!</v>
      </c>
      <c r="BT118" s="96" t="e">
        <f t="shared" si="183"/>
        <v>#DIV/0!</v>
      </c>
      <c r="BU118" s="96">
        <f t="shared" si="184"/>
        <v>0</v>
      </c>
      <c r="BV118" s="96"/>
      <c r="BW118" s="96">
        <f t="shared" si="132"/>
        <v>0.76384925376347856</v>
      </c>
      <c r="BX118" s="96">
        <f t="shared" si="185"/>
        <v>0.76384925376347856</v>
      </c>
      <c r="BY118" s="96">
        <f t="shared" si="186"/>
        <v>0</v>
      </c>
      <c r="BZ118" s="96" t="e">
        <f t="shared" si="187"/>
        <v>#DIV/0!</v>
      </c>
      <c r="CA118" s="96" t="e">
        <f t="shared" si="188"/>
        <v>#DIV/0!</v>
      </c>
      <c r="CB118" s="112" t="e">
        <f t="shared" si="189"/>
        <v>#DIV/0!</v>
      </c>
      <c r="CC118" s="113" t="e">
        <f t="shared" si="190"/>
        <v>#DIV/0!</v>
      </c>
      <c r="CD118" s="13" t="e">
        <f t="shared" si="191"/>
        <v>#DIV/0!</v>
      </c>
      <c r="CE118" s="84" t="e">
        <f t="shared" si="192"/>
        <v>#DIV/0!</v>
      </c>
      <c r="CF118" s="112">
        <f t="shared" si="197"/>
        <v>0</v>
      </c>
      <c r="CG118" s="111"/>
      <c r="CH118" s="96"/>
      <c r="CI118" s="96"/>
      <c r="CJ118" s="110"/>
      <c r="CK118" s="110"/>
      <c r="CL118" s="96">
        <f t="shared" si="195"/>
        <v>0</v>
      </c>
      <c r="CM118" s="96" t="e">
        <f t="shared" si="143"/>
        <v>#N/A</v>
      </c>
      <c r="CN118" s="110" t="e">
        <f t="shared" si="144"/>
        <v>#N/A</v>
      </c>
      <c r="CO118" s="112">
        <f t="shared" si="145"/>
        <v>0</v>
      </c>
      <c r="CQ118" s="111" t="e">
        <f>IF('3'!$AC$3="",-CR118,NA())</f>
        <v>#N/A</v>
      </c>
      <c r="CR118" s="110"/>
      <c r="CS118" s="110"/>
      <c r="CT118" s="115"/>
      <c r="CU118" s="110"/>
      <c r="CV118" s="110"/>
      <c r="CW118" s="110"/>
      <c r="CX118" s="110"/>
      <c r="CY118" s="110"/>
      <c r="CZ118" s="110"/>
      <c r="DA118" s="109"/>
      <c r="DB118" s="114"/>
      <c r="DC118" s="110"/>
      <c r="DD118" s="110"/>
      <c r="DE118" s="110"/>
      <c r="DF118" s="115"/>
      <c r="DG118" s="114"/>
      <c r="DH118" s="110"/>
      <c r="DI118" s="110"/>
      <c r="DJ118" s="110"/>
      <c r="DK118" s="110"/>
      <c r="DL118" s="115"/>
      <c r="DM118" s="110"/>
      <c r="DN118" s="110"/>
      <c r="DO118" s="110"/>
      <c r="DP118" s="110"/>
      <c r="DQ118" s="110"/>
      <c r="DR118" s="110"/>
      <c r="DS118" s="110"/>
      <c r="DT118" s="114"/>
      <c r="DU118" s="3"/>
      <c r="DV118" s="3"/>
      <c r="DW118" s="3"/>
      <c r="DX118" s="3"/>
      <c r="DY118" s="3"/>
      <c r="DZ118" s="115"/>
      <c r="EA118" s="114"/>
      <c r="EB118" s="110"/>
      <c r="EC118" s="110"/>
      <c r="ED118" s="115"/>
      <c r="EE118" s="110"/>
      <c r="EF118" s="110"/>
      <c r="EG118" s="110"/>
      <c r="EH118" s="110"/>
      <c r="EI118" s="110"/>
      <c r="EJ118" s="114"/>
      <c r="EK118" s="3"/>
      <c r="EL118" s="3"/>
      <c r="EM118" s="3"/>
      <c r="EN118" s="3"/>
      <c r="EO118" s="113"/>
      <c r="ET118" s="84"/>
      <c r="EU118" s="163"/>
      <c r="EV118" s="157" t="e">
        <f t="shared" si="147"/>
        <v>#DIV/0!</v>
      </c>
      <c r="EW118" s="157" t="e">
        <f t="shared" si="148"/>
        <v>#DIV/0!</v>
      </c>
      <c r="EX118" s="157" t="e">
        <f t="shared" si="149"/>
        <v>#DIV/0!</v>
      </c>
      <c r="EY118" s="114">
        <f t="shared" si="150"/>
        <v>1</v>
      </c>
      <c r="EZ118" s="110">
        <f t="shared" si="151"/>
        <v>1</v>
      </c>
      <c r="FA118" s="116" t="e">
        <f t="shared" si="152"/>
        <v>#DIV/0!</v>
      </c>
      <c r="FB118" s="116">
        <f t="shared" si="153"/>
        <v>1</v>
      </c>
      <c r="FC118" s="154">
        <f t="shared" si="154"/>
        <v>1</v>
      </c>
      <c r="FD118" s="110">
        <f t="shared" si="155"/>
        <v>1</v>
      </c>
      <c r="FE118" s="116" t="e">
        <f t="shared" si="156"/>
        <v>#DIV/0!</v>
      </c>
      <c r="FF118" s="153">
        <f t="shared" si="157"/>
        <v>1</v>
      </c>
      <c r="FG118" s="141"/>
      <c r="FH118" s="111">
        <f t="shared" si="159"/>
        <v>0</v>
      </c>
      <c r="FI118" s="96" t="e">
        <f t="shared" si="160"/>
        <v>#DIV/0!</v>
      </c>
      <c r="FJ118" s="96" t="e">
        <f t="shared" si="161"/>
        <v>#DIV/0!</v>
      </c>
      <c r="FK118" s="96">
        <f t="shared" si="162"/>
        <v>0</v>
      </c>
      <c r="FL118" s="96"/>
      <c r="FM118" s="96" t="e">
        <f t="shared" si="163"/>
        <v>#N/A</v>
      </c>
      <c r="FN118" s="96" t="e">
        <f t="shared" si="164"/>
        <v>#N/A</v>
      </c>
      <c r="FO118" s="96" t="e">
        <f t="shared" si="165"/>
        <v>#N/A</v>
      </c>
      <c r="FP118" s="96" t="e">
        <f t="shared" si="166"/>
        <v>#DIV/0!</v>
      </c>
      <c r="FQ118" s="96" t="e">
        <f t="shared" si="167"/>
        <v>#DIV/0!</v>
      </c>
      <c r="FR118" s="112" t="e">
        <f t="shared" si="168"/>
        <v>#DIV/0!</v>
      </c>
      <c r="FS118" s="113" t="e">
        <f t="shared" si="169"/>
        <v>#DIV/0!</v>
      </c>
      <c r="FT118" s="13" t="e">
        <f t="shared" si="170"/>
        <v>#DIV/0!</v>
      </c>
      <c r="FU118" s="84" t="e">
        <f t="shared" si="171"/>
        <v>#DIV/0!</v>
      </c>
      <c r="FV118" s="112">
        <f t="shared" si="198"/>
        <v>0</v>
      </c>
      <c r="FW118" s="111"/>
      <c r="FX118" s="96"/>
      <c r="FY118" s="96"/>
      <c r="FZ118" s="110"/>
      <c r="GA118" s="110"/>
      <c r="GB118" s="96">
        <f t="shared" si="196"/>
        <v>0</v>
      </c>
      <c r="GC118" s="96" t="e">
        <f t="shared" si="174"/>
        <v>#N/A</v>
      </c>
      <c r="GD118" s="110" t="e">
        <f t="shared" si="175"/>
        <v>#N/A</v>
      </c>
      <c r="GE118" s="112">
        <f t="shared" si="176"/>
        <v>0</v>
      </c>
    </row>
    <row r="119" spans="1:187" x14ac:dyDescent="0.25">
      <c r="A119" s="111">
        <f>IF('3'!$AC$7="",-B119,NA())</f>
        <v>-0.9</v>
      </c>
      <c r="B119" s="110">
        <v>0.9</v>
      </c>
      <c r="C119" s="110">
        <v>30</v>
      </c>
      <c r="D119" s="115">
        <v>50000</v>
      </c>
      <c r="E119" s="110"/>
      <c r="F119" s="110"/>
      <c r="G119" s="110"/>
      <c r="H119" s="110"/>
      <c r="I119" s="110"/>
      <c r="J119" s="110"/>
      <c r="K119" s="109"/>
      <c r="L119" s="114"/>
      <c r="M119" s="110"/>
      <c r="N119" s="110"/>
      <c r="O119" s="110"/>
      <c r="P119" s="115"/>
      <c r="Q119" s="114"/>
      <c r="R119" s="110"/>
      <c r="S119" s="110"/>
      <c r="T119" s="110"/>
      <c r="U119" s="110"/>
      <c r="V119" s="115"/>
      <c r="W119" s="110"/>
      <c r="X119" s="110"/>
      <c r="Y119" s="110"/>
      <c r="Z119" s="110"/>
      <c r="AA119" s="110"/>
      <c r="AB119" s="110"/>
      <c r="AC119" s="110"/>
      <c r="AD119" s="114"/>
      <c r="AE119" s="3"/>
      <c r="AF119" s="3"/>
      <c r="AG119" s="3"/>
      <c r="AH119" s="3"/>
      <c r="AI119" s="3"/>
      <c r="AJ119" s="115"/>
      <c r="AK119" s="114"/>
      <c r="AL119" s="110"/>
      <c r="AM119" s="110"/>
      <c r="AN119" s="115"/>
      <c r="AO119" s="110"/>
      <c r="AP119" s="110"/>
      <c r="AQ119" s="110"/>
      <c r="AR119" s="110"/>
      <c r="AS119" s="110"/>
      <c r="AT119" s="114"/>
      <c r="AU119" s="3"/>
      <c r="AV119" s="3"/>
      <c r="AW119" s="3"/>
      <c r="AX119" s="3"/>
      <c r="AY119" s="113"/>
      <c r="BD119" s="84"/>
      <c r="BF119" s="157">
        <f t="shared" si="178"/>
        <v>0</v>
      </c>
      <c r="BG119" s="157">
        <f t="shared" si="179"/>
        <v>0</v>
      </c>
      <c r="BH119" s="157">
        <f t="shared" si="180"/>
        <v>0</v>
      </c>
      <c r="BI119" s="114">
        <f t="shared" si="119"/>
        <v>1</v>
      </c>
      <c r="BJ119" s="110">
        <f t="shared" si="120"/>
        <v>1</v>
      </c>
      <c r="BK119" s="116" t="e">
        <f t="shared" si="121"/>
        <v>#DIV/0!</v>
      </c>
      <c r="BL119" s="116">
        <f t="shared" si="122"/>
        <v>1</v>
      </c>
      <c r="BM119" s="154">
        <f t="shared" si="123"/>
        <v>1</v>
      </c>
      <c r="BN119" s="110">
        <f t="shared" si="124"/>
        <v>1</v>
      </c>
      <c r="BO119" s="116" t="e">
        <f t="shared" si="125"/>
        <v>#DIV/0!</v>
      </c>
      <c r="BP119" s="153">
        <f t="shared" si="126"/>
        <v>1</v>
      </c>
      <c r="BQ119" s="141"/>
      <c r="BR119" s="111">
        <f t="shared" si="181"/>
        <v>0</v>
      </c>
      <c r="BS119" s="96" t="e">
        <f t="shared" si="182"/>
        <v>#DIV/0!</v>
      </c>
      <c r="BT119" s="96" t="e">
        <f t="shared" si="183"/>
        <v>#DIV/0!</v>
      </c>
      <c r="BU119" s="96">
        <f t="shared" si="184"/>
        <v>0</v>
      </c>
      <c r="BV119" s="96"/>
      <c r="BW119" s="96">
        <f t="shared" si="132"/>
        <v>0.68180638083025913</v>
      </c>
      <c r="BX119" s="96">
        <f t="shared" si="185"/>
        <v>0.68180638083025913</v>
      </c>
      <c r="BY119" s="96">
        <f t="shared" si="186"/>
        <v>0</v>
      </c>
      <c r="BZ119" s="96" t="e">
        <f t="shared" si="187"/>
        <v>#DIV/0!</v>
      </c>
      <c r="CA119" s="96" t="e">
        <f t="shared" si="188"/>
        <v>#DIV/0!</v>
      </c>
      <c r="CB119" s="112" t="e">
        <f t="shared" si="189"/>
        <v>#DIV/0!</v>
      </c>
      <c r="CC119" s="113" t="e">
        <f t="shared" si="190"/>
        <v>#DIV/0!</v>
      </c>
      <c r="CD119" s="13" t="e">
        <f t="shared" si="191"/>
        <v>#DIV/0!</v>
      </c>
      <c r="CE119" s="84" t="e">
        <f t="shared" si="192"/>
        <v>#DIV/0!</v>
      </c>
      <c r="CF119" s="112">
        <f t="shared" si="197"/>
        <v>0</v>
      </c>
      <c r="CG119" s="96"/>
      <c r="CH119" s="96"/>
      <c r="CI119" s="96"/>
      <c r="CJ119" s="96"/>
      <c r="CK119" s="96"/>
      <c r="CL119" s="96">
        <f t="shared" si="195"/>
        <v>0</v>
      </c>
      <c r="CM119" s="96" t="e">
        <f t="shared" si="143"/>
        <v>#N/A</v>
      </c>
      <c r="CN119" s="96" t="e">
        <f t="shared" si="144"/>
        <v>#N/A</v>
      </c>
      <c r="CO119" s="112">
        <f t="shared" si="145"/>
        <v>0</v>
      </c>
      <c r="CQ119" s="111" t="e">
        <f>IF('3'!$AC$3="",-CR119,NA())</f>
        <v>#N/A</v>
      </c>
      <c r="CR119" s="110">
        <v>0.9</v>
      </c>
      <c r="CS119" s="110">
        <v>30</v>
      </c>
      <c r="CT119" s="115">
        <v>50000</v>
      </c>
      <c r="CU119" s="110"/>
      <c r="CV119" s="110"/>
      <c r="CW119" s="110"/>
      <c r="CX119" s="110"/>
      <c r="CY119" s="110"/>
      <c r="CZ119" s="110"/>
      <c r="DA119" s="109"/>
      <c r="DB119" s="114"/>
      <c r="DC119" s="110"/>
      <c r="DD119" s="110"/>
      <c r="DE119" s="110"/>
      <c r="DF119" s="115"/>
      <c r="DG119" s="114"/>
      <c r="DH119" s="110"/>
      <c r="DI119" s="110"/>
      <c r="DJ119" s="110"/>
      <c r="DK119" s="110"/>
      <c r="DL119" s="115"/>
      <c r="DM119" s="110"/>
      <c r="DN119" s="110"/>
      <c r="DO119" s="110"/>
      <c r="DP119" s="110"/>
      <c r="DQ119" s="110"/>
      <c r="DR119" s="110"/>
      <c r="DS119" s="110"/>
      <c r="DT119" s="114"/>
      <c r="DU119" s="3"/>
      <c r="DV119" s="3"/>
      <c r="DW119" s="3"/>
      <c r="DX119" s="3"/>
      <c r="DY119" s="3"/>
      <c r="DZ119" s="115"/>
      <c r="EA119" s="114"/>
      <c r="EB119" s="110"/>
      <c r="EC119" s="110"/>
      <c r="ED119" s="115"/>
      <c r="EE119" s="110"/>
      <c r="EF119" s="110"/>
      <c r="EG119" s="110"/>
      <c r="EH119" s="110"/>
      <c r="EI119" s="110"/>
      <c r="EJ119" s="114"/>
      <c r="EK119" s="3"/>
      <c r="EL119" s="3"/>
      <c r="EM119" s="3"/>
      <c r="EN119" s="3"/>
      <c r="EO119" s="113"/>
      <c r="ET119" s="84"/>
      <c r="EU119" s="163"/>
      <c r="EV119" s="157">
        <f t="shared" si="147"/>
        <v>0</v>
      </c>
      <c r="EW119" s="157">
        <f t="shared" si="148"/>
        <v>0</v>
      </c>
      <c r="EX119" s="157">
        <f t="shared" si="149"/>
        <v>0</v>
      </c>
      <c r="EY119" s="114">
        <f t="shared" si="150"/>
        <v>1</v>
      </c>
      <c r="EZ119" s="110">
        <f t="shared" si="151"/>
        <v>1</v>
      </c>
      <c r="FA119" s="116" t="e">
        <f t="shared" si="152"/>
        <v>#DIV/0!</v>
      </c>
      <c r="FB119" s="116">
        <f t="shared" si="153"/>
        <v>1</v>
      </c>
      <c r="FC119" s="154">
        <f t="shared" si="154"/>
        <v>1</v>
      </c>
      <c r="FD119" s="110">
        <f t="shared" si="155"/>
        <v>1</v>
      </c>
      <c r="FE119" s="116" t="e">
        <f t="shared" si="156"/>
        <v>#DIV/0!</v>
      </c>
      <c r="FF119" s="153">
        <f t="shared" si="157"/>
        <v>1</v>
      </c>
      <c r="FG119" s="141"/>
      <c r="FH119" s="111">
        <f t="shared" si="159"/>
        <v>0</v>
      </c>
      <c r="FI119" s="96" t="e">
        <f t="shared" si="160"/>
        <v>#DIV/0!</v>
      </c>
      <c r="FJ119" s="96" t="e">
        <f t="shared" si="161"/>
        <v>#DIV/0!</v>
      </c>
      <c r="FK119" s="96">
        <f t="shared" si="162"/>
        <v>0</v>
      </c>
      <c r="FL119" s="96"/>
      <c r="FM119" s="96" t="e">
        <f t="shared" si="163"/>
        <v>#N/A</v>
      </c>
      <c r="FN119" s="96" t="e">
        <f t="shared" si="164"/>
        <v>#N/A</v>
      </c>
      <c r="FO119" s="96" t="e">
        <f t="shared" si="165"/>
        <v>#N/A</v>
      </c>
      <c r="FP119" s="96" t="e">
        <f t="shared" si="166"/>
        <v>#DIV/0!</v>
      </c>
      <c r="FQ119" s="96" t="e">
        <f t="shared" si="167"/>
        <v>#DIV/0!</v>
      </c>
      <c r="FR119" s="112" t="e">
        <f t="shared" si="168"/>
        <v>#DIV/0!</v>
      </c>
      <c r="FS119" s="113" t="e">
        <f t="shared" si="169"/>
        <v>#DIV/0!</v>
      </c>
      <c r="FT119" s="13" t="e">
        <f t="shared" si="170"/>
        <v>#DIV/0!</v>
      </c>
      <c r="FU119" s="84" t="e">
        <f t="shared" si="171"/>
        <v>#DIV/0!</v>
      </c>
      <c r="FV119" s="112">
        <f t="shared" si="198"/>
        <v>0</v>
      </c>
      <c r="FW119" s="96"/>
      <c r="FX119" s="96"/>
      <c r="FY119" s="96"/>
      <c r="FZ119" s="96"/>
      <c r="GA119" s="96"/>
      <c r="GB119" s="96">
        <f t="shared" si="196"/>
        <v>0</v>
      </c>
      <c r="GC119" s="96" t="e">
        <f t="shared" si="174"/>
        <v>#N/A</v>
      </c>
      <c r="GD119" s="96" t="e">
        <f t="shared" si="175"/>
        <v>#N/A</v>
      </c>
      <c r="GE119" s="112">
        <f t="shared" si="176"/>
        <v>0</v>
      </c>
    </row>
    <row r="120" spans="1:187" ht="15.75" thickBot="1" x14ac:dyDescent="0.3">
      <c r="A120" s="111">
        <f>IF('3'!$AC$7="",-B120,NA())</f>
        <v>-1</v>
      </c>
      <c r="B120" s="110">
        <v>1</v>
      </c>
      <c r="C120" s="110"/>
      <c r="D120" s="115"/>
      <c r="E120" s="110"/>
      <c r="F120" s="110"/>
      <c r="G120" s="110"/>
      <c r="H120" s="110"/>
      <c r="I120" s="110"/>
      <c r="J120" s="110"/>
      <c r="K120" s="109"/>
      <c r="L120" s="114"/>
      <c r="M120" s="110"/>
      <c r="N120" s="110"/>
      <c r="O120" s="110"/>
      <c r="P120" s="115"/>
      <c r="Q120" s="114"/>
      <c r="R120" s="110"/>
      <c r="S120" s="110"/>
      <c r="T120" s="110"/>
      <c r="U120" s="110"/>
      <c r="V120" s="115"/>
      <c r="W120" s="110"/>
      <c r="X120" s="110"/>
      <c r="Y120" s="110"/>
      <c r="Z120" s="110"/>
      <c r="AA120" s="110"/>
      <c r="AB120" s="110"/>
      <c r="AC120" s="110"/>
      <c r="AD120" s="114"/>
      <c r="AE120" s="3"/>
      <c r="AF120" s="3"/>
      <c r="AG120" s="3"/>
      <c r="AH120" s="3"/>
      <c r="AI120" s="3"/>
      <c r="AJ120" s="115"/>
      <c r="AK120" s="114"/>
      <c r="AL120" s="110"/>
      <c r="AM120" s="110"/>
      <c r="AN120" s="115"/>
      <c r="AO120" s="110"/>
      <c r="AP120" s="110"/>
      <c r="AQ120" s="110"/>
      <c r="AR120" s="110"/>
      <c r="AS120" s="110"/>
      <c r="AT120" s="114"/>
      <c r="AU120" s="3"/>
      <c r="AV120" s="3"/>
      <c r="AW120" s="3"/>
      <c r="AX120" s="3"/>
      <c r="AY120" s="113"/>
      <c r="BD120" s="84"/>
      <c r="BF120" s="110"/>
      <c r="BG120" s="110"/>
      <c r="BH120" s="110"/>
      <c r="BI120" s="133"/>
      <c r="BJ120" s="134"/>
      <c r="BK120" s="134"/>
      <c r="BL120" s="134"/>
      <c r="BM120" s="135"/>
      <c r="BN120" s="110"/>
      <c r="BO120" s="110"/>
      <c r="BP120" s="110"/>
      <c r="BQ120" s="142"/>
      <c r="BR120" s="111"/>
      <c r="BS120" s="96"/>
      <c r="BT120" s="96"/>
      <c r="BU120" s="96"/>
      <c r="BV120" s="96"/>
      <c r="BW120" s="96"/>
      <c r="BX120" s="96"/>
      <c r="BY120" s="96"/>
      <c r="BZ120" s="96"/>
      <c r="CA120" s="96"/>
      <c r="CB120" s="112"/>
      <c r="CC120" s="85"/>
      <c r="CD120" s="86"/>
      <c r="CE120" s="87"/>
      <c r="CF120" s="86">
        <f t="shared" si="197"/>
        <v>-1</v>
      </c>
      <c r="CG120" s="195">
        <v>1</v>
      </c>
      <c r="CH120" s="195"/>
      <c r="CI120" s="195"/>
      <c r="CJ120" s="195"/>
      <c r="CK120" s="195"/>
      <c r="CL120" s="96">
        <f t="shared" si="195"/>
        <v>0</v>
      </c>
      <c r="CM120" s="195">
        <f t="shared" si="143"/>
        <v>0</v>
      </c>
      <c r="CN120" s="195">
        <f>(1-AC119)*CM120</f>
        <v>0</v>
      </c>
      <c r="CO120" s="196">
        <f t="shared" si="145"/>
        <v>0</v>
      </c>
      <c r="CQ120" s="111" t="e">
        <f>IF('3'!$AC$3="",-CR120,NA())</f>
        <v>#N/A</v>
      </c>
      <c r="CR120" s="110">
        <v>1</v>
      </c>
      <c r="CS120" s="110"/>
      <c r="CT120" s="115"/>
      <c r="CU120" s="110"/>
      <c r="CV120" s="110"/>
      <c r="CW120" s="110"/>
      <c r="CX120" s="110"/>
      <c r="CY120" s="110"/>
      <c r="CZ120" s="110"/>
      <c r="DA120" s="109"/>
      <c r="DB120" s="114"/>
      <c r="DC120" s="110"/>
      <c r="DD120" s="110"/>
      <c r="DE120" s="110"/>
      <c r="DF120" s="115"/>
      <c r="DG120" s="114"/>
      <c r="DH120" s="110"/>
      <c r="DI120" s="110"/>
      <c r="DJ120" s="110"/>
      <c r="DK120" s="110"/>
      <c r="DL120" s="115"/>
      <c r="DM120" s="110"/>
      <c r="DN120" s="110"/>
      <c r="DO120" s="110"/>
      <c r="DP120" s="110"/>
      <c r="DQ120" s="110"/>
      <c r="DR120" s="110"/>
      <c r="DS120" s="110"/>
      <c r="DT120" s="114"/>
      <c r="DU120" s="3"/>
      <c r="DV120" s="3"/>
      <c r="DW120" s="3"/>
      <c r="DX120" s="3"/>
      <c r="DY120" s="3"/>
      <c r="DZ120" s="115"/>
      <c r="EA120" s="114"/>
      <c r="EB120" s="110"/>
      <c r="EC120" s="110"/>
      <c r="ED120" s="115"/>
      <c r="EE120" s="110"/>
      <c r="EF120" s="110"/>
      <c r="EG120" s="110"/>
      <c r="EH120" s="110"/>
      <c r="EI120" s="110"/>
      <c r="EJ120" s="114"/>
      <c r="EK120" s="3"/>
      <c r="EL120" s="3"/>
      <c r="EM120" s="3"/>
      <c r="EN120" s="3"/>
      <c r="EO120" s="113"/>
      <c r="ET120" s="84"/>
      <c r="EU120" s="165"/>
      <c r="EV120" s="110"/>
      <c r="EW120" s="110"/>
      <c r="EX120" s="110"/>
      <c r="EY120" s="133"/>
      <c r="EZ120" s="134"/>
      <c r="FA120" s="134"/>
      <c r="FB120" s="134"/>
      <c r="FC120" s="135"/>
      <c r="FD120" s="110"/>
      <c r="FE120" s="110"/>
      <c r="FF120" s="110"/>
      <c r="FG120" s="142"/>
      <c r="FH120" s="111"/>
      <c r="FI120" s="96"/>
      <c r="FJ120" s="96"/>
      <c r="FK120" s="96"/>
      <c r="FL120" s="96"/>
      <c r="FM120" s="96"/>
      <c r="FN120" s="96"/>
      <c r="FO120" s="96"/>
      <c r="FP120" s="96"/>
      <c r="FQ120" s="96"/>
      <c r="FR120" s="112"/>
      <c r="FS120" s="85"/>
      <c r="FT120" s="86"/>
      <c r="FU120" s="87"/>
      <c r="FV120" s="86">
        <f t="shared" si="198"/>
        <v>-1</v>
      </c>
      <c r="FW120" s="195">
        <v>1</v>
      </c>
      <c r="FX120" s="195"/>
      <c r="FY120" s="195"/>
      <c r="FZ120" s="195"/>
      <c r="GA120" s="195"/>
      <c r="GB120" s="96">
        <f t="shared" si="196"/>
        <v>0</v>
      </c>
      <c r="GC120" s="195" t="e">
        <f t="shared" si="174"/>
        <v>#N/A</v>
      </c>
      <c r="GD120" s="195" t="e">
        <f>(1-DS119)*GC120</f>
        <v>#N/A</v>
      </c>
      <c r="GE120" s="196">
        <f t="shared" si="176"/>
        <v>0</v>
      </c>
    </row>
    <row r="121" spans="1:187" ht="15.75" thickBot="1" x14ac:dyDescent="0.3">
      <c r="A121" s="233" t="s">
        <v>55</v>
      </c>
      <c r="B121" s="234"/>
      <c r="C121" s="235"/>
      <c r="D121" s="39" t="s">
        <v>54</v>
      </c>
      <c r="E121" s="38">
        <f t="shared" ref="E121:AJ121" si="199">0.1/3*($B100*E100+4*$B101*E101+2*$B102*E102+4*$B103*E103+2*$B104*E104+4*$B105*E105+2*$B106*E106+4*$B107*E107+2*$B108*E108+4*$B109*E109+2*$B110*E110+4*$B111*E111+1*$B112*E112)+0.2/3*($B112*E112+4*$B114*E114+2*$B116*E116+4*$B118*E118+$B120*E120)</f>
        <v>0</v>
      </c>
      <c r="F121" s="38">
        <f t="shared" si="199"/>
        <v>0</v>
      </c>
      <c r="G121" s="38">
        <f t="shared" si="199"/>
        <v>0</v>
      </c>
      <c r="H121" s="38">
        <f t="shared" si="199"/>
        <v>0</v>
      </c>
      <c r="I121" s="38">
        <f t="shared" si="199"/>
        <v>0</v>
      </c>
      <c r="J121" s="38">
        <f t="shared" si="199"/>
        <v>0</v>
      </c>
      <c r="K121" s="38">
        <f t="shared" si="199"/>
        <v>0</v>
      </c>
      <c r="L121" s="38">
        <f t="shared" si="199"/>
        <v>0</v>
      </c>
      <c r="M121" s="38">
        <f t="shared" si="199"/>
        <v>0</v>
      </c>
      <c r="N121" s="38">
        <f t="shared" si="199"/>
        <v>0</v>
      </c>
      <c r="O121" s="38">
        <f t="shared" si="199"/>
        <v>0</v>
      </c>
      <c r="P121" s="38">
        <f t="shared" si="199"/>
        <v>0</v>
      </c>
      <c r="Q121" s="38">
        <f t="shared" si="199"/>
        <v>0</v>
      </c>
      <c r="R121" s="38">
        <f t="shared" si="199"/>
        <v>0</v>
      </c>
      <c r="S121" s="38">
        <f t="shared" si="199"/>
        <v>0</v>
      </c>
      <c r="T121" s="38">
        <f t="shared" si="199"/>
        <v>0</v>
      </c>
      <c r="U121" s="38">
        <f t="shared" si="199"/>
        <v>0</v>
      </c>
      <c r="V121" s="38">
        <f t="shared" si="199"/>
        <v>0</v>
      </c>
      <c r="W121" s="38">
        <f t="shared" si="199"/>
        <v>0</v>
      </c>
      <c r="X121" s="38">
        <f t="shared" si="199"/>
        <v>0</v>
      </c>
      <c r="Y121" s="38">
        <f t="shared" si="199"/>
        <v>0</v>
      </c>
      <c r="Z121" s="38">
        <f t="shared" si="199"/>
        <v>0</v>
      </c>
      <c r="AA121" s="38">
        <f t="shared" si="199"/>
        <v>0</v>
      </c>
      <c r="AB121" s="38">
        <f t="shared" si="199"/>
        <v>0</v>
      </c>
      <c r="AC121" s="38">
        <f t="shared" si="199"/>
        <v>0</v>
      </c>
      <c r="AD121" s="38">
        <f t="shared" si="199"/>
        <v>0</v>
      </c>
      <c r="AE121" s="38">
        <f t="shared" si="199"/>
        <v>0</v>
      </c>
      <c r="AF121" s="38">
        <f t="shared" si="199"/>
        <v>0</v>
      </c>
      <c r="AG121" s="38">
        <f t="shared" si="199"/>
        <v>0</v>
      </c>
      <c r="AH121" s="38">
        <f t="shared" si="199"/>
        <v>0</v>
      </c>
      <c r="AI121" s="38">
        <f t="shared" si="199"/>
        <v>0</v>
      </c>
      <c r="AJ121" s="38">
        <f t="shared" si="199"/>
        <v>0</v>
      </c>
      <c r="AK121" s="38">
        <f t="shared" ref="AK121:BP121" si="200">0.1/3*($B100*AK100+4*$B101*AK101+2*$B102*AK102+4*$B103*AK103+2*$B104*AK104+4*$B105*AK105+2*$B106*AK106+4*$B107*AK107+2*$B108*AK108+4*$B109*AK109+2*$B110*AK110+4*$B111*AK111+1*$B112*AK112)+0.2/3*($B112*AK112+4*$B114*AK114+2*$B116*AK116+4*$B118*AK118+$B120*AK120)</f>
        <v>0</v>
      </c>
      <c r="AL121" s="38">
        <f t="shared" si="200"/>
        <v>0</v>
      </c>
      <c r="AM121" s="38">
        <f t="shared" si="200"/>
        <v>0</v>
      </c>
      <c r="AN121" s="38">
        <f t="shared" si="200"/>
        <v>0</v>
      </c>
      <c r="AO121" s="38">
        <f t="shared" si="200"/>
        <v>0</v>
      </c>
      <c r="AP121" s="38">
        <f t="shared" si="200"/>
        <v>0</v>
      </c>
      <c r="AQ121" s="38">
        <f t="shared" si="200"/>
        <v>0</v>
      </c>
      <c r="AR121" s="38">
        <f t="shared" si="200"/>
        <v>0</v>
      </c>
      <c r="AS121" s="38">
        <f t="shared" si="200"/>
        <v>0</v>
      </c>
      <c r="AT121" s="38">
        <f t="shared" si="200"/>
        <v>0</v>
      </c>
      <c r="AU121" s="38">
        <f t="shared" si="200"/>
        <v>0</v>
      </c>
      <c r="AV121" s="38">
        <f t="shared" si="200"/>
        <v>0</v>
      </c>
      <c r="AW121" s="38">
        <f t="shared" si="200"/>
        <v>0</v>
      </c>
      <c r="AX121" s="38">
        <f t="shared" si="200"/>
        <v>0</v>
      </c>
      <c r="AY121" s="38">
        <f t="shared" si="200"/>
        <v>0</v>
      </c>
      <c r="AZ121" s="38">
        <f t="shared" si="200"/>
        <v>0</v>
      </c>
      <c r="BA121" s="38">
        <f t="shared" si="200"/>
        <v>0</v>
      </c>
      <c r="BB121" s="38">
        <f t="shared" si="200"/>
        <v>0</v>
      </c>
      <c r="BC121" s="38">
        <f t="shared" si="200"/>
        <v>0</v>
      </c>
      <c r="BD121" s="38">
        <f t="shared" si="200"/>
        <v>0</v>
      </c>
      <c r="BE121" s="38" t="e">
        <f t="shared" si="200"/>
        <v>#DIV/0!</v>
      </c>
      <c r="BF121" s="38">
        <f t="shared" si="200"/>
        <v>0</v>
      </c>
      <c r="BG121" s="38">
        <f t="shared" si="200"/>
        <v>0</v>
      </c>
      <c r="BH121" s="38">
        <f t="shared" si="200"/>
        <v>0</v>
      </c>
      <c r="BI121" s="38">
        <f t="shared" si="200"/>
        <v>0.89999999999999991</v>
      </c>
      <c r="BJ121" s="38">
        <f t="shared" si="200"/>
        <v>0.89999999999999991</v>
      </c>
      <c r="BK121" s="38" t="e">
        <f t="shared" si="200"/>
        <v>#DIV/0!</v>
      </c>
      <c r="BL121" s="38">
        <f t="shared" si="200"/>
        <v>0.89999999999999991</v>
      </c>
      <c r="BM121" s="38">
        <f t="shared" si="200"/>
        <v>0.89999999999999991</v>
      </c>
      <c r="BN121" s="38">
        <f t="shared" si="200"/>
        <v>0.89999999999999991</v>
      </c>
      <c r="BO121" s="38" t="e">
        <f t="shared" si="200"/>
        <v>#DIV/0!</v>
      </c>
      <c r="BP121" s="38">
        <f t="shared" si="200"/>
        <v>0.89999999999999991</v>
      </c>
      <c r="BQ121" s="38" t="e">
        <f t="shared" ref="BQ121:CB121" si="201">0.1/3*($B100*BQ100+4*$B101*BQ101+2*$B102*BQ102+4*$B103*BQ103+2*$B104*BQ104+4*$B105*BQ105+2*$B106*BQ106+4*$B107*BQ107+2*$B108*BQ108+4*$B109*BQ109+2*$B110*BQ110+4*$B111*BQ111+1*$B112*BQ112)+0.2/3*($B112*BQ112+4*$B114*BQ114+2*$B116*BQ116+4*$B118*BQ118+$B120*BQ120)</f>
        <v>#DIV/0!</v>
      </c>
      <c r="BR121" s="38">
        <f t="shared" si="201"/>
        <v>0</v>
      </c>
      <c r="BS121" s="38" t="e">
        <f t="shared" si="201"/>
        <v>#DIV/0!</v>
      </c>
      <c r="BT121" s="38" t="e">
        <f t="shared" si="201"/>
        <v>#DIV/0!</v>
      </c>
      <c r="BU121" s="38">
        <f t="shared" si="201"/>
        <v>0</v>
      </c>
      <c r="BV121" s="38">
        <f t="shared" si="201"/>
        <v>0</v>
      </c>
      <c r="BW121" s="38">
        <f t="shared" si="201"/>
        <v>0.74105594897535321</v>
      </c>
      <c r="BX121" s="38">
        <f t="shared" si="201"/>
        <v>0.74105594897535321</v>
      </c>
      <c r="BY121" s="38">
        <f t="shared" si="201"/>
        <v>0</v>
      </c>
      <c r="BZ121" s="38" t="e">
        <f t="shared" si="201"/>
        <v>#DIV/0!</v>
      </c>
      <c r="CA121" s="38" t="e">
        <f t="shared" si="201"/>
        <v>#DIV/0!</v>
      </c>
      <c r="CB121" s="38" t="e">
        <f t="shared" si="201"/>
        <v>#DIV/0!</v>
      </c>
      <c r="CC121" s="96"/>
      <c r="CL121" s="38">
        <f t="shared" ref="CL121:CO121" si="202">0.1/3*($B100*CL100+4*$B101*CL101+2*$B102*CL102+4*$B103*CL103+2*$B104*CL104+4*$B105*CL105+2*$B106*CL106+4*$B107*CL107+2*$B108*CL108+4*$B109*CL109+2*$B110*CL110+4*$B111*CL111+1*$B112*CL112)+0.2/3*($B112*CL112+4*$B114*CL114+2*$B116*CL116+4*$B118*CL118+$B120*CL120)</f>
        <v>0</v>
      </c>
      <c r="CM121" s="38" t="e">
        <f t="shared" si="202"/>
        <v>#N/A</v>
      </c>
      <c r="CN121" s="38" t="e">
        <f t="shared" si="202"/>
        <v>#N/A</v>
      </c>
      <c r="CO121" s="38">
        <f t="shared" si="202"/>
        <v>0</v>
      </c>
      <c r="CQ121" s="233" t="s">
        <v>55</v>
      </c>
      <c r="CR121" s="234"/>
      <c r="CS121" s="235"/>
      <c r="CT121" s="39" t="s">
        <v>54</v>
      </c>
      <c r="CU121" s="38">
        <f t="shared" ref="CU121:DZ121" si="203">0.2/3*(CU100*$B$8+4*CU102*$B$10+2*$B$12*CU104+4*$B$14*CU106+2*$B$16*CU108+4*$B$18*CU110+2*$B$20*CU112+4*$B$22*CU114+2*$B$24*CU116+4*$B$26*CU118+CU120*$B$28)</f>
        <v>0</v>
      </c>
      <c r="CV121" s="38">
        <f t="shared" si="203"/>
        <v>0</v>
      </c>
      <c r="CW121" s="38">
        <f t="shared" si="203"/>
        <v>0</v>
      </c>
      <c r="CX121" s="38">
        <f t="shared" si="203"/>
        <v>0</v>
      </c>
      <c r="CY121" s="38">
        <f t="shared" si="203"/>
        <v>0</v>
      </c>
      <c r="CZ121" s="38">
        <f t="shared" si="203"/>
        <v>0</v>
      </c>
      <c r="DA121" s="38">
        <f t="shared" si="203"/>
        <v>0</v>
      </c>
      <c r="DB121" s="38">
        <f t="shared" si="203"/>
        <v>0</v>
      </c>
      <c r="DC121" s="38">
        <f t="shared" si="203"/>
        <v>0</v>
      </c>
      <c r="DD121" s="38">
        <f t="shared" si="203"/>
        <v>0</v>
      </c>
      <c r="DE121" s="38">
        <f t="shared" si="203"/>
        <v>0</v>
      </c>
      <c r="DF121" s="38">
        <f t="shared" si="203"/>
        <v>0</v>
      </c>
      <c r="DG121" s="38">
        <f t="shared" si="203"/>
        <v>0</v>
      </c>
      <c r="DH121" s="38">
        <f t="shared" si="203"/>
        <v>0</v>
      </c>
      <c r="DI121" s="38">
        <f t="shared" si="203"/>
        <v>0</v>
      </c>
      <c r="DJ121" s="38">
        <f t="shared" si="203"/>
        <v>0</v>
      </c>
      <c r="DK121" s="38">
        <f t="shared" si="203"/>
        <v>0</v>
      </c>
      <c r="DL121" s="38">
        <f t="shared" si="203"/>
        <v>0</v>
      </c>
      <c r="DM121" s="38">
        <f t="shared" si="203"/>
        <v>0</v>
      </c>
      <c r="DN121" s="38">
        <f t="shared" si="203"/>
        <v>0</v>
      </c>
      <c r="DO121" s="38">
        <f t="shared" si="203"/>
        <v>0</v>
      </c>
      <c r="DP121" s="38">
        <f t="shared" si="203"/>
        <v>0</v>
      </c>
      <c r="DQ121" s="38">
        <f t="shared" si="203"/>
        <v>0</v>
      </c>
      <c r="DR121" s="38">
        <f t="shared" si="203"/>
        <v>0</v>
      </c>
      <c r="DS121" s="38">
        <f t="shared" si="203"/>
        <v>0</v>
      </c>
      <c r="DT121" s="38">
        <f t="shared" si="203"/>
        <v>0</v>
      </c>
      <c r="DU121" s="38">
        <f t="shared" si="203"/>
        <v>0</v>
      </c>
      <c r="DV121" s="38">
        <f t="shared" si="203"/>
        <v>0</v>
      </c>
      <c r="DW121" s="38">
        <f t="shared" si="203"/>
        <v>0</v>
      </c>
      <c r="DX121" s="38">
        <f t="shared" si="203"/>
        <v>0</v>
      </c>
      <c r="DY121" s="38">
        <f t="shared" si="203"/>
        <v>0</v>
      </c>
      <c r="DZ121" s="38">
        <f t="shared" si="203"/>
        <v>0</v>
      </c>
      <c r="EA121" s="38">
        <f t="shared" ref="EA121:FF121" si="204">0.2/3*(EA100*$B$8+4*EA102*$B$10+2*$B$12*EA104+4*$B$14*EA106+2*$B$16*EA108+4*$B$18*EA110+2*$B$20*EA112+4*$B$22*EA114+2*$B$24*EA116+4*$B$26*EA118+EA120*$B$28)</f>
        <v>0</v>
      </c>
      <c r="EB121" s="38">
        <f t="shared" si="204"/>
        <v>0</v>
      </c>
      <c r="EC121" s="38">
        <f t="shared" si="204"/>
        <v>0</v>
      </c>
      <c r="ED121" s="38">
        <f t="shared" si="204"/>
        <v>0</v>
      </c>
      <c r="EE121" s="38">
        <f t="shared" si="204"/>
        <v>0</v>
      </c>
      <c r="EF121" s="38">
        <f t="shared" si="204"/>
        <v>0</v>
      </c>
      <c r="EG121" s="38">
        <f t="shared" si="204"/>
        <v>0</v>
      </c>
      <c r="EH121" s="38">
        <f t="shared" si="204"/>
        <v>0</v>
      </c>
      <c r="EI121" s="38">
        <f t="shared" si="204"/>
        <v>0</v>
      </c>
      <c r="EJ121" s="38">
        <f t="shared" si="204"/>
        <v>0</v>
      </c>
      <c r="EK121" s="38">
        <f t="shared" si="204"/>
        <v>0</v>
      </c>
      <c r="EL121" s="38">
        <f t="shared" si="204"/>
        <v>0</v>
      </c>
      <c r="EM121" s="38">
        <f t="shared" si="204"/>
        <v>0</v>
      </c>
      <c r="EN121" s="38">
        <f t="shared" si="204"/>
        <v>0</v>
      </c>
      <c r="EO121" s="38">
        <f t="shared" si="204"/>
        <v>0</v>
      </c>
      <c r="EP121" s="38">
        <f t="shared" si="204"/>
        <v>0</v>
      </c>
      <c r="EQ121" s="38">
        <f t="shared" si="204"/>
        <v>0</v>
      </c>
      <c r="ER121" s="38">
        <f t="shared" si="204"/>
        <v>0</v>
      </c>
      <c r="ES121" s="38">
        <f t="shared" si="204"/>
        <v>0</v>
      </c>
      <c r="ET121" s="38">
        <f t="shared" si="204"/>
        <v>0</v>
      </c>
      <c r="EU121" s="38" t="e">
        <f t="shared" si="204"/>
        <v>#DIV/0!</v>
      </c>
      <c r="EV121" s="38" t="e">
        <f t="shared" si="204"/>
        <v>#DIV/0!</v>
      </c>
      <c r="EW121" s="38" t="e">
        <f t="shared" si="204"/>
        <v>#DIV/0!</v>
      </c>
      <c r="EX121" s="38" t="e">
        <f t="shared" si="204"/>
        <v>#DIV/0!</v>
      </c>
      <c r="EY121" s="38">
        <f t="shared" si="204"/>
        <v>0.85333333333333339</v>
      </c>
      <c r="EZ121" s="38">
        <f t="shared" si="204"/>
        <v>0.85333333333333339</v>
      </c>
      <c r="FA121" s="38" t="e">
        <f t="shared" si="204"/>
        <v>#DIV/0!</v>
      </c>
      <c r="FB121" s="38">
        <f t="shared" si="204"/>
        <v>0.85333333333333339</v>
      </c>
      <c r="FC121" s="38">
        <f t="shared" si="204"/>
        <v>0.85333333333333339</v>
      </c>
      <c r="FD121" s="38">
        <f t="shared" si="204"/>
        <v>0.85333333333333339</v>
      </c>
      <c r="FE121" s="38" t="e">
        <f t="shared" si="204"/>
        <v>#DIV/0!</v>
      </c>
      <c r="FF121" s="38">
        <f t="shared" si="204"/>
        <v>0.85333333333333339</v>
      </c>
      <c r="FG121" s="38" t="e">
        <f t="shared" ref="FG121:FR121" si="205">0.2/3*(FG100*$B$8+4*FG102*$B$10+2*$B$12*FG104+4*$B$14*FG106+2*$B$16*FG108+4*$B$18*FG110+2*$B$20*FG112+4*$B$22*FG114+2*$B$24*FG116+4*$B$26*FG118+FG120*$B$28)</f>
        <v>#DIV/0!</v>
      </c>
      <c r="FH121" s="38">
        <f t="shared" si="205"/>
        <v>0</v>
      </c>
      <c r="FI121" s="38" t="e">
        <f t="shared" si="205"/>
        <v>#DIV/0!</v>
      </c>
      <c r="FJ121" s="38" t="e">
        <f t="shared" si="205"/>
        <v>#DIV/0!</v>
      </c>
      <c r="FK121" s="38">
        <f t="shared" si="205"/>
        <v>0</v>
      </c>
      <c r="FL121" s="38">
        <f t="shared" si="205"/>
        <v>0</v>
      </c>
      <c r="FM121" s="38" t="e">
        <f t="shared" si="205"/>
        <v>#N/A</v>
      </c>
      <c r="FN121" s="38" t="e">
        <f t="shared" si="205"/>
        <v>#N/A</v>
      </c>
      <c r="FO121" s="38" t="e">
        <f t="shared" si="205"/>
        <v>#N/A</v>
      </c>
      <c r="FP121" s="38" t="e">
        <f t="shared" si="205"/>
        <v>#DIV/0!</v>
      </c>
      <c r="FQ121" s="38" t="e">
        <f t="shared" si="205"/>
        <v>#DIV/0!</v>
      </c>
      <c r="FR121" s="38" t="e">
        <f t="shared" si="205"/>
        <v>#DIV/0!</v>
      </c>
      <c r="FS121" s="96"/>
      <c r="GB121" s="38">
        <f t="shared" ref="GB121:GE121" si="206">0.1/3*($B100*GB100+4*$B101*GB101+2*$B102*GB102+4*$B103*GB103+2*$B104*GB104+4*$B105*GB105+2*$B106*GB106+4*$B107*GB107+2*$B108*GB108+4*$B109*GB109+2*$B110*GB110+4*$B111*GB111+1*$B112*GB112)+0.2/3*($B112*GB112+4*$B114*GB114+2*$B116*GB116+4*$B118*GB118+$B120*GB120)</f>
        <v>0</v>
      </c>
      <c r="GC121" s="38" t="e">
        <f t="shared" si="206"/>
        <v>#N/A</v>
      </c>
      <c r="GD121" s="38" t="e">
        <f t="shared" si="206"/>
        <v>#N/A</v>
      </c>
      <c r="GE121" s="38">
        <f t="shared" si="206"/>
        <v>0</v>
      </c>
    </row>
    <row r="142" spans="1:187" ht="15.75" thickBot="1" x14ac:dyDescent="0.3">
      <c r="A142" s="17" t="s">
        <v>271</v>
      </c>
      <c r="B142" s="13" t="s">
        <v>289</v>
      </c>
      <c r="CQ142" s="17" t="s">
        <v>271</v>
      </c>
      <c r="CR142" s="13" t="s">
        <v>292</v>
      </c>
    </row>
    <row r="143" spans="1:187" ht="18.75" customHeight="1" thickBot="1" x14ac:dyDescent="0.3">
      <c r="A143" s="236" t="s">
        <v>14</v>
      </c>
      <c r="B143" s="236" t="s">
        <v>49</v>
      </c>
      <c r="C143" s="238" t="s">
        <v>10</v>
      </c>
      <c r="D143" s="240" t="s">
        <v>58</v>
      </c>
      <c r="E143" s="230" t="s">
        <v>15</v>
      </c>
      <c r="F143" s="231"/>
      <c r="G143" s="231"/>
      <c r="H143" s="231"/>
      <c r="I143" s="231"/>
      <c r="J143" s="231"/>
      <c r="K143" s="232"/>
      <c r="L143" s="230" t="s">
        <v>53</v>
      </c>
      <c r="M143" s="231"/>
      <c r="N143" s="231"/>
      <c r="O143" s="231"/>
      <c r="P143" s="232"/>
      <c r="Q143" s="230" t="s">
        <v>33</v>
      </c>
      <c r="R143" s="231"/>
      <c r="S143" s="231"/>
      <c r="T143" s="231"/>
      <c r="U143" s="231"/>
      <c r="V143" s="232"/>
      <c r="W143" s="230" t="s">
        <v>16</v>
      </c>
      <c r="X143" s="231"/>
      <c r="Y143" s="231"/>
      <c r="Z143" s="231"/>
      <c r="AA143" s="231"/>
      <c r="AB143" s="231"/>
      <c r="AC143" s="232"/>
      <c r="AD143" s="230" t="s">
        <v>17</v>
      </c>
      <c r="AE143" s="231"/>
      <c r="AF143" s="231"/>
      <c r="AG143" s="231"/>
      <c r="AH143" s="231"/>
      <c r="AI143" s="231"/>
      <c r="AJ143" s="232"/>
      <c r="AK143" s="244" t="s">
        <v>34</v>
      </c>
      <c r="AL143" s="245"/>
      <c r="AM143" s="245"/>
      <c r="AN143" s="246"/>
      <c r="AO143" s="244" t="s">
        <v>18</v>
      </c>
      <c r="AP143" s="245"/>
      <c r="AQ143" s="245"/>
      <c r="AR143" s="245"/>
      <c r="AS143" s="246"/>
      <c r="AT143" s="244" t="s">
        <v>50</v>
      </c>
      <c r="AU143" s="245"/>
      <c r="AV143" s="247"/>
      <c r="AW143" s="248" t="s">
        <v>52</v>
      </c>
      <c r="AX143" s="246"/>
      <c r="AY143" s="244" t="s">
        <v>51</v>
      </c>
      <c r="AZ143" s="245"/>
      <c r="BA143" s="245"/>
      <c r="BB143" s="245"/>
      <c r="BC143" s="245"/>
      <c r="BD143" s="246"/>
      <c r="BE143" s="14"/>
      <c r="BF143" s="224" t="s">
        <v>187</v>
      </c>
      <c r="BG143" s="225"/>
      <c r="BH143" s="226"/>
      <c r="BI143" s="224" t="s">
        <v>180</v>
      </c>
      <c r="BJ143" s="225"/>
      <c r="BK143" s="225"/>
      <c r="BL143" s="225"/>
      <c r="BM143" s="226"/>
      <c r="BN143" s="224" t="s">
        <v>181</v>
      </c>
      <c r="BO143" s="225"/>
      <c r="BP143" s="226"/>
      <c r="BQ143" s="14"/>
      <c r="BR143" s="14"/>
      <c r="BS143" s="14"/>
      <c r="BT143" s="14"/>
      <c r="BU143" s="14"/>
      <c r="BV143" s="14"/>
      <c r="BW143" s="14"/>
      <c r="BX143" s="14"/>
      <c r="BY143" s="14"/>
      <c r="BZ143" s="14"/>
      <c r="CA143" s="14"/>
      <c r="CB143" s="15"/>
      <c r="CC143" s="227" t="s">
        <v>121</v>
      </c>
      <c r="CD143" s="228"/>
      <c r="CE143" s="229"/>
      <c r="CF143" s="236" t="s">
        <v>14</v>
      </c>
      <c r="CG143" s="236" t="s">
        <v>49</v>
      </c>
      <c r="CH143" s="238" t="s">
        <v>10</v>
      </c>
      <c r="CI143" s="240" t="s">
        <v>58</v>
      </c>
      <c r="CJ143" s="242" t="s">
        <v>297</v>
      </c>
      <c r="CK143" s="222" t="s">
        <v>298</v>
      </c>
      <c r="CL143" s="222" t="s">
        <v>300</v>
      </c>
      <c r="CM143" s="222" t="s">
        <v>299</v>
      </c>
      <c r="CN143" s="222" t="s">
        <v>303</v>
      </c>
      <c r="CO143" s="222" t="s">
        <v>307</v>
      </c>
      <c r="CQ143" s="236" t="s">
        <v>14</v>
      </c>
      <c r="CR143" s="236" t="s">
        <v>49</v>
      </c>
      <c r="CS143" s="238" t="s">
        <v>10</v>
      </c>
      <c r="CT143" s="240" t="s">
        <v>58</v>
      </c>
      <c r="CU143" s="230" t="s">
        <v>15</v>
      </c>
      <c r="CV143" s="231"/>
      <c r="CW143" s="231"/>
      <c r="CX143" s="231"/>
      <c r="CY143" s="231"/>
      <c r="CZ143" s="231"/>
      <c r="DA143" s="232"/>
      <c r="DB143" s="230" t="s">
        <v>53</v>
      </c>
      <c r="DC143" s="231"/>
      <c r="DD143" s="231"/>
      <c r="DE143" s="231"/>
      <c r="DF143" s="232"/>
      <c r="DG143" s="230" t="s">
        <v>33</v>
      </c>
      <c r="DH143" s="231"/>
      <c r="DI143" s="231"/>
      <c r="DJ143" s="231"/>
      <c r="DK143" s="231"/>
      <c r="DL143" s="232"/>
      <c r="DM143" s="230" t="s">
        <v>16</v>
      </c>
      <c r="DN143" s="231"/>
      <c r="DO143" s="231"/>
      <c r="DP143" s="231"/>
      <c r="DQ143" s="231"/>
      <c r="DR143" s="231"/>
      <c r="DS143" s="232"/>
      <c r="DT143" s="230" t="s">
        <v>17</v>
      </c>
      <c r="DU143" s="231"/>
      <c r="DV143" s="231"/>
      <c r="DW143" s="231"/>
      <c r="DX143" s="231"/>
      <c r="DY143" s="231"/>
      <c r="DZ143" s="232"/>
      <c r="EA143" s="244" t="s">
        <v>34</v>
      </c>
      <c r="EB143" s="245"/>
      <c r="EC143" s="245"/>
      <c r="ED143" s="246"/>
      <c r="EE143" s="244" t="s">
        <v>18</v>
      </c>
      <c r="EF143" s="245"/>
      <c r="EG143" s="245"/>
      <c r="EH143" s="245"/>
      <c r="EI143" s="246"/>
      <c r="EJ143" s="244" t="s">
        <v>50</v>
      </c>
      <c r="EK143" s="245"/>
      <c r="EL143" s="247"/>
      <c r="EM143" s="248" t="s">
        <v>52</v>
      </c>
      <c r="EN143" s="246"/>
      <c r="EO143" s="244" t="s">
        <v>51</v>
      </c>
      <c r="EP143" s="245"/>
      <c r="EQ143" s="245"/>
      <c r="ER143" s="245"/>
      <c r="ES143" s="245"/>
      <c r="ET143" s="246"/>
      <c r="EU143" s="14"/>
      <c r="EV143" s="224" t="s">
        <v>187</v>
      </c>
      <c r="EW143" s="225"/>
      <c r="EX143" s="226"/>
      <c r="EY143" s="224" t="s">
        <v>180</v>
      </c>
      <c r="EZ143" s="225"/>
      <c r="FA143" s="225"/>
      <c r="FB143" s="225"/>
      <c r="FC143" s="226"/>
      <c r="FD143" s="224" t="s">
        <v>181</v>
      </c>
      <c r="FE143" s="225"/>
      <c r="FF143" s="226"/>
      <c r="FG143" s="14"/>
      <c r="FH143" s="14"/>
      <c r="FI143" s="14"/>
      <c r="FJ143" s="14"/>
      <c r="FK143" s="14"/>
      <c r="FL143" s="14"/>
      <c r="FM143" s="14"/>
      <c r="FN143" s="14"/>
      <c r="FO143" s="14"/>
      <c r="FP143" s="14"/>
      <c r="FQ143" s="14"/>
      <c r="FR143" s="15"/>
      <c r="FS143" s="227" t="s">
        <v>121</v>
      </c>
      <c r="FT143" s="228"/>
      <c r="FU143" s="229"/>
      <c r="FV143" s="236" t="s">
        <v>14</v>
      </c>
      <c r="FW143" s="236" t="s">
        <v>49</v>
      </c>
      <c r="FX143" s="238" t="s">
        <v>10</v>
      </c>
      <c r="FY143" s="240" t="s">
        <v>58</v>
      </c>
      <c r="FZ143" s="242" t="s">
        <v>297</v>
      </c>
      <c r="GA143" s="222" t="s">
        <v>298</v>
      </c>
      <c r="GB143" s="222" t="s">
        <v>300</v>
      </c>
      <c r="GC143" s="222" t="s">
        <v>299</v>
      </c>
      <c r="GD143" s="222" t="s">
        <v>303</v>
      </c>
      <c r="GE143" s="222" t="s">
        <v>307</v>
      </c>
    </row>
    <row r="144" spans="1:187" ht="18" thickBot="1" x14ac:dyDescent="0.35">
      <c r="A144" s="237"/>
      <c r="B144" s="237"/>
      <c r="C144" s="239"/>
      <c r="D144" s="241"/>
      <c r="E144" s="16" t="s">
        <v>19</v>
      </c>
      <c r="F144" s="17" t="s">
        <v>20</v>
      </c>
      <c r="G144" s="17" t="s">
        <v>35</v>
      </c>
      <c r="H144" s="17" t="s">
        <v>36</v>
      </c>
      <c r="I144" s="18" t="s">
        <v>47</v>
      </c>
      <c r="J144" s="18" t="s">
        <v>48</v>
      </c>
      <c r="K144" s="19" t="s">
        <v>21</v>
      </c>
      <c r="L144" s="20" t="s">
        <v>37</v>
      </c>
      <c r="M144" s="18" t="s">
        <v>38</v>
      </c>
      <c r="N144" s="18" t="s">
        <v>39</v>
      </c>
      <c r="O144" s="18" t="s">
        <v>40</v>
      </c>
      <c r="P144" s="19" t="s">
        <v>59</v>
      </c>
      <c r="Q144" s="20" t="s">
        <v>41</v>
      </c>
      <c r="R144" s="17" t="s">
        <v>42</v>
      </c>
      <c r="S144" s="18" t="s">
        <v>43</v>
      </c>
      <c r="T144" s="17" t="s">
        <v>44</v>
      </c>
      <c r="U144" s="18" t="s">
        <v>45</v>
      </c>
      <c r="V144" s="19" t="s">
        <v>46</v>
      </c>
      <c r="W144" s="21" t="s">
        <v>19</v>
      </c>
      <c r="X144" s="22" t="s">
        <v>20</v>
      </c>
      <c r="Y144" s="22" t="s">
        <v>35</v>
      </c>
      <c r="Z144" s="22" t="s">
        <v>36</v>
      </c>
      <c r="AA144" s="22" t="s">
        <v>47</v>
      </c>
      <c r="AB144" s="22" t="s">
        <v>48</v>
      </c>
      <c r="AC144" s="23" t="s">
        <v>21</v>
      </c>
      <c r="AD144" s="21" t="s">
        <v>19</v>
      </c>
      <c r="AE144" s="22" t="s">
        <v>20</v>
      </c>
      <c r="AF144" s="22" t="s">
        <v>35</v>
      </c>
      <c r="AG144" s="22" t="s">
        <v>36</v>
      </c>
      <c r="AH144" s="22" t="s">
        <v>47</v>
      </c>
      <c r="AI144" s="22" t="s">
        <v>48</v>
      </c>
      <c r="AJ144" s="23" t="s">
        <v>21</v>
      </c>
      <c r="AK144" s="24" t="s">
        <v>60</v>
      </c>
      <c r="AL144" s="25" t="s">
        <v>61</v>
      </c>
      <c r="AM144" s="25" t="s">
        <v>62</v>
      </c>
      <c r="AN144" s="26" t="s">
        <v>63</v>
      </c>
      <c r="AO144" s="27" t="s">
        <v>64</v>
      </c>
      <c r="AP144" s="25" t="s">
        <v>65</v>
      </c>
      <c r="AQ144" s="25" t="s">
        <v>66</v>
      </c>
      <c r="AR144" s="25" t="s">
        <v>67</v>
      </c>
      <c r="AS144" s="26" t="s">
        <v>68</v>
      </c>
      <c r="AT144" s="27" t="s">
        <v>69</v>
      </c>
      <c r="AU144" s="25" t="s">
        <v>70</v>
      </c>
      <c r="AV144" s="25" t="s">
        <v>71</v>
      </c>
      <c r="AW144" s="25" t="s">
        <v>72</v>
      </c>
      <c r="AX144" s="28" t="s">
        <v>73</v>
      </c>
      <c r="AY144" s="24" t="s">
        <v>23</v>
      </c>
      <c r="AZ144" s="25" t="s">
        <v>24</v>
      </c>
      <c r="BA144" s="25" t="s">
        <v>25</v>
      </c>
      <c r="BB144" s="25" t="s">
        <v>28</v>
      </c>
      <c r="BC144" s="25" t="s">
        <v>26</v>
      </c>
      <c r="BD144" s="28" t="s">
        <v>27</v>
      </c>
      <c r="BE144" s="26" t="s">
        <v>68</v>
      </c>
      <c r="BF144" s="132" t="s">
        <v>188</v>
      </c>
      <c r="BG144" s="132" t="s">
        <v>189</v>
      </c>
      <c r="BH144" s="132" t="s">
        <v>190</v>
      </c>
      <c r="BI144" s="150" t="s">
        <v>177</v>
      </c>
      <c r="BJ144" s="148" t="s">
        <v>204</v>
      </c>
      <c r="BK144" s="130" t="s">
        <v>178</v>
      </c>
      <c r="BL144" s="130" t="s">
        <v>205</v>
      </c>
      <c r="BM144" s="149" t="s">
        <v>179</v>
      </c>
      <c r="BN144" s="150" t="s">
        <v>177</v>
      </c>
      <c r="BO144" s="130" t="s">
        <v>178</v>
      </c>
      <c r="BP144" s="149" t="s">
        <v>179</v>
      </c>
      <c r="BQ144" s="27" t="s">
        <v>194</v>
      </c>
      <c r="BR144" s="129" t="s">
        <v>74</v>
      </c>
      <c r="BS144" s="25" t="s">
        <v>128</v>
      </c>
      <c r="BT144" s="25" t="s">
        <v>129</v>
      </c>
      <c r="BU144" s="25" t="s">
        <v>196</v>
      </c>
      <c r="BV144" s="26" t="s">
        <v>199</v>
      </c>
      <c r="BW144" s="30" t="s">
        <v>75</v>
      </c>
      <c r="BX144" s="29" t="s">
        <v>57</v>
      </c>
      <c r="BY144" s="29" t="s">
        <v>76</v>
      </c>
      <c r="BZ144" s="29" t="s">
        <v>77</v>
      </c>
      <c r="CA144" s="29" t="s">
        <v>78</v>
      </c>
      <c r="CB144" s="31" t="s">
        <v>79</v>
      </c>
      <c r="CC144" s="21" t="s">
        <v>122</v>
      </c>
      <c r="CD144" s="22" t="s">
        <v>123</v>
      </c>
      <c r="CE144" s="23" t="s">
        <v>124</v>
      </c>
      <c r="CF144" s="237"/>
      <c r="CG144" s="237"/>
      <c r="CH144" s="239"/>
      <c r="CI144" s="241"/>
      <c r="CJ144" s="243"/>
      <c r="CK144" s="223"/>
      <c r="CL144" s="223"/>
      <c r="CM144" s="223"/>
      <c r="CN144" s="223"/>
      <c r="CO144" s="223"/>
      <c r="CP144" s="116"/>
      <c r="CQ144" s="237"/>
      <c r="CR144" s="237"/>
      <c r="CS144" s="239"/>
      <c r="CT144" s="241"/>
      <c r="CU144" s="16" t="s">
        <v>19</v>
      </c>
      <c r="CV144" s="17" t="s">
        <v>20</v>
      </c>
      <c r="CW144" s="17" t="s">
        <v>35</v>
      </c>
      <c r="CX144" s="17" t="s">
        <v>36</v>
      </c>
      <c r="CY144" s="18" t="s">
        <v>47</v>
      </c>
      <c r="CZ144" s="18" t="s">
        <v>48</v>
      </c>
      <c r="DA144" s="19" t="s">
        <v>21</v>
      </c>
      <c r="DB144" s="20" t="s">
        <v>37</v>
      </c>
      <c r="DC144" s="18" t="s">
        <v>38</v>
      </c>
      <c r="DD144" s="18" t="s">
        <v>39</v>
      </c>
      <c r="DE144" s="18" t="s">
        <v>40</v>
      </c>
      <c r="DF144" s="19" t="s">
        <v>59</v>
      </c>
      <c r="DG144" s="20" t="s">
        <v>41</v>
      </c>
      <c r="DH144" s="17" t="s">
        <v>42</v>
      </c>
      <c r="DI144" s="18" t="s">
        <v>43</v>
      </c>
      <c r="DJ144" s="17" t="s">
        <v>44</v>
      </c>
      <c r="DK144" s="18" t="s">
        <v>45</v>
      </c>
      <c r="DL144" s="19" t="s">
        <v>46</v>
      </c>
      <c r="DM144" s="21" t="s">
        <v>19</v>
      </c>
      <c r="DN144" s="22" t="s">
        <v>20</v>
      </c>
      <c r="DO144" s="22" t="s">
        <v>35</v>
      </c>
      <c r="DP144" s="22" t="s">
        <v>36</v>
      </c>
      <c r="DQ144" s="22" t="s">
        <v>47</v>
      </c>
      <c r="DR144" s="22" t="s">
        <v>48</v>
      </c>
      <c r="DS144" s="23" t="s">
        <v>21</v>
      </c>
      <c r="DT144" s="21" t="s">
        <v>19</v>
      </c>
      <c r="DU144" s="22" t="s">
        <v>20</v>
      </c>
      <c r="DV144" s="22" t="s">
        <v>35</v>
      </c>
      <c r="DW144" s="22" t="s">
        <v>36</v>
      </c>
      <c r="DX144" s="22" t="s">
        <v>47</v>
      </c>
      <c r="DY144" s="22" t="s">
        <v>48</v>
      </c>
      <c r="DZ144" s="23" t="s">
        <v>21</v>
      </c>
      <c r="EA144" s="24" t="s">
        <v>60</v>
      </c>
      <c r="EB144" s="25" t="s">
        <v>61</v>
      </c>
      <c r="EC144" s="25" t="s">
        <v>62</v>
      </c>
      <c r="ED144" s="26" t="s">
        <v>63</v>
      </c>
      <c r="EE144" s="27" t="s">
        <v>64</v>
      </c>
      <c r="EF144" s="25" t="s">
        <v>65</v>
      </c>
      <c r="EG144" s="25" t="s">
        <v>66</v>
      </c>
      <c r="EH144" s="25" t="s">
        <v>67</v>
      </c>
      <c r="EI144" s="26" t="s">
        <v>68</v>
      </c>
      <c r="EJ144" s="27" t="s">
        <v>69</v>
      </c>
      <c r="EK144" s="25" t="s">
        <v>70</v>
      </c>
      <c r="EL144" s="25" t="s">
        <v>71</v>
      </c>
      <c r="EM144" s="25" t="s">
        <v>72</v>
      </c>
      <c r="EN144" s="28" t="s">
        <v>73</v>
      </c>
      <c r="EO144" s="24" t="s">
        <v>23</v>
      </c>
      <c r="EP144" s="25" t="s">
        <v>24</v>
      </c>
      <c r="EQ144" s="25" t="s">
        <v>25</v>
      </c>
      <c r="ER144" s="25" t="s">
        <v>28</v>
      </c>
      <c r="ES144" s="25" t="s">
        <v>26</v>
      </c>
      <c r="ET144" s="28" t="s">
        <v>27</v>
      </c>
      <c r="EU144" s="26" t="s">
        <v>68</v>
      </c>
      <c r="EV144" s="132" t="s">
        <v>188</v>
      </c>
      <c r="EW144" s="132" t="s">
        <v>189</v>
      </c>
      <c r="EX144" s="132" t="s">
        <v>190</v>
      </c>
      <c r="EY144" s="150" t="s">
        <v>177</v>
      </c>
      <c r="EZ144" s="148" t="s">
        <v>204</v>
      </c>
      <c r="FA144" s="130" t="s">
        <v>178</v>
      </c>
      <c r="FB144" s="130" t="s">
        <v>205</v>
      </c>
      <c r="FC144" s="149" t="s">
        <v>179</v>
      </c>
      <c r="FD144" s="150" t="s">
        <v>177</v>
      </c>
      <c r="FE144" s="130" t="s">
        <v>178</v>
      </c>
      <c r="FF144" s="149" t="s">
        <v>179</v>
      </c>
      <c r="FG144" s="27" t="s">
        <v>194</v>
      </c>
      <c r="FH144" s="129" t="s">
        <v>74</v>
      </c>
      <c r="FI144" s="25" t="s">
        <v>128</v>
      </c>
      <c r="FJ144" s="25" t="s">
        <v>129</v>
      </c>
      <c r="FK144" s="25" t="s">
        <v>196</v>
      </c>
      <c r="FL144" s="26" t="s">
        <v>199</v>
      </c>
      <c r="FM144" s="30" t="s">
        <v>75</v>
      </c>
      <c r="FN144" s="29" t="s">
        <v>57</v>
      </c>
      <c r="FO144" s="29" t="s">
        <v>76</v>
      </c>
      <c r="FP144" s="29" t="s">
        <v>77</v>
      </c>
      <c r="FQ144" s="29" t="s">
        <v>78</v>
      </c>
      <c r="FR144" s="31" t="s">
        <v>79</v>
      </c>
      <c r="FS144" s="21" t="s">
        <v>122</v>
      </c>
      <c r="FT144" s="22" t="s">
        <v>123</v>
      </c>
      <c r="FU144" s="23" t="s">
        <v>124</v>
      </c>
      <c r="FV144" s="237"/>
      <c r="FW144" s="237"/>
      <c r="FX144" s="239"/>
      <c r="FY144" s="241"/>
      <c r="FZ144" s="243"/>
      <c r="GA144" s="223"/>
      <c r="GB144" s="223"/>
      <c r="GC144" s="223"/>
      <c r="GD144" s="223"/>
      <c r="GE144" s="223"/>
    </row>
    <row r="145" spans="1:187" x14ac:dyDescent="0.25">
      <c r="A145" s="111">
        <f>IF('3'!$AC$8="",B145,NA())</f>
        <v>1</v>
      </c>
      <c r="B145" s="111">
        <v>1</v>
      </c>
      <c r="C145" s="96"/>
      <c r="D145" s="112"/>
      <c r="E145" s="96"/>
      <c r="F145" s="96"/>
      <c r="G145" s="96"/>
      <c r="H145" s="96"/>
      <c r="I145" s="96"/>
      <c r="J145" s="96"/>
      <c r="K145" s="96"/>
      <c r="L145" s="111"/>
      <c r="M145" s="96"/>
      <c r="N145" s="96"/>
      <c r="O145" s="96"/>
      <c r="P145" s="96"/>
      <c r="Q145" s="111"/>
      <c r="R145" s="96"/>
      <c r="S145" s="96"/>
      <c r="T145" s="96"/>
      <c r="U145" s="96"/>
      <c r="V145" s="96"/>
      <c r="W145" s="96"/>
      <c r="X145" s="96"/>
      <c r="Y145" s="96"/>
      <c r="Z145" s="96"/>
      <c r="AA145" s="96"/>
      <c r="AB145" s="96"/>
      <c r="AC145" s="96"/>
      <c r="AD145" s="111"/>
      <c r="AJ145" s="84"/>
      <c r="AK145" s="113"/>
      <c r="AN145" s="84"/>
      <c r="AT145" s="113"/>
      <c r="AX145" s="84"/>
      <c r="AY145" s="113"/>
      <c r="BD145" s="84"/>
      <c r="BE145" s="163"/>
      <c r="BI145" s="81"/>
      <c r="BJ145" s="82"/>
      <c r="BK145" s="82"/>
      <c r="BL145" s="82"/>
      <c r="BM145" s="83"/>
      <c r="BQ145" s="140"/>
      <c r="BR145" s="32"/>
      <c r="BS145" s="33"/>
      <c r="BT145" s="33"/>
      <c r="BU145" s="33"/>
      <c r="BV145" s="33"/>
      <c r="BW145" s="33"/>
      <c r="BX145" s="33"/>
      <c r="BY145" s="33"/>
      <c r="BZ145" s="33"/>
      <c r="CA145" s="33"/>
      <c r="CB145" s="34"/>
      <c r="CC145" s="81"/>
      <c r="CD145" s="82"/>
      <c r="CE145" s="83"/>
      <c r="CF145" s="112">
        <f>CG145</f>
        <v>1</v>
      </c>
      <c r="CG145" s="96">
        <v>1</v>
      </c>
      <c r="CH145" s="96"/>
      <c r="CI145" s="96"/>
      <c r="CJ145" s="96"/>
      <c r="CK145" s="96"/>
      <c r="CL145" s="96">
        <f>SQRT(2*CONVERT(CJ145, "psi", "Pa") / $J$1)</f>
        <v>0</v>
      </c>
      <c r="CM145" s="96">
        <f>IF(CF145=A145,SQRT((2*CONVERT(CJ145,"psi","Pa")-AC145*$J$2*AO145^2)/((1-AC145)*$CM$1*$J$1)), NA())</f>
        <v>0</v>
      </c>
      <c r="CN145" s="96">
        <f>(1-AC145)*CM145</f>
        <v>0</v>
      </c>
      <c r="CO145" s="112">
        <f>IF(AO145&gt;0, AO145-CM145, 0)</f>
        <v>0</v>
      </c>
      <c r="CQ145" s="111" t="e">
        <f>IF('3'!$AC$2="",CR145,NA())</f>
        <v>#N/A</v>
      </c>
      <c r="CR145" s="111">
        <v>1</v>
      </c>
      <c r="CS145" s="96"/>
      <c r="CT145" s="112"/>
      <c r="CU145" s="96"/>
      <c r="CV145" s="96"/>
      <c r="CW145" s="96"/>
      <c r="CX145" s="96"/>
      <c r="CY145" s="96"/>
      <c r="CZ145" s="96"/>
      <c r="DA145" s="96"/>
      <c r="DB145" s="111"/>
      <c r="DC145" s="96"/>
      <c r="DD145" s="96"/>
      <c r="DE145" s="96"/>
      <c r="DF145" s="96"/>
      <c r="DG145" s="111"/>
      <c r="DH145" s="96"/>
      <c r="DI145" s="96"/>
      <c r="DJ145" s="96"/>
      <c r="DK145" s="96"/>
      <c r="DL145" s="96"/>
      <c r="DM145" s="96"/>
      <c r="DN145" s="96"/>
      <c r="DO145" s="96"/>
      <c r="DP145" s="96"/>
      <c r="DQ145" s="96"/>
      <c r="DR145" s="96"/>
      <c r="DS145" s="96"/>
      <c r="DT145" s="111"/>
      <c r="DZ145" s="84"/>
      <c r="EA145" s="113"/>
      <c r="ED145" s="84"/>
      <c r="EJ145" s="113"/>
      <c r="EN145" s="84"/>
      <c r="EO145" s="113"/>
      <c r="ET145" s="84"/>
      <c r="EU145" s="163"/>
      <c r="EY145" s="81"/>
      <c r="EZ145" s="82"/>
      <c r="FA145" s="82"/>
      <c r="FB145" s="82"/>
      <c r="FC145" s="83"/>
      <c r="FG145" s="140"/>
      <c r="FH145" s="32"/>
      <c r="FI145" s="33"/>
      <c r="FJ145" s="33"/>
      <c r="FK145" s="33"/>
      <c r="FL145" s="33"/>
      <c r="FM145" s="33"/>
      <c r="FN145" s="33"/>
      <c r="FO145" s="33"/>
      <c r="FP145" s="33"/>
      <c r="FQ145" s="33"/>
      <c r="FR145" s="34"/>
      <c r="FS145" s="81"/>
      <c r="FT145" s="82"/>
      <c r="FU145" s="83"/>
      <c r="FV145" s="112">
        <f>FW145</f>
        <v>1</v>
      </c>
      <c r="FW145" s="96">
        <v>1</v>
      </c>
      <c r="FX145" s="96"/>
      <c r="FY145" s="96"/>
      <c r="FZ145" s="96"/>
      <c r="GA145" s="96"/>
      <c r="GB145" s="96">
        <f>SQRT(2*CONVERT(FZ145, "psi", "Pa") / $J$1)</f>
        <v>0</v>
      </c>
      <c r="GC145" s="96" t="e">
        <f>IF(FV145=CQ145,SQRT((2*CONVERT(FZ145,"psi","Pa")-DS145*$J$2*EE145^2)/((1-DS145)*$CM$1*$J$1)), NA())</f>
        <v>#N/A</v>
      </c>
      <c r="GD145" s="96" t="e">
        <f>(1-DS145)*GC145</f>
        <v>#N/A</v>
      </c>
      <c r="GE145" s="112">
        <f>IF(EE145&gt;0, EE145-GC145, 0)</f>
        <v>0</v>
      </c>
    </row>
    <row r="146" spans="1:187" x14ac:dyDescent="0.25">
      <c r="A146" s="111">
        <f>IF('3'!$AC$8="",B146,NA())</f>
        <v>0.9</v>
      </c>
      <c r="B146" s="111">
        <v>0.9</v>
      </c>
      <c r="C146" s="96">
        <v>30</v>
      </c>
      <c r="D146" s="112">
        <v>50000</v>
      </c>
      <c r="E146" s="96"/>
      <c r="F146" s="96"/>
      <c r="G146" s="96"/>
      <c r="H146" s="96"/>
      <c r="I146" s="96"/>
      <c r="J146" s="96"/>
      <c r="K146" s="96"/>
      <c r="L146" s="111"/>
      <c r="M146" s="96"/>
      <c r="N146" s="96"/>
      <c r="O146" s="96"/>
      <c r="P146" s="112"/>
      <c r="Q146" s="111"/>
      <c r="R146" s="96"/>
      <c r="S146" s="96"/>
      <c r="T146" s="96"/>
      <c r="U146" s="96"/>
      <c r="V146" s="112"/>
      <c r="W146" s="96"/>
      <c r="X146" s="96"/>
      <c r="Y146" s="96"/>
      <c r="Z146" s="96"/>
      <c r="AA146" s="96"/>
      <c r="AB146" s="96"/>
      <c r="AC146" s="96"/>
      <c r="AD146" s="111"/>
      <c r="AJ146" s="84"/>
      <c r="AK146" s="113"/>
      <c r="AN146" s="84"/>
      <c r="AT146" s="113"/>
      <c r="AX146" s="84"/>
      <c r="AY146" s="113"/>
      <c r="BD146" s="84"/>
      <c r="BE146" s="147" t="e">
        <f t="shared" ref="BE146:BE154" si="207">AQ146/AO146</f>
        <v>#DIV/0!</v>
      </c>
      <c r="BF146" s="157">
        <f t="shared" ref="BF146:BF164" si="208">I146/C146</f>
        <v>0</v>
      </c>
      <c r="BG146" s="157">
        <f t="shared" ref="BG146:BG164" si="209">J146/C146</f>
        <v>0</v>
      </c>
      <c r="BH146" s="157">
        <f t="shared" ref="BH146:BH164" si="210">K146/C146</f>
        <v>0</v>
      </c>
      <c r="BI146" s="152">
        <f t="shared" ref="BI146:BI164" si="211">(AA146/$E$246-1)^2</f>
        <v>1</v>
      </c>
      <c r="BJ146" s="153">
        <f t="shared" ref="BJ146:BJ164" si="212">(AA146/$G$246-1)^2</f>
        <v>1</v>
      </c>
      <c r="BK146" s="116" t="e">
        <f t="shared" ref="BK146:BK164" si="213">(AB146/$F$246-1)^2</f>
        <v>#DIV/0!</v>
      </c>
      <c r="BL146" s="116">
        <f t="shared" ref="BL146:BL164" si="214">(AB146/$G$246-1)^2</f>
        <v>1</v>
      </c>
      <c r="BM146" s="154">
        <f t="shared" ref="BM146:BM164" si="215">(AC146/$G$246-1)^2</f>
        <v>1</v>
      </c>
      <c r="BN146" s="153">
        <f t="shared" ref="BN146:BN164" si="216">(AH146/$H$246-1)^2</f>
        <v>1</v>
      </c>
      <c r="BO146" s="116" t="e">
        <f t="shared" ref="BO146:BO164" si="217">(AI146/$I$246-1)^2</f>
        <v>#DIV/0!</v>
      </c>
      <c r="BP146" s="153">
        <f t="shared" ref="BP146:BP164" si="218">(AJ146/$J$246-1)^2</f>
        <v>1</v>
      </c>
      <c r="BQ146" s="141" t="e">
        <f t="shared" ref="BQ146:BQ150" si="219">I146/H146</f>
        <v>#DIV/0!</v>
      </c>
      <c r="BR146" s="111">
        <f t="shared" ref="BR146:BR164" si="220">AK146*P146</f>
        <v>0</v>
      </c>
      <c r="BS146" s="96" t="e">
        <f t="shared" ref="BS146:BS164" si="221">6000*AC146/AJ146</f>
        <v>#DIV/0!</v>
      </c>
      <c r="BT146" s="96" t="e">
        <f t="shared" ref="BT146:BT164" si="222">BS146*AC146</f>
        <v>#DIV/0!</v>
      </c>
      <c r="BU146" s="96">
        <f t="shared" ref="BU146:BU164" si="223">AB146*AN146</f>
        <v>0</v>
      </c>
      <c r="BV146" s="96"/>
      <c r="BW146" s="96">
        <f t="shared" ref="BW146:BW164" si="224">$G$2*(1-ABS(A146))^(1/$G$1)</f>
        <v>0.68180638083025913</v>
      </c>
      <c r="BX146" s="96">
        <f t="shared" ref="BX146:BX164" si="225">SUM(W146:X146)*AO146+SUM(Y146:Z146)*AP146+(1-AC146)*BW146</f>
        <v>0.68180638083025913</v>
      </c>
      <c r="BY146" s="96">
        <f t="shared" ref="BY146:BY164" si="226">AC146*BX146</f>
        <v>0</v>
      </c>
      <c r="BZ146" s="96" t="e">
        <f t="shared" ref="BZ146:BZ164" si="227">(AO146*SUM(W146:X146)/AC146)+(AP146*SUM(Y146:Z146)/AC146)-BX146</f>
        <v>#DIV/0!</v>
      </c>
      <c r="CA146" s="96" t="e">
        <f t="shared" ref="CA146:CA164" si="228">AC146*BZ146</f>
        <v>#DIV/0!</v>
      </c>
      <c r="CB146" s="112" t="e">
        <f t="shared" ref="CB146:CB164" si="229">CA146/(1-AC146)</f>
        <v>#DIV/0!</v>
      </c>
      <c r="CC146" s="113" t="e">
        <f t="shared" ref="CC146:CC164" si="230">M146/L146*100</f>
        <v>#DIV/0!</v>
      </c>
      <c r="CD146" s="13" t="e">
        <f t="shared" ref="CD146:CD164" si="231">N146/L146*100</f>
        <v>#DIV/0!</v>
      </c>
      <c r="CE146" s="84" t="e">
        <f t="shared" ref="CE146:CE164" si="232">O146/L146*100</f>
        <v>#DIV/0!</v>
      </c>
      <c r="CF146" s="112">
        <f t="shared" ref="CF146:CF154" si="233">CG146</f>
        <v>0</v>
      </c>
      <c r="CG146" s="96"/>
      <c r="CH146" s="96"/>
      <c r="CI146" s="96"/>
      <c r="CJ146" s="96"/>
      <c r="CK146" s="96"/>
      <c r="CL146" s="96">
        <f t="shared" ref="CL146:CL154" si="234">SQRT(2*CONVERT(CJ146, "psi", "Pa") / $J$1)</f>
        <v>0</v>
      </c>
      <c r="CM146" s="96" t="e">
        <f t="shared" ref="CM146:CM165" si="235">IF(CF146=A146,SQRT((2*CONVERT(CJ146,"psi","Pa")-AC146*$J$2*AO146^2)/((1-AC146)*$CM$1*$J$1)), NA())</f>
        <v>#N/A</v>
      </c>
      <c r="CN146" s="96" t="e">
        <f t="shared" ref="CN146:CN164" si="236">(1-AC146)*CM146</f>
        <v>#N/A</v>
      </c>
      <c r="CO146" s="112">
        <f t="shared" ref="CO146:CO165" si="237">IF(AO146&gt;0, AO146-CM146, 0)</f>
        <v>0</v>
      </c>
      <c r="CQ146" s="111" t="e">
        <f>IF('3'!$AC$2="",CR146,NA())</f>
        <v>#N/A</v>
      </c>
      <c r="CR146" s="111">
        <v>0.9</v>
      </c>
      <c r="CS146" s="96">
        <v>30</v>
      </c>
      <c r="CT146" s="112">
        <v>50000</v>
      </c>
      <c r="CU146" s="96"/>
      <c r="CV146" s="96"/>
      <c r="CW146" s="96"/>
      <c r="CX146" s="96"/>
      <c r="CY146" s="96"/>
      <c r="CZ146" s="96"/>
      <c r="DA146" s="96"/>
      <c r="DB146" s="111"/>
      <c r="DC146" s="96"/>
      <c r="DD146" s="96"/>
      <c r="DE146" s="96"/>
      <c r="DF146" s="112"/>
      <c r="DG146" s="111"/>
      <c r="DH146" s="96"/>
      <c r="DI146" s="96"/>
      <c r="DJ146" s="96"/>
      <c r="DK146" s="96"/>
      <c r="DL146" s="112"/>
      <c r="DM146" s="96"/>
      <c r="DN146" s="96"/>
      <c r="DO146" s="96"/>
      <c r="DP146" s="96"/>
      <c r="DQ146" s="96"/>
      <c r="DR146" s="96"/>
      <c r="DS146" s="96"/>
      <c r="DT146" s="111"/>
      <c r="DZ146" s="84"/>
      <c r="EA146" s="113"/>
      <c r="ED146" s="84"/>
      <c r="EJ146" s="113"/>
      <c r="EN146" s="84"/>
      <c r="EO146" s="113"/>
      <c r="ET146" s="84"/>
      <c r="EU146" s="147" t="e">
        <f t="shared" ref="EU146:EU154" si="238">EG146/EE146</f>
        <v>#DIV/0!</v>
      </c>
      <c r="EV146" s="157">
        <f t="shared" ref="EV146:EV164" si="239">CY146/CS146</f>
        <v>0</v>
      </c>
      <c r="EW146" s="157">
        <f t="shared" ref="EW146:EW164" si="240">CZ146/CS146</f>
        <v>0</v>
      </c>
      <c r="EX146" s="157">
        <f t="shared" ref="EX146:EX164" si="241">DA146/CS146</f>
        <v>0</v>
      </c>
      <c r="EY146" s="152">
        <f t="shared" ref="EY146:EY164" si="242">(DQ146/$E$246-1)^2</f>
        <v>1</v>
      </c>
      <c r="EZ146" s="153">
        <f t="shared" ref="EZ146:EZ164" si="243">(DQ146/$G$246-1)^2</f>
        <v>1</v>
      </c>
      <c r="FA146" s="116" t="e">
        <f t="shared" ref="FA146:FA164" si="244">(DR146/$F$246-1)^2</f>
        <v>#DIV/0!</v>
      </c>
      <c r="FB146" s="116">
        <f t="shared" ref="FB146:FB164" si="245">(DR146/$G$246-1)^2</f>
        <v>1</v>
      </c>
      <c r="FC146" s="154">
        <f t="shared" ref="FC146:FC164" si="246">(DS146/$G$246-1)^2</f>
        <v>1</v>
      </c>
      <c r="FD146" s="153">
        <f t="shared" ref="FD146:FD164" si="247">(DX146/$H$246-1)^2</f>
        <v>1</v>
      </c>
      <c r="FE146" s="116" t="e">
        <f t="shared" ref="FE146:FE164" si="248">(DY146/$I$246-1)^2</f>
        <v>#DIV/0!</v>
      </c>
      <c r="FF146" s="153">
        <f t="shared" ref="FF146:FF164" si="249">(DZ146/$J$246-1)^2</f>
        <v>1</v>
      </c>
      <c r="FG146" s="141" t="e">
        <f t="shared" ref="FG146:FG150" si="250">CY146/CX146</f>
        <v>#DIV/0!</v>
      </c>
      <c r="FH146" s="111">
        <f t="shared" ref="FH146:FH164" si="251">EA146*DF146</f>
        <v>0</v>
      </c>
      <c r="FI146" s="96" t="e">
        <f t="shared" ref="FI146:FI164" si="252">6000*DS146/DZ146</f>
        <v>#DIV/0!</v>
      </c>
      <c r="FJ146" s="96" t="e">
        <f t="shared" ref="FJ146:FJ164" si="253">FI146*DS146</f>
        <v>#DIV/0!</v>
      </c>
      <c r="FK146" s="96">
        <f t="shared" ref="FK146:FK164" si="254">DR146*ED146</f>
        <v>0</v>
      </c>
      <c r="FL146" s="96"/>
      <c r="FM146" s="96" t="e">
        <f t="shared" ref="FM146:FM164" si="255">$G$2*(1-ABS(CQ146))^(1/$G$1)</f>
        <v>#N/A</v>
      </c>
      <c r="FN146" s="96" t="e">
        <f t="shared" ref="FN146:FN164" si="256">SUM(DM146:DN146)*EE146+SUM(DO146:DP146)*EF146+(1-DS146)*FM146</f>
        <v>#N/A</v>
      </c>
      <c r="FO146" s="96" t="e">
        <f t="shared" ref="FO146:FO164" si="257">DS146*FN146</f>
        <v>#N/A</v>
      </c>
      <c r="FP146" s="96" t="e">
        <f t="shared" ref="FP146:FP164" si="258">(EE146*SUM(DM146:DN146)/DS146)+(EF146*SUM(DO146:DP146)/DS146)-FN146</f>
        <v>#DIV/0!</v>
      </c>
      <c r="FQ146" s="96" t="e">
        <f t="shared" ref="FQ146:FQ164" si="259">DS146*FP146</f>
        <v>#DIV/0!</v>
      </c>
      <c r="FR146" s="112" t="e">
        <f t="shared" ref="FR146:FR164" si="260">FQ146/(1-DS146)</f>
        <v>#DIV/0!</v>
      </c>
      <c r="FS146" s="113" t="e">
        <f t="shared" ref="FS146:FS164" si="261">DC146/DB146*100</f>
        <v>#DIV/0!</v>
      </c>
      <c r="FT146" s="13" t="e">
        <f t="shared" ref="FT146:FT164" si="262">DD146/DB146*100</f>
        <v>#DIV/0!</v>
      </c>
      <c r="FU146" s="84" t="e">
        <f t="shared" ref="FU146:FU164" si="263">DE146/DB146*100</f>
        <v>#DIV/0!</v>
      </c>
      <c r="FV146" s="112">
        <f t="shared" ref="FV146:FV154" si="264">FW146</f>
        <v>0</v>
      </c>
      <c r="FW146" s="96"/>
      <c r="FX146" s="96"/>
      <c r="FY146" s="96"/>
      <c r="FZ146" s="96"/>
      <c r="GA146" s="96"/>
      <c r="GB146" s="96">
        <f t="shared" ref="GB146:GB154" si="265">SQRT(2*CONVERT(FZ146, "psi", "Pa") / $J$1)</f>
        <v>0</v>
      </c>
      <c r="GC146" s="96" t="e">
        <f t="shared" ref="GC146:GC165" si="266">IF(FV146=CQ146,SQRT((2*CONVERT(FZ146,"psi","Pa")-DS146*$J$2*EE146^2)/((1-DS146)*$CM$1*$J$1)), NA())</f>
        <v>#N/A</v>
      </c>
      <c r="GD146" s="96" t="e">
        <f t="shared" ref="GD146:GD164" si="267">(1-DS146)*GC146</f>
        <v>#N/A</v>
      </c>
      <c r="GE146" s="112">
        <f t="shared" ref="GE146:GE165" si="268">IF(EE146&gt;0, EE146-GC146, 0)</f>
        <v>0</v>
      </c>
    </row>
    <row r="147" spans="1:187" x14ac:dyDescent="0.25">
      <c r="A147" s="111">
        <f>IF('3'!$AC$8="",B147,NA())</f>
        <v>0.8</v>
      </c>
      <c r="B147" s="111">
        <v>0.8</v>
      </c>
      <c r="C147" s="96">
        <v>30</v>
      </c>
      <c r="D147" s="112">
        <v>50000</v>
      </c>
      <c r="E147" s="96"/>
      <c r="F147" s="96"/>
      <c r="G147" s="96"/>
      <c r="H147" s="96"/>
      <c r="I147" s="96"/>
      <c r="J147" s="96"/>
      <c r="K147" s="96"/>
      <c r="L147" s="111"/>
      <c r="M147" s="96"/>
      <c r="N147" s="96"/>
      <c r="O147" s="96"/>
      <c r="P147" s="112"/>
      <c r="Q147" s="111"/>
      <c r="R147" s="96"/>
      <c r="S147" s="96"/>
      <c r="T147" s="96"/>
      <c r="U147" s="96"/>
      <c r="V147" s="112"/>
      <c r="W147" s="96"/>
      <c r="X147" s="96"/>
      <c r="Y147" s="96"/>
      <c r="Z147" s="96"/>
      <c r="AA147" s="96"/>
      <c r="AB147" s="96"/>
      <c r="AC147" s="96"/>
      <c r="AD147" s="111"/>
      <c r="AJ147" s="84"/>
      <c r="AK147" s="113"/>
      <c r="AN147" s="84"/>
      <c r="AT147" s="113"/>
      <c r="AX147" s="84"/>
      <c r="AY147" s="113"/>
      <c r="BD147" s="84"/>
      <c r="BE147" s="147" t="e">
        <f t="shared" si="207"/>
        <v>#DIV/0!</v>
      </c>
      <c r="BF147" s="157">
        <f t="shared" si="208"/>
        <v>0</v>
      </c>
      <c r="BG147" s="157">
        <f t="shared" si="209"/>
        <v>0</v>
      </c>
      <c r="BH147" s="157">
        <f t="shared" si="210"/>
        <v>0</v>
      </c>
      <c r="BI147" s="152">
        <f t="shared" si="211"/>
        <v>1</v>
      </c>
      <c r="BJ147" s="153">
        <f t="shared" si="212"/>
        <v>1</v>
      </c>
      <c r="BK147" s="116" t="e">
        <f t="shared" si="213"/>
        <v>#DIV/0!</v>
      </c>
      <c r="BL147" s="116">
        <f t="shared" si="214"/>
        <v>1</v>
      </c>
      <c r="BM147" s="154">
        <f t="shared" si="215"/>
        <v>1</v>
      </c>
      <c r="BN147" s="153">
        <f t="shared" si="216"/>
        <v>1</v>
      </c>
      <c r="BO147" s="116" t="e">
        <f t="shared" si="217"/>
        <v>#DIV/0!</v>
      </c>
      <c r="BP147" s="153">
        <f t="shared" si="218"/>
        <v>1</v>
      </c>
      <c r="BQ147" s="141" t="e">
        <f t="shared" si="219"/>
        <v>#DIV/0!</v>
      </c>
      <c r="BR147" s="111">
        <f t="shared" si="220"/>
        <v>0</v>
      </c>
      <c r="BS147" s="96" t="e">
        <f t="shared" si="221"/>
        <v>#DIV/0!</v>
      </c>
      <c r="BT147" s="96" t="e">
        <f t="shared" si="222"/>
        <v>#DIV/0!</v>
      </c>
      <c r="BU147" s="96">
        <f t="shared" si="223"/>
        <v>0</v>
      </c>
      <c r="BV147" s="96"/>
      <c r="BW147" s="96">
        <f t="shared" si="224"/>
        <v>0.76384925376347856</v>
      </c>
      <c r="BX147" s="96">
        <f t="shared" si="225"/>
        <v>0.76384925376347856</v>
      </c>
      <c r="BY147" s="96">
        <f t="shared" si="226"/>
        <v>0</v>
      </c>
      <c r="BZ147" s="96" t="e">
        <f t="shared" si="227"/>
        <v>#DIV/0!</v>
      </c>
      <c r="CA147" s="96" t="e">
        <f t="shared" si="228"/>
        <v>#DIV/0!</v>
      </c>
      <c r="CB147" s="112" t="e">
        <f t="shared" si="229"/>
        <v>#DIV/0!</v>
      </c>
      <c r="CC147" s="113" t="e">
        <f t="shared" si="230"/>
        <v>#DIV/0!</v>
      </c>
      <c r="CD147" s="13" t="e">
        <f t="shared" si="231"/>
        <v>#DIV/0!</v>
      </c>
      <c r="CE147" s="84" t="e">
        <f t="shared" si="232"/>
        <v>#DIV/0!</v>
      </c>
      <c r="CF147" s="112">
        <f t="shared" si="233"/>
        <v>0</v>
      </c>
      <c r="CG147" s="111"/>
      <c r="CH147" s="96"/>
      <c r="CI147" s="96"/>
      <c r="CJ147" s="96"/>
      <c r="CK147" s="96"/>
      <c r="CL147" s="96">
        <f t="shared" si="234"/>
        <v>0</v>
      </c>
      <c r="CM147" s="96" t="e">
        <f t="shared" si="235"/>
        <v>#N/A</v>
      </c>
      <c r="CN147" s="96" t="e">
        <f t="shared" si="236"/>
        <v>#N/A</v>
      </c>
      <c r="CO147" s="112">
        <f t="shared" si="237"/>
        <v>0</v>
      </c>
      <c r="CQ147" s="111" t="e">
        <f>IF('3'!$AC$2="",CR147,NA())</f>
        <v>#N/A</v>
      </c>
      <c r="CR147" s="111">
        <v>0.8</v>
      </c>
      <c r="CS147" s="96">
        <v>30</v>
      </c>
      <c r="CT147" s="112">
        <v>50000</v>
      </c>
      <c r="CU147" s="96"/>
      <c r="CV147" s="96"/>
      <c r="CW147" s="96"/>
      <c r="CX147" s="96"/>
      <c r="CY147" s="96"/>
      <c r="CZ147" s="96"/>
      <c r="DA147" s="96"/>
      <c r="DB147" s="111"/>
      <c r="DC147" s="96"/>
      <c r="DD147" s="96"/>
      <c r="DE147" s="96"/>
      <c r="DF147" s="112"/>
      <c r="DG147" s="111"/>
      <c r="DH147" s="96"/>
      <c r="DI147" s="96"/>
      <c r="DJ147" s="96"/>
      <c r="DK147" s="96"/>
      <c r="DL147" s="112"/>
      <c r="DM147" s="96"/>
      <c r="DN147" s="96"/>
      <c r="DO147" s="96"/>
      <c r="DP147" s="96"/>
      <c r="DQ147" s="96"/>
      <c r="DR147" s="96"/>
      <c r="DS147" s="96"/>
      <c r="DT147" s="111"/>
      <c r="DZ147" s="84"/>
      <c r="EA147" s="113"/>
      <c r="ED147" s="84"/>
      <c r="EJ147" s="113"/>
      <c r="EN147" s="84"/>
      <c r="EO147" s="113"/>
      <c r="ET147" s="84"/>
      <c r="EU147" s="147" t="e">
        <f t="shared" si="238"/>
        <v>#DIV/0!</v>
      </c>
      <c r="EV147" s="157">
        <f t="shared" si="239"/>
        <v>0</v>
      </c>
      <c r="EW147" s="157">
        <f t="shared" si="240"/>
        <v>0</v>
      </c>
      <c r="EX147" s="157">
        <f t="shared" si="241"/>
        <v>0</v>
      </c>
      <c r="EY147" s="152">
        <f t="shared" si="242"/>
        <v>1</v>
      </c>
      <c r="EZ147" s="153">
        <f t="shared" si="243"/>
        <v>1</v>
      </c>
      <c r="FA147" s="116" t="e">
        <f t="shared" si="244"/>
        <v>#DIV/0!</v>
      </c>
      <c r="FB147" s="116">
        <f t="shared" si="245"/>
        <v>1</v>
      </c>
      <c r="FC147" s="154">
        <f t="shared" si="246"/>
        <v>1</v>
      </c>
      <c r="FD147" s="153">
        <f t="shared" si="247"/>
        <v>1</v>
      </c>
      <c r="FE147" s="116" t="e">
        <f t="shared" si="248"/>
        <v>#DIV/0!</v>
      </c>
      <c r="FF147" s="153">
        <f t="shared" si="249"/>
        <v>1</v>
      </c>
      <c r="FG147" s="141" t="e">
        <f t="shared" si="250"/>
        <v>#DIV/0!</v>
      </c>
      <c r="FH147" s="111">
        <f t="shared" si="251"/>
        <v>0</v>
      </c>
      <c r="FI147" s="96" t="e">
        <f t="shared" si="252"/>
        <v>#DIV/0!</v>
      </c>
      <c r="FJ147" s="96" t="e">
        <f t="shared" si="253"/>
        <v>#DIV/0!</v>
      </c>
      <c r="FK147" s="96">
        <f t="shared" si="254"/>
        <v>0</v>
      </c>
      <c r="FL147" s="96"/>
      <c r="FM147" s="96" t="e">
        <f t="shared" si="255"/>
        <v>#N/A</v>
      </c>
      <c r="FN147" s="96" t="e">
        <f t="shared" si="256"/>
        <v>#N/A</v>
      </c>
      <c r="FO147" s="96" t="e">
        <f t="shared" si="257"/>
        <v>#N/A</v>
      </c>
      <c r="FP147" s="96" t="e">
        <f t="shared" si="258"/>
        <v>#DIV/0!</v>
      </c>
      <c r="FQ147" s="96" t="e">
        <f t="shared" si="259"/>
        <v>#DIV/0!</v>
      </c>
      <c r="FR147" s="112" t="e">
        <f t="shared" si="260"/>
        <v>#DIV/0!</v>
      </c>
      <c r="FS147" s="113" t="e">
        <f t="shared" si="261"/>
        <v>#DIV/0!</v>
      </c>
      <c r="FT147" s="13" t="e">
        <f t="shared" si="262"/>
        <v>#DIV/0!</v>
      </c>
      <c r="FU147" s="84" t="e">
        <f t="shared" si="263"/>
        <v>#DIV/0!</v>
      </c>
      <c r="FV147" s="112">
        <f t="shared" si="264"/>
        <v>0</v>
      </c>
      <c r="FW147" s="111"/>
      <c r="FX147" s="96"/>
      <c r="FY147" s="96"/>
      <c r="FZ147" s="96"/>
      <c r="GA147" s="96"/>
      <c r="GB147" s="96">
        <f t="shared" si="265"/>
        <v>0</v>
      </c>
      <c r="GC147" s="96" t="e">
        <f t="shared" si="266"/>
        <v>#N/A</v>
      </c>
      <c r="GD147" s="96" t="e">
        <f t="shared" si="267"/>
        <v>#N/A</v>
      </c>
      <c r="GE147" s="112">
        <f t="shared" si="268"/>
        <v>0</v>
      </c>
    </row>
    <row r="148" spans="1:187" x14ac:dyDescent="0.25">
      <c r="A148" s="111">
        <f>IF('3'!$AC$8="",B148,NA())</f>
        <v>0.7</v>
      </c>
      <c r="B148" s="111">
        <v>0.7</v>
      </c>
      <c r="C148" s="96">
        <v>30</v>
      </c>
      <c r="D148" s="112">
        <v>50000</v>
      </c>
      <c r="E148" s="96"/>
      <c r="F148" s="96"/>
      <c r="G148" s="96"/>
      <c r="H148" s="96"/>
      <c r="I148" s="96"/>
      <c r="J148" s="96"/>
      <c r="K148" s="96"/>
      <c r="L148" s="111"/>
      <c r="M148" s="96"/>
      <c r="N148" s="96"/>
      <c r="O148" s="96"/>
      <c r="P148" s="112"/>
      <c r="Q148" s="111"/>
      <c r="R148" s="96"/>
      <c r="S148" s="96"/>
      <c r="T148" s="96"/>
      <c r="U148" s="96"/>
      <c r="V148" s="112"/>
      <c r="W148" s="96"/>
      <c r="X148" s="96"/>
      <c r="Y148" s="96"/>
      <c r="Z148" s="96"/>
      <c r="AA148" s="96"/>
      <c r="AB148" s="96"/>
      <c r="AC148" s="96"/>
      <c r="AD148" s="111"/>
      <c r="AJ148" s="84"/>
      <c r="AK148" s="113"/>
      <c r="AN148" s="84"/>
      <c r="AT148" s="113"/>
      <c r="AX148" s="84"/>
      <c r="AY148" s="113"/>
      <c r="BD148" s="84"/>
      <c r="BE148" s="147" t="e">
        <f t="shared" si="207"/>
        <v>#DIV/0!</v>
      </c>
      <c r="BF148" s="157">
        <f t="shared" si="208"/>
        <v>0</v>
      </c>
      <c r="BG148" s="157">
        <f t="shared" si="209"/>
        <v>0</v>
      </c>
      <c r="BH148" s="157">
        <f t="shared" si="210"/>
        <v>0</v>
      </c>
      <c r="BI148" s="152">
        <f t="shared" si="211"/>
        <v>1</v>
      </c>
      <c r="BJ148" s="153">
        <f t="shared" si="212"/>
        <v>1</v>
      </c>
      <c r="BK148" s="116" t="e">
        <f t="shared" si="213"/>
        <v>#DIV/0!</v>
      </c>
      <c r="BL148" s="116">
        <f t="shared" si="214"/>
        <v>1</v>
      </c>
      <c r="BM148" s="154">
        <f t="shared" si="215"/>
        <v>1</v>
      </c>
      <c r="BN148" s="153">
        <f t="shared" si="216"/>
        <v>1</v>
      </c>
      <c r="BO148" s="116" t="e">
        <f t="shared" si="217"/>
        <v>#DIV/0!</v>
      </c>
      <c r="BP148" s="153">
        <f t="shared" si="218"/>
        <v>1</v>
      </c>
      <c r="BQ148" s="141" t="e">
        <f t="shared" si="219"/>
        <v>#DIV/0!</v>
      </c>
      <c r="BR148" s="111">
        <f t="shared" si="220"/>
        <v>0</v>
      </c>
      <c r="BS148" s="96" t="e">
        <f t="shared" si="221"/>
        <v>#DIV/0!</v>
      </c>
      <c r="BT148" s="96" t="e">
        <f t="shared" si="222"/>
        <v>#DIV/0!</v>
      </c>
      <c r="BU148" s="96">
        <f t="shared" si="223"/>
        <v>0</v>
      </c>
      <c r="BV148" s="96"/>
      <c r="BW148" s="96">
        <f t="shared" si="224"/>
        <v>0.81634468150249617</v>
      </c>
      <c r="BX148" s="96">
        <f t="shared" si="225"/>
        <v>0.81634468150249617</v>
      </c>
      <c r="BY148" s="96">
        <f t="shared" si="226"/>
        <v>0</v>
      </c>
      <c r="BZ148" s="96" t="e">
        <f t="shared" si="227"/>
        <v>#DIV/0!</v>
      </c>
      <c r="CA148" s="96" t="e">
        <f t="shared" si="228"/>
        <v>#DIV/0!</v>
      </c>
      <c r="CB148" s="112" t="e">
        <f t="shared" si="229"/>
        <v>#DIV/0!</v>
      </c>
      <c r="CC148" s="113" t="e">
        <f t="shared" si="230"/>
        <v>#DIV/0!</v>
      </c>
      <c r="CD148" s="13" t="e">
        <f t="shared" si="231"/>
        <v>#DIV/0!</v>
      </c>
      <c r="CE148" s="84" t="e">
        <f t="shared" si="232"/>
        <v>#DIV/0!</v>
      </c>
      <c r="CF148" s="112">
        <f t="shared" si="233"/>
        <v>0</v>
      </c>
      <c r="CG148" s="111"/>
      <c r="CH148" s="96"/>
      <c r="CI148" s="96"/>
      <c r="CJ148" s="96"/>
      <c r="CK148" s="96"/>
      <c r="CL148" s="96">
        <f t="shared" si="234"/>
        <v>0</v>
      </c>
      <c r="CM148" s="96" t="e">
        <f t="shared" si="235"/>
        <v>#N/A</v>
      </c>
      <c r="CN148" s="96" t="e">
        <f t="shared" si="236"/>
        <v>#N/A</v>
      </c>
      <c r="CO148" s="112">
        <f t="shared" si="237"/>
        <v>0</v>
      </c>
      <c r="CQ148" s="111" t="e">
        <f>IF('3'!$AC$2="",CR148,NA())</f>
        <v>#N/A</v>
      </c>
      <c r="CR148" s="111">
        <v>0.7</v>
      </c>
      <c r="CS148" s="96">
        <v>30</v>
      </c>
      <c r="CT148" s="112">
        <v>50000</v>
      </c>
      <c r="CU148" s="96"/>
      <c r="CV148" s="96"/>
      <c r="CW148" s="96"/>
      <c r="CX148" s="96"/>
      <c r="CY148" s="96"/>
      <c r="CZ148" s="96"/>
      <c r="DA148" s="96"/>
      <c r="DB148" s="111"/>
      <c r="DC148" s="96"/>
      <c r="DD148" s="96"/>
      <c r="DE148" s="96"/>
      <c r="DF148" s="112"/>
      <c r="DG148" s="111"/>
      <c r="DH148" s="96"/>
      <c r="DI148" s="96"/>
      <c r="DJ148" s="96"/>
      <c r="DK148" s="96"/>
      <c r="DL148" s="112"/>
      <c r="DM148" s="96"/>
      <c r="DN148" s="96"/>
      <c r="DO148" s="96"/>
      <c r="DP148" s="96"/>
      <c r="DQ148" s="96"/>
      <c r="DR148" s="96"/>
      <c r="DS148" s="96"/>
      <c r="DT148" s="111"/>
      <c r="DZ148" s="84"/>
      <c r="EA148" s="113"/>
      <c r="ED148" s="84"/>
      <c r="EJ148" s="113"/>
      <c r="EN148" s="84"/>
      <c r="EO148" s="113"/>
      <c r="ET148" s="84"/>
      <c r="EU148" s="147" t="e">
        <f t="shared" si="238"/>
        <v>#DIV/0!</v>
      </c>
      <c r="EV148" s="157">
        <f t="shared" si="239"/>
        <v>0</v>
      </c>
      <c r="EW148" s="157">
        <f t="shared" si="240"/>
        <v>0</v>
      </c>
      <c r="EX148" s="157">
        <f t="shared" si="241"/>
        <v>0</v>
      </c>
      <c r="EY148" s="152">
        <f t="shared" si="242"/>
        <v>1</v>
      </c>
      <c r="EZ148" s="153">
        <f t="shared" si="243"/>
        <v>1</v>
      </c>
      <c r="FA148" s="116" t="e">
        <f t="shared" si="244"/>
        <v>#DIV/0!</v>
      </c>
      <c r="FB148" s="116">
        <f t="shared" si="245"/>
        <v>1</v>
      </c>
      <c r="FC148" s="154">
        <f t="shared" si="246"/>
        <v>1</v>
      </c>
      <c r="FD148" s="153">
        <f t="shared" si="247"/>
        <v>1</v>
      </c>
      <c r="FE148" s="116" t="e">
        <f t="shared" si="248"/>
        <v>#DIV/0!</v>
      </c>
      <c r="FF148" s="153">
        <f t="shared" si="249"/>
        <v>1</v>
      </c>
      <c r="FG148" s="141" t="e">
        <f t="shared" si="250"/>
        <v>#DIV/0!</v>
      </c>
      <c r="FH148" s="111">
        <f t="shared" si="251"/>
        <v>0</v>
      </c>
      <c r="FI148" s="96" t="e">
        <f t="shared" si="252"/>
        <v>#DIV/0!</v>
      </c>
      <c r="FJ148" s="96" t="e">
        <f t="shared" si="253"/>
        <v>#DIV/0!</v>
      </c>
      <c r="FK148" s="96">
        <f t="shared" si="254"/>
        <v>0</v>
      </c>
      <c r="FL148" s="96"/>
      <c r="FM148" s="96" t="e">
        <f t="shared" si="255"/>
        <v>#N/A</v>
      </c>
      <c r="FN148" s="96" t="e">
        <f t="shared" si="256"/>
        <v>#N/A</v>
      </c>
      <c r="FO148" s="96" t="e">
        <f t="shared" si="257"/>
        <v>#N/A</v>
      </c>
      <c r="FP148" s="96" t="e">
        <f t="shared" si="258"/>
        <v>#DIV/0!</v>
      </c>
      <c r="FQ148" s="96" t="e">
        <f t="shared" si="259"/>
        <v>#DIV/0!</v>
      </c>
      <c r="FR148" s="112" t="e">
        <f t="shared" si="260"/>
        <v>#DIV/0!</v>
      </c>
      <c r="FS148" s="113" t="e">
        <f t="shared" si="261"/>
        <v>#DIV/0!</v>
      </c>
      <c r="FT148" s="13" t="e">
        <f t="shared" si="262"/>
        <v>#DIV/0!</v>
      </c>
      <c r="FU148" s="84" t="e">
        <f t="shared" si="263"/>
        <v>#DIV/0!</v>
      </c>
      <c r="FV148" s="112">
        <f t="shared" si="264"/>
        <v>0</v>
      </c>
      <c r="FW148" s="111"/>
      <c r="FX148" s="96"/>
      <c r="FY148" s="96"/>
      <c r="FZ148" s="96"/>
      <c r="GA148" s="96"/>
      <c r="GB148" s="96">
        <f t="shared" si="265"/>
        <v>0</v>
      </c>
      <c r="GC148" s="96" t="e">
        <f t="shared" si="266"/>
        <v>#N/A</v>
      </c>
      <c r="GD148" s="96" t="e">
        <f t="shared" si="267"/>
        <v>#N/A</v>
      </c>
      <c r="GE148" s="112">
        <f t="shared" si="268"/>
        <v>0</v>
      </c>
    </row>
    <row r="149" spans="1:187" x14ac:dyDescent="0.25">
      <c r="A149" s="111">
        <f>IF('3'!$AC$8="",B149,NA())</f>
        <v>0.6</v>
      </c>
      <c r="B149" s="111">
        <v>0.6</v>
      </c>
      <c r="C149" s="96">
        <v>30</v>
      </c>
      <c r="D149" s="112">
        <v>50000</v>
      </c>
      <c r="E149" s="96"/>
      <c r="F149" s="96"/>
      <c r="G149" s="96"/>
      <c r="H149" s="96"/>
      <c r="I149" s="96"/>
      <c r="J149" s="96"/>
      <c r="K149" s="96"/>
      <c r="L149" s="111"/>
      <c r="M149" s="96"/>
      <c r="N149" s="96"/>
      <c r="O149" s="96"/>
      <c r="P149" s="112"/>
      <c r="Q149" s="111"/>
      <c r="R149" s="96"/>
      <c r="S149" s="96"/>
      <c r="T149" s="96"/>
      <c r="U149" s="96"/>
      <c r="V149" s="112"/>
      <c r="W149" s="96"/>
      <c r="X149" s="96"/>
      <c r="Y149" s="96"/>
      <c r="Z149" s="96"/>
      <c r="AA149" s="96"/>
      <c r="AB149" s="96"/>
      <c r="AC149" s="96"/>
      <c r="AD149" s="111"/>
      <c r="AJ149" s="84"/>
      <c r="AK149" s="113"/>
      <c r="AN149" s="84"/>
      <c r="AT149" s="113"/>
      <c r="AX149" s="84"/>
      <c r="AY149" s="113"/>
      <c r="BD149" s="84"/>
      <c r="BE149" s="147" t="e">
        <f t="shared" si="207"/>
        <v>#DIV/0!</v>
      </c>
      <c r="BF149" s="157">
        <f t="shared" si="208"/>
        <v>0</v>
      </c>
      <c r="BG149" s="157">
        <f t="shared" si="209"/>
        <v>0</v>
      </c>
      <c r="BH149" s="157">
        <f t="shared" si="210"/>
        <v>0</v>
      </c>
      <c r="BI149" s="152">
        <f t="shared" si="211"/>
        <v>1</v>
      </c>
      <c r="BJ149" s="153">
        <f t="shared" si="212"/>
        <v>1</v>
      </c>
      <c r="BK149" s="116" t="e">
        <f t="shared" si="213"/>
        <v>#DIV/0!</v>
      </c>
      <c r="BL149" s="116">
        <f t="shared" si="214"/>
        <v>1</v>
      </c>
      <c r="BM149" s="154">
        <f t="shared" si="215"/>
        <v>1</v>
      </c>
      <c r="BN149" s="153">
        <f t="shared" si="216"/>
        <v>1</v>
      </c>
      <c r="BO149" s="116" t="e">
        <f t="shared" si="217"/>
        <v>#DIV/0!</v>
      </c>
      <c r="BP149" s="153">
        <f t="shared" si="218"/>
        <v>1</v>
      </c>
      <c r="BQ149" s="141" t="e">
        <f t="shared" si="219"/>
        <v>#DIV/0!</v>
      </c>
      <c r="BR149" s="111">
        <f t="shared" si="220"/>
        <v>0</v>
      </c>
      <c r="BS149" s="96" t="e">
        <f t="shared" si="221"/>
        <v>#DIV/0!</v>
      </c>
      <c r="BT149" s="96" t="e">
        <f t="shared" si="222"/>
        <v>#DIV/0!</v>
      </c>
      <c r="BU149" s="96">
        <f t="shared" si="223"/>
        <v>0</v>
      </c>
      <c r="BV149" s="96"/>
      <c r="BW149" s="96">
        <f t="shared" si="224"/>
        <v>0.85576447930058497</v>
      </c>
      <c r="BX149" s="96">
        <f t="shared" si="225"/>
        <v>0.85576447930058497</v>
      </c>
      <c r="BY149" s="96">
        <f t="shared" si="226"/>
        <v>0</v>
      </c>
      <c r="BZ149" s="96" t="e">
        <f t="shared" si="227"/>
        <v>#DIV/0!</v>
      </c>
      <c r="CA149" s="96" t="e">
        <f t="shared" si="228"/>
        <v>#DIV/0!</v>
      </c>
      <c r="CB149" s="112" t="e">
        <f t="shared" si="229"/>
        <v>#DIV/0!</v>
      </c>
      <c r="CC149" s="113" t="e">
        <f t="shared" si="230"/>
        <v>#DIV/0!</v>
      </c>
      <c r="CD149" s="13" t="e">
        <f t="shared" si="231"/>
        <v>#DIV/0!</v>
      </c>
      <c r="CE149" s="84" t="e">
        <f t="shared" si="232"/>
        <v>#DIV/0!</v>
      </c>
      <c r="CF149" s="112">
        <f t="shared" si="233"/>
        <v>0</v>
      </c>
      <c r="CG149" s="111"/>
      <c r="CH149" s="96"/>
      <c r="CI149" s="96"/>
      <c r="CJ149" s="96"/>
      <c r="CK149" s="96"/>
      <c r="CL149" s="96">
        <f t="shared" si="234"/>
        <v>0</v>
      </c>
      <c r="CM149" s="96" t="e">
        <f t="shared" si="235"/>
        <v>#N/A</v>
      </c>
      <c r="CN149" s="96" t="e">
        <f t="shared" si="236"/>
        <v>#N/A</v>
      </c>
      <c r="CO149" s="112">
        <f t="shared" si="237"/>
        <v>0</v>
      </c>
      <c r="CQ149" s="111" t="e">
        <f>IF('3'!$AC$2="",CR149,NA())</f>
        <v>#N/A</v>
      </c>
      <c r="CR149" s="111">
        <v>0.6</v>
      </c>
      <c r="CS149" s="96">
        <v>30</v>
      </c>
      <c r="CT149" s="112">
        <v>50000</v>
      </c>
      <c r="CU149" s="96"/>
      <c r="CV149" s="96"/>
      <c r="CW149" s="96"/>
      <c r="CX149" s="96"/>
      <c r="CY149" s="96"/>
      <c r="CZ149" s="96"/>
      <c r="DA149" s="96"/>
      <c r="DB149" s="111"/>
      <c r="DC149" s="96"/>
      <c r="DD149" s="96"/>
      <c r="DE149" s="96"/>
      <c r="DF149" s="112"/>
      <c r="DG149" s="111"/>
      <c r="DH149" s="96"/>
      <c r="DI149" s="96"/>
      <c r="DJ149" s="96"/>
      <c r="DK149" s="96"/>
      <c r="DL149" s="112"/>
      <c r="DM149" s="96"/>
      <c r="DN149" s="96"/>
      <c r="DO149" s="96"/>
      <c r="DP149" s="96"/>
      <c r="DQ149" s="96"/>
      <c r="DR149" s="96"/>
      <c r="DS149" s="96"/>
      <c r="DT149" s="111"/>
      <c r="DZ149" s="84"/>
      <c r="EA149" s="113"/>
      <c r="ED149" s="84"/>
      <c r="EJ149" s="113"/>
      <c r="EN149" s="84"/>
      <c r="EO149" s="113"/>
      <c r="ET149" s="84"/>
      <c r="EU149" s="147" t="e">
        <f t="shared" si="238"/>
        <v>#DIV/0!</v>
      </c>
      <c r="EV149" s="157">
        <f t="shared" si="239"/>
        <v>0</v>
      </c>
      <c r="EW149" s="157">
        <f t="shared" si="240"/>
        <v>0</v>
      </c>
      <c r="EX149" s="157">
        <f t="shared" si="241"/>
        <v>0</v>
      </c>
      <c r="EY149" s="152">
        <f t="shared" si="242"/>
        <v>1</v>
      </c>
      <c r="EZ149" s="153">
        <f t="shared" si="243"/>
        <v>1</v>
      </c>
      <c r="FA149" s="116" t="e">
        <f t="shared" si="244"/>
        <v>#DIV/0!</v>
      </c>
      <c r="FB149" s="116">
        <f t="shared" si="245"/>
        <v>1</v>
      </c>
      <c r="FC149" s="154">
        <f t="shared" si="246"/>
        <v>1</v>
      </c>
      <c r="FD149" s="153">
        <f t="shared" si="247"/>
        <v>1</v>
      </c>
      <c r="FE149" s="116" t="e">
        <f t="shared" si="248"/>
        <v>#DIV/0!</v>
      </c>
      <c r="FF149" s="153">
        <f t="shared" si="249"/>
        <v>1</v>
      </c>
      <c r="FG149" s="141" t="e">
        <f t="shared" si="250"/>
        <v>#DIV/0!</v>
      </c>
      <c r="FH149" s="111">
        <f t="shared" si="251"/>
        <v>0</v>
      </c>
      <c r="FI149" s="96" t="e">
        <f t="shared" si="252"/>
        <v>#DIV/0!</v>
      </c>
      <c r="FJ149" s="96" t="e">
        <f t="shared" si="253"/>
        <v>#DIV/0!</v>
      </c>
      <c r="FK149" s="96">
        <f t="shared" si="254"/>
        <v>0</v>
      </c>
      <c r="FL149" s="96"/>
      <c r="FM149" s="96" t="e">
        <f t="shared" si="255"/>
        <v>#N/A</v>
      </c>
      <c r="FN149" s="96" t="e">
        <f t="shared" si="256"/>
        <v>#N/A</v>
      </c>
      <c r="FO149" s="96" t="e">
        <f t="shared" si="257"/>
        <v>#N/A</v>
      </c>
      <c r="FP149" s="96" t="e">
        <f t="shared" si="258"/>
        <v>#DIV/0!</v>
      </c>
      <c r="FQ149" s="96" t="e">
        <f t="shared" si="259"/>
        <v>#DIV/0!</v>
      </c>
      <c r="FR149" s="112" t="e">
        <f t="shared" si="260"/>
        <v>#DIV/0!</v>
      </c>
      <c r="FS149" s="113" t="e">
        <f t="shared" si="261"/>
        <v>#DIV/0!</v>
      </c>
      <c r="FT149" s="13" t="e">
        <f t="shared" si="262"/>
        <v>#DIV/0!</v>
      </c>
      <c r="FU149" s="84" t="e">
        <f t="shared" si="263"/>
        <v>#DIV/0!</v>
      </c>
      <c r="FV149" s="112">
        <f t="shared" si="264"/>
        <v>0</v>
      </c>
      <c r="FW149" s="111"/>
      <c r="FX149" s="96"/>
      <c r="FY149" s="96"/>
      <c r="FZ149" s="96"/>
      <c r="GA149" s="96"/>
      <c r="GB149" s="96">
        <f t="shared" si="265"/>
        <v>0</v>
      </c>
      <c r="GC149" s="96" t="e">
        <f t="shared" si="266"/>
        <v>#N/A</v>
      </c>
      <c r="GD149" s="96" t="e">
        <f t="shared" si="267"/>
        <v>#N/A</v>
      </c>
      <c r="GE149" s="112">
        <f t="shared" si="268"/>
        <v>0</v>
      </c>
    </row>
    <row r="150" spans="1:187" x14ac:dyDescent="0.25">
      <c r="A150" s="111">
        <f>IF('3'!$AC$8="",B150,NA())</f>
        <v>0.5</v>
      </c>
      <c r="B150" s="111">
        <v>0.5</v>
      </c>
      <c r="C150" s="96">
        <v>30</v>
      </c>
      <c r="D150" s="112">
        <v>50000</v>
      </c>
      <c r="E150" s="96"/>
      <c r="F150" s="96"/>
      <c r="G150" s="96"/>
      <c r="H150" s="96"/>
      <c r="I150" s="96"/>
      <c r="J150" s="96"/>
      <c r="K150" s="96"/>
      <c r="L150" s="111"/>
      <c r="M150" s="96"/>
      <c r="N150" s="96"/>
      <c r="O150" s="96"/>
      <c r="P150" s="112"/>
      <c r="Q150" s="111"/>
      <c r="R150" s="96"/>
      <c r="S150" s="96"/>
      <c r="T150" s="96"/>
      <c r="U150" s="96"/>
      <c r="V150" s="112"/>
      <c r="W150" s="96"/>
      <c r="X150" s="96"/>
      <c r="Y150" s="96"/>
      <c r="Z150" s="96"/>
      <c r="AA150" s="96"/>
      <c r="AB150" s="96"/>
      <c r="AC150" s="96"/>
      <c r="AD150" s="111"/>
      <c r="AJ150" s="84"/>
      <c r="AK150" s="113"/>
      <c r="AN150" s="84"/>
      <c r="AT150" s="113"/>
      <c r="AX150" s="84"/>
      <c r="AY150" s="113"/>
      <c r="BD150" s="84"/>
      <c r="BE150" s="147" t="e">
        <f t="shared" si="207"/>
        <v>#DIV/0!</v>
      </c>
      <c r="BF150" s="157">
        <f t="shared" si="208"/>
        <v>0</v>
      </c>
      <c r="BG150" s="157">
        <f t="shared" si="209"/>
        <v>0</v>
      </c>
      <c r="BH150" s="157">
        <f t="shared" si="210"/>
        <v>0</v>
      </c>
      <c r="BI150" s="152">
        <f t="shared" si="211"/>
        <v>1</v>
      </c>
      <c r="BJ150" s="153">
        <f t="shared" si="212"/>
        <v>1</v>
      </c>
      <c r="BK150" s="116" t="e">
        <f t="shared" si="213"/>
        <v>#DIV/0!</v>
      </c>
      <c r="BL150" s="116">
        <f t="shared" si="214"/>
        <v>1</v>
      </c>
      <c r="BM150" s="154">
        <f t="shared" si="215"/>
        <v>1</v>
      </c>
      <c r="BN150" s="153">
        <f t="shared" si="216"/>
        <v>1</v>
      </c>
      <c r="BO150" s="116" t="e">
        <f t="shared" si="217"/>
        <v>#DIV/0!</v>
      </c>
      <c r="BP150" s="153">
        <f t="shared" si="218"/>
        <v>1</v>
      </c>
      <c r="BQ150" s="141" t="e">
        <f t="shared" si="219"/>
        <v>#DIV/0!</v>
      </c>
      <c r="BR150" s="111">
        <f t="shared" si="220"/>
        <v>0</v>
      </c>
      <c r="BS150" s="96" t="e">
        <f t="shared" si="221"/>
        <v>#DIV/0!</v>
      </c>
      <c r="BT150" s="96" t="e">
        <f t="shared" si="222"/>
        <v>#DIV/0!</v>
      </c>
      <c r="BU150" s="96">
        <f t="shared" si="223"/>
        <v>0</v>
      </c>
      <c r="BV150" s="96"/>
      <c r="BW150" s="96">
        <f t="shared" si="224"/>
        <v>0.88764704592069232</v>
      </c>
      <c r="BX150" s="96">
        <f t="shared" si="225"/>
        <v>0.88764704592069232</v>
      </c>
      <c r="BY150" s="96">
        <f t="shared" si="226"/>
        <v>0</v>
      </c>
      <c r="BZ150" s="96" t="e">
        <f t="shared" si="227"/>
        <v>#DIV/0!</v>
      </c>
      <c r="CA150" s="96" t="e">
        <f t="shared" si="228"/>
        <v>#DIV/0!</v>
      </c>
      <c r="CB150" s="112" t="e">
        <f t="shared" si="229"/>
        <v>#DIV/0!</v>
      </c>
      <c r="CC150" s="113" t="e">
        <f t="shared" si="230"/>
        <v>#DIV/0!</v>
      </c>
      <c r="CD150" s="13" t="e">
        <f t="shared" si="231"/>
        <v>#DIV/0!</v>
      </c>
      <c r="CE150" s="84" t="e">
        <f t="shared" si="232"/>
        <v>#DIV/0!</v>
      </c>
      <c r="CF150" s="112">
        <f t="shared" si="233"/>
        <v>0</v>
      </c>
      <c r="CG150" s="111"/>
      <c r="CH150" s="96"/>
      <c r="CI150" s="96"/>
      <c r="CJ150" s="96"/>
      <c r="CK150" s="96"/>
      <c r="CL150" s="96">
        <f t="shared" si="234"/>
        <v>0</v>
      </c>
      <c r="CM150" s="96" t="e">
        <f t="shared" si="235"/>
        <v>#N/A</v>
      </c>
      <c r="CN150" s="96" t="e">
        <f t="shared" si="236"/>
        <v>#N/A</v>
      </c>
      <c r="CO150" s="112">
        <f t="shared" si="237"/>
        <v>0</v>
      </c>
      <c r="CQ150" s="111" t="e">
        <f>IF('3'!$AC$2="",CR150,NA())</f>
        <v>#N/A</v>
      </c>
      <c r="CR150" s="111">
        <v>0.5</v>
      </c>
      <c r="CS150" s="96">
        <v>30</v>
      </c>
      <c r="CT150" s="112">
        <v>50000</v>
      </c>
      <c r="CU150" s="96"/>
      <c r="CV150" s="96"/>
      <c r="CW150" s="96"/>
      <c r="CX150" s="96"/>
      <c r="CY150" s="96"/>
      <c r="CZ150" s="96"/>
      <c r="DA150" s="96"/>
      <c r="DB150" s="111"/>
      <c r="DC150" s="96"/>
      <c r="DD150" s="96"/>
      <c r="DE150" s="96"/>
      <c r="DF150" s="112"/>
      <c r="DG150" s="111"/>
      <c r="DH150" s="96"/>
      <c r="DI150" s="96"/>
      <c r="DJ150" s="96"/>
      <c r="DK150" s="96"/>
      <c r="DL150" s="112"/>
      <c r="DM150" s="96"/>
      <c r="DN150" s="96"/>
      <c r="DO150" s="96"/>
      <c r="DP150" s="96"/>
      <c r="DQ150" s="96"/>
      <c r="DR150" s="96"/>
      <c r="DS150" s="96"/>
      <c r="DT150" s="111"/>
      <c r="DZ150" s="84"/>
      <c r="EA150" s="113"/>
      <c r="ED150" s="84"/>
      <c r="EJ150" s="113"/>
      <c r="EN150" s="84"/>
      <c r="EO150" s="113"/>
      <c r="ET150" s="84"/>
      <c r="EU150" s="147" t="e">
        <f t="shared" si="238"/>
        <v>#DIV/0!</v>
      </c>
      <c r="EV150" s="157">
        <f t="shared" si="239"/>
        <v>0</v>
      </c>
      <c r="EW150" s="157">
        <f t="shared" si="240"/>
        <v>0</v>
      </c>
      <c r="EX150" s="157">
        <f t="shared" si="241"/>
        <v>0</v>
      </c>
      <c r="EY150" s="152">
        <f t="shared" si="242"/>
        <v>1</v>
      </c>
      <c r="EZ150" s="153">
        <f t="shared" si="243"/>
        <v>1</v>
      </c>
      <c r="FA150" s="116" t="e">
        <f t="shared" si="244"/>
        <v>#DIV/0!</v>
      </c>
      <c r="FB150" s="116">
        <f t="shared" si="245"/>
        <v>1</v>
      </c>
      <c r="FC150" s="154">
        <f t="shared" si="246"/>
        <v>1</v>
      </c>
      <c r="FD150" s="153">
        <f t="shared" si="247"/>
        <v>1</v>
      </c>
      <c r="FE150" s="116" t="e">
        <f t="shared" si="248"/>
        <v>#DIV/0!</v>
      </c>
      <c r="FF150" s="153">
        <f t="shared" si="249"/>
        <v>1</v>
      </c>
      <c r="FG150" s="141" t="e">
        <f t="shared" si="250"/>
        <v>#DIV/0!</v>
      </c>
      <c r="FH150" s="111">
        <f t="shared" si="251"/>
        <v>0</v>
      </c>
      <c r="FI150" s="96" t="e">
        <f t="shared" si="252"/>
        <v>#DIV/0!</v>
      </c>
      <c r="FJ150" s="96" t="e">
        <f t="shared" si="253"/>
        <v>#DIV/0!</v>
      </c>
      <c r="FK150" s="96">
        <f t="shared" si="254"/>
        <v>0</v>
      </c>
      <c r="FL150" s="96"/>
      <c r="FM150" s="96" t="e">
        <f t="shared" si="255"/>
        <v>#N/A</v>
      </c>
      <c r="FN150" s="96" t="e">
        <f t="shared" si="256"/>
        <v>#N/A</v>
      </c>
      <c r="FO150" s="96" t="e">
        <f t="shared" si="257"/>
        <v>#N/A</v>
      </c>
      <c r="FP150" s="96" t="e">
        <f t="shared" si="258"/>
        <v>#DIV/0!</v>
      </c>
      <c r="FQ150" s="96" t="e">
        <f t="shared" si="259"/>
        <v>#DIV/0!</v>
      </c>
      <c r="FR150" s="112" t="e">
        <f t="shared" si="260"/>
        <v>#DIV/0!</v>
      </c>
      <c r="FS150" s="113" t="e">
        <f t="shared" si="261"/>
        <v>#DIV/0!</v>
      </c>
      <c r="FT150" s="13" t="e">
        <f t="shared" si="262"/>
        <v>#DIV/0!</v>
      </c>
      <c r="FU150" s="84" t="e">
        <f t="shared" si="263"/>
        <v>#DIV/0!</v>
      </c>
      <c r="FV150" s="112">
        <f t="shared" si="264"/>
        <v>0</v>
      </c>
      <c r="FW150" s="111"/>
      <c r="FX150" s="96"/>
      <c r="FY150" s="96"/>
      <c r="FZ150" s="96"/>
      <c r="GA150" s="96"/>
      <c r="GB150" s="96">
        <f t="shared" si="265"/>
        <v>0</v>
      </c>
      <c r="GC150" s="96" t="e">
        <f t="shared" si="266"/>
        <v>#N/A</v>
      </c>
      <c r="GD150" s="96" t="e">
        <f t="shared" si="267"/>
        <v>#N/A</v>
      </c>
      <c r="GE150" s="112">
        <f t="shared" si="268"/>
        <v>0</v>
      </c>
    </row>
    <row r="151" spans="1:187" x14ac:dyDescent="0.25">
      <c r="A151" s="111">
        <f>IF('3'!$AC$8="",B151,NA())</f>
        <v>0.4</v>
      </c>
      <c r="B151" s="111">
        <v>0.4</v>
      </c>
      <c r="C151" s="96">
        <v>30</v>
      </c>
      <c r="D151" s="112">
        <v>50000</v>
      </c>
      <c r="E151" s="96"/>
      <c r="F151" s="96"/>
      <c r="G151" s="96"/>
      <c r="H151" s="96"/>
      <c r="I151" s="96"/>
      <c r="J151" s="96"/>
      <c r="K151" s="96"/>
      <c r="L151" s="111"/>
      <c r="M151" s="96"/>
      <c r="N151" s="96"/>
      <c r="O151" s="96"/>
      <c r="P151" s="112"/>
      <c r="Q151" s="111"/>
      <c r="R151" s="96"/>
      <c r="S151" s="96"/>
      <c r="T151" s="96"/>
      <c r="U151" s="96"/>
      <c r="V151" s="112"/>
      <c r="W151" s="96"/>
      <c r="X151" s="96"/>
      <c r="Y151" s="96"/>
      <c r="Z151" s="96"/>
      <c r="AA151" s="96"/>
      <c r="AB151" s="96"/>
      <c r="AC151" s="96"/>
      <c r="AD151" s="111"/>
      <c r="AJ151" s="84"/>
      <c r="AK151" s="113"/>
      <c r="AN151" s="84"/>
      <c r="AT151" s="113"/>
      <c r="AX151" s="84"/>
      <c r="AY151" s="113"/>
      <c r="BD151" s="84"/>
      <c r="BE151" s="147" t="e">
        <f t="shared" si="207"/>
        <v>#DIV/0!</v>
      </c>
      <c r="BF151" s="157">
        <f t="shared" si="208"/>
        <v>0</v>
      </c>
      <c r="BG151" s="157">
        <f t="shared" si="209"/>
        <v>0</v>
      </c>
      <c r="BH151" s="157">
        <f t="shared" si="210"/>
        <v>0</v>
      </c>
      <c r="BI151" s="152">
        <f t="shared" si="211"/>
        <v>1</v>
      </c>
      <c r="BJ151" s="153">
        <f t="shared" si="212"/>
        <v>1</v>
      </c>
      <c r="BK151" s="116" t="e">
        <f t="shared" si="213"/>
        <v>#DIV/0!</v>
      </c>
      <c r="BL151" s="116">
        <f t="shared" si="214"/>
        <v>1</v>
      </c>
      <c r="BM151" s="154">
        <f t="shared" si="215"/>
        <v>1</v>
      </c>
      <c r="BN151" s="153">
        <f t="shared" si="216"/>
        <v>1</v>
      </c>
      <c r="BO151" s="116" t="e">
        <f t="shared" si="217"/>
        <v>#DIV/0!</v>
      </c>
      <c r="BP151" s="153">
        <f t="shared" si="218"/>
        <v>1</v>
      </c>
      <c r="BQ151" s="141"/>
      <c r="BR151" s="111">
        <f t="shared" si="220"/>
        <v>0</v>
      </c>
      <c r="BS151" s="96" t="e">
        <f t="shared" si="221"/>
        <v>#DIV/0!</v>
      </c>
      <c r="BT151" s="96" t="e">
        <f t="shared" si="222"/>
        <v>#DIV/0!</v>
      </c>
      <c r="BU151" s="96">
        <f t="shared" si="223"/>
        <v>0</v>
      </c>
      <c r="BV151" s="96"/>
      <c r="BW151" s="96">
        <f t="shared" si="224"/>
        <v>0.91457676741031746</v>
      </c>
      <c r="BX151" s="96">
        <f t="shared" si="225"/>
        <v>0.91457676741031746</v>
      </c>
      <c r="BY151" s="96">
        <f t="shared" si="226"/>
        <v>0</v>
      </c>
      <c r="BZ151" s="96" t="e">
        <f t="shared" si="227"/>
        <v>#DIV/0!</v>
      </c>
      <c r="CA151" s="96" t="e">
        <f t="shared" si="228"/>
        <v>#DIV/0!</v>
      </c>
      <c r="CB151" s="112" t="e">
        <f t="shared" si="229"/>
        <v>#DIV/0!</v>
      </c>
      <c r="CC151" s="113" t="e">
        <f t="shared" si="230"/>
        <v>#DIV/0!</v>
      </c>
      <c r="CD151" s="13" t="e">
        <f t="shared" si="231"/>
        <v>#DIV/0!</v>
      </c>
      <c r="CE151" s="84" t="e">
        <f t="shared" si="232"/>
        <v>#DIV/0!</v>
      </c>
      <c r="CF151" s="112">
        <f t="shared" si="233"/>
        <v>0</v>
      </c>
      <c r="CG151" s="111"/>
      <c r="CH151" s="96"/>
      <c r="CI151" s="96"/>
      <c r="CJ151" s="96"/>
      <c r="CK151" s="96"/>
      <c r="CL151" s="96">
        <f t="shared" si="234"/>
        <v>0</v>
      </c>
      <c r="CM151" s="96" t="e">
        <f t="shared" si="235"/>
        <v>#N/A</v>
      </c>
      <c r="CN151" s="96" t="e">
        <f t="shared" si="236"/>
        <v>#N/A</v>
      </c>
      <c r="CO151" s="112">
        <f t="shared" si="237"/>
        <v>0</v>
      </c>
      <c r="CQ151" s="111" t="e">
        <f>IF('3'!$AC$2="",CR151,NA())</f>
        <v>#N/A</v>
      </c>
      <c r="CR151" s="111">
        <v>0.4</v>
      </c>
      <c r="CS151" s="96">
        <v>30</v>
      </c>
      <c r="CT151" s="112">
        <v>50000</v>
      </c>
      <c r="CU151" s="96"/>
      <c r="CV151" s="96"/>
      <c r="CW151" s="96"/>
      <c r="CX151" s="96"/>
      <c r="CY151" s="96"/>
      <c r="CZ151" s="96"/>
      <c r="DA151" s="96"/>
      <c r="DB151" s="111"/>
      <c r="DC151" s="96"/>
      <c r="DD151" s="96"/>
      <c r="DE151" s="96"/>
      <c r="DF151" s="112"/>
      <c r="DG151" s="111"/>
      <c r="DH151" s="96"/>
      <c r="DI151" s="96"/>
      <c r="DJ151" s="96"/>
      <c r="DK151" s="96"/>
      <c r="DL151" s="112"/>
      <c r="DM151" s="96"/>
      <c r="DN151" s="96"/>
      <c r="DO151" s="96"/>
      <c r="DP151" s="96"/>
      <c r="DQ151" s="96"/>
      <c r="DR151" s="96"/>
      <c r="DS151" s="96"/>
      <c r="DT151" s="111"/>
      <c r="DZ151" s="84"/>
      <c r="EA151" s="113"/>
      <c r="ED151" s="84"/>
      <c r="EJ151" s="113"/>
      <c r="EN151" s="84"/>
      <c r="EO151" s="113"/>
      <c r="ET151" s="84"/>
      <c r="EU151" s="147" t="e">
        <f t="shared" si="238"/>
        <v>#DIV/0!</v>
      </c>
      <c r="EV151" s="157">
        <f t="shared" si="239"/>
        <v>0</v>
      </c>
      <c r="EW151" s="157">
        <f t="shared" si="240"/>
        <v>0</v>
      </c>
      <c r="EX151" s="157">
        <f t="shared" si="241"/>
        <v>0</v>
      </c>
      <c r="EY151" s="152">
        <f t="shared" si="242"/>
        <v>1</v>
      </c>
      <c r="EZ151" s="153">
        <f t="shared" si="243"/>
        <v>1</v>
      </c>
      <c r="FA151" s="116" t="e">
        <f t="shared" si="244"/>
        <v>#DIV/0!</v>
      </c>
      <c r="FB151" s="116">
        <f t="shared" si="245"/>
        <v>1</v>
      </c>
      <c r="FC151" s="154">
        <f t="shared" si="246"/>
        <v>1</v>
      </c>
      <c r="FD151" s="153">
        <f t="shared" si="247"/>
        <v>1</v>
      </c>
      <c r="FE151" s="116" t="e">
        <f t="shared" si="248"/>
        <v>#DIV/0!</v>
      </c>
      <c r="FF151" s="153">
        <f t="shared" si="249"/>
        <v>1</v>
      </c>
      <c r="FG151" s="141"/>
      <c r="FH151" s="111">
        <f t="shared" si="251"/>
        <v>0</v>
      </c>
      <c r="FI151" s="96" t="e">
        <f t="shared" si="252"/>
        <v>#DIV/0!</v>
      </c>
      <c r="FJ151" s="96" t="e">
        <f t="shared" si="253"/>
        <v>#DIV/0!</v>
      </c>
      <c r="FK151" s="96">
        <f t="shared" si="254"/>
        <v>0</v>
      </c>
      <c r="FL151" s="96"/>
      <c r="FM151" s="96" t="e">
        <f t="shared" si="255"/>
        <v>#N/A</v>
      </c>
      <c r="FN151" s="96" t="e">
        <f t="shared" si="256"/>
        <v>#N/A</v>
      </c>
      <c r="FO151" s="96" t="e">
        <f t="shared" si="257"/>
        <v>#N/A</v>
      </c>
      <c r="FP151" s="96" t="e">
        <f t="shared" si="258"/>
        <v>#DIV/0!</v>
      </c>
      <c r="FQ151" s="96" t="e">
        <f t="shared" si="259"/>
        <v>#DIV/0!</v>
      </c>
      <c r="FR151" s="112" t="e">
        <f t="shared" si="260"/>
        <v>#DIV/0!</v>
      </c>
      <c r="FS151" s="113" t="e">
        <f t="shared" si="261"/>
        <v>#DIV/0!</v>
      </c>
      <c r="FT151" s="13" t="e">
        <f t="shared" si="262"/>
        <v>#DIV/0!</v>
      </c>
      <c r="FU151" s="84" t="e">
        <f t="shared" si="263"/>
        <v>#DIV/0!</v>
      </c>
      <c r="FV151" s="112">
        <f t="shared" si="264"/>
        <v>0</v>
      </c>
      <c r="FW151" s="111"/>
      <c r="FX151" s="96"/>
      <c r="FY151" s="96"/>
      <c r="FZ151" s="96"/>
      <c r="GA151" s="96"/>
      <c r="GB151" s="96">
        <f t="shared" si="265"/>
        <v>0</v>
      </c>
      <c r="GC151" s="96" t="e">
        <f t="shared" si="266"/>
        <v>#N/A</v>
      </c>
      <c r="GD151" s="96" t="e">
        <f t="shared" si="267"/>
        <v>#N/A</v>
      </c>
      <c r="GE151" s="112">
        <f t="shared" si="268"/>
        <v>0</v>
      </c>
    </row>
    <row r="152" spans="1:187" x14ac:dyDescent="0.25">
      <c r="A152" s="111">
        <f>IF('3'!$AC$8="",B152,NA())</f>
        <v>0.3</v>
      </c>
      <c r="B152" s="111">
        <v>0.3</v>
      </c>
      <c r="C152" s="96">
        <v>30</v>
      </c>
      <c r="D152" s="112">
        <v>50000</v>
      </c>
      <c r="E152" s="96"/>
      <c r="F152" s="96"/>
      <c r="G152" s="96"/>
      <c r="H152" s="96"/>
      <c r="I152" s="96"/>
      <c r="J152" s="96"/>
      <c r="K152" s="96"/>
      <c r="L152" s="111"/>
      <c r="M152" s="96"/>
      <c r="N152" s="96"/>
      <c r="O152" s="96"/>
      <c r="P152" s="112"/>
      <c r="Q152" s="111"/>
      <c r="R152" s="96"/>
      <c r="S152" s="96"/>
      <c r="T152" s="96"/>
      <c r="U152" s="96"/>
      <c r="V152" s="112"/>
      <c r="W152" s="96"/>
      <c r="X152" s="96"/>
      <c r="Y152" s="96"/>
      <c r="Z152" s="96"/>
      <c r="AA152" s="96"/>
      <c r="AB152" s="96"/>
      <c r="AC152" s="96"/>
      <c r="AD152" s="111"/>
      <c r="AJ152" s="84"/>
      <c r="AK152" s="113"/>
      <c r="AN152" s="84"/>
      <c r="AT152" s="113"/>
      <c r="AX152" s="84"/>
      <c r="AY152" s="113"/>
      <c r="BD152" s="84"/>
      <c r="BE152" s="147" t="e">
        <f t="shared" si="207"/>
        <v>#DIV/0!</v>
      </c>
      <c r="BF152" s="157">
        <f t="shared" si="208"/>
        <v>0</v>
      </c>
      <c r="BG152" s="157">
        <f t="shared" si="209"/>
        <v>0</v>
      </c>
      <c r="BH152" s="157">
        <f t="shared" si="210"/>
        <v>0</v>
      </c>
      <c r="BI152" s="152">
        <f t="shared" si="211"/>
        <v>1</v>
      </c>
      <c r="BJ152" s="153">
        <f t="shared" si="212"/>
        <v>1</v>
      </c>
      <c r="BK152" s="116" t="e">
        <f t="shared" si="213"/>
        <v>#DIV/0!</v>
      </c>
      <c r="BL152" s="116">
        <f t="shared" si="214"/>
        <v>1</v>
      </c>
      <c r="BM152" s="154">
        <f t="shared" si="215"/>
        <v>1</v>
      </c>
      <c r="BN152" s="153">
        <f t="shared" si="216"/>
        <v>1</v>
      </c>
      <c r="BO152" s="116" t="e">
        <f t="shared" si="217"/>
        <v>#DIV/0!</v>
      </c>
      <c r="BP152" s="153">
        <f t="shared" si="218"/>
        <v>1</v>
      </c>
      <c r="BQ152" s="141"/>
      <c r="BR152" s="111">
        <f t="shared" si="220"/>
        <v>0</v>
      </c>
      <c r="BS152" s="96" t="e">
        <f t="shared" si="221"/>
        <v>#DIV/0!</v>
      </c>
      <c r="BT152" s="96" t="e">
        <f t="shared" si="222"/>
        <v>#DIV/0!</v>
      </c>
      <c r="BU152" s="96">
        <f t="shared" si="223"/>
        <v>0</v>
      </c>
      <c r="BV152" s="96"/>
      <c r="BW152" s="96">
        <f t="shared" si="224"/>
        <v>0.93798193514099792</v>
      </c>
      <c r="BX152" s="96">
        <f t="shared" si="225"/>
        <v>0.93798193514099792</v>
      </c>
      <c r="BY152" s="96">
        <f t="shared" si="226"/>
        <v>0</v>
      </c>
      <c r="BZ152" s="96" t="e">
        <f t="shared" si="227"/>
        <v>#DIV/0!</v>
      </c>
      <c r="CA152" s="96" t="e">
        <f t="shared" si="228"/>
        <v>#DIV/0!</v>
      </c>
      <c r="CB152" s="112" t="e">
        <f t="shared" si="229"/>
        <v>#DIV/0!</v>
      </c>
      <c r="CC152" s="113" t="e">
        <f t="shared" si="230"/>
        <v>#DIV/0!</v>
      </c>
      <c r="CD152" s="13" t="e">
        <f t="shared" si="231"/>
        <v>#DIV/0!</v>
      </c>
      <c r="CE152" s="84" t="e">
        <f t="shared" si="232"/>
        <v>#DIV/0!</v>
      </c>
      <c r="CF152" s="112">
        <f t="shared" si="233"/>
        <v>0</v>
      </c>
      <c r="CG152" s="111"/>
      <c r="CH152" s="96"/>
      <c r="CI152" s="96"/>
      <c r="CJ152" s="96"/>
      <c r="CK152" s="96"/>
      <c r="CL152" s="96">
        <f t="shared" si="234"/>
        <v>0</v>
      </c>
      <c r="CM152" s="96" t="e">
        <f t="shared" si="235"/>
        <v>#N/A</v>
      </c>
      <c r="CN152" s="96" t="e">
        <f t="shared" si="236"/>
        <v>#N/A</v>
      </c>
      <c r="CO152" s="112">
        <f t="shared" si="237"/>
        <v>0</v>
      </c>
      <c r="CQ152" s="111" t="e">
        <f>IF('3'!$AC$2="",CR152,NA())</f>
        <v>#N/A</v>
      </c>
      <c r="CR152" s="111">
        <v>0.3</v>
      </c>
      <c r="CS152" s="96">
        <v>30</v>
      </c>
      <c r="CT152" s="112">
        <v>50000</v>
      </c>
      <c r="CU152" s="96"/>
      <c r="CV152" s="96"/>
      <c r="CW152" s="96"/>
      <c r="CX152" s="96"/>
      <c r="CY152" s="96"/>
      <c r="CZ152" s="96"/>
      <c r="DA152" s="96"/>
      <c r="DB152" s="111"/>
      <c r="DC152" s="96"/>
      <c r="DD152" s="96"/>
      <c r="DE152" s="96"/>
      <c r="DF152" s="112"/>
      <c r="DG152" s="111"/>
      <c r="DH152" s="96"/>
      <c r="DI152" s="96"/>
      <c r="DJ152" s="96"/>
      <c r="DK152" s="96"/>
      <c r="DL152" s="112"/>
      <c r="DM152" s="96"/>
      <c r="DN152" s="96"/>
      <c r="DO152" s="96"/>
      <c r="DP152" s="96"/>
      <c r="DQ152" s="96"/>
      <c r="DR152" s="96"/>
      <c r="DS152" s="96"/>
      <c r="DT152" s="111"/>
      <c r="DZ152" s="84"/>
      <c r="EA152" s="113"/>
      <c r="ED152" s="84"/>
      <c r="EJ152" s="113"/>
      <c r="EN152" s="84"/>
      <c r="EO152" s="113"/>
      <c r="ET152" s="84"/>
      <c r="EU152" s="147" t="e">
        <f t="shared" si="238"/>
        <v>#DIV/0!</v>
      </c>
      <c r="EV152" s="157">
        <f t="shared" si="239"/>
        <v>0</v>
      </c>
      <c r="EW152" s="157">
        <f t="shared" si="240"/>
        <v>0</v>
      </c>
      <c r="EX152" s="157">
        <f t="shared" si="241"/>
        <v>0</v>
      </c>
      <c r="EY152" s="152">
        <f t="shared" si="242"/>
        <v>1</v>
      </c>
      <c r="EZ152" s="153">
        <f t="shared" si="243"/>
        <v>1</v>
      </c>
      <c r="FA152" s="116" t="e">
        <f t="shared" si="244"/>
        <v>#DIV/0!</v>
      </c>
      <c r="FB152" s="116">
        <f t="shared" si="245"/>
        <v>1</v>
      </c>
      <c r="FC152" s="154">
        <f t="shared" si="246"/>
        <v>1</v>
      </c>
      <c r="FD152" s="153">
        <f t="shared" si="247"/>
        <v>1</v>
      </c>
      <c r="FE152" s="116" t="e">
        <f t="shared" si="248"/>
        <v>#DIV/0!</v>
      </c>
      <c r="FF152" s="153">
        <f t="shared" si="249"/>
        <v>1</v>
      </c>
      <c r="FG152" s="141"/>
      <c r="FH152" s="111">
        <f t="shared" si="251"/>
        <v>0</v>
      </c>
      <c r="FI152" s="96" t="e">
        <f t="shared" si="252"/>
        <v>#DIV/0!</v>
      </c>
      <c r="FJ152" s="96" t="e">
        <f t="shared" si="253"/>
        <v>#DIV/0!</v>
      </c>
      <c r="FK152" s="96">
        <f t="shared" si="254"/>
        <v>0</v>
      </c>
      <c r="FL152" s="96"/>
      <c r="FM152" s="96" t="e">
        <f t="shared" si="255"/>
        <v>#N/A</v>
      </c>
      <c r="FN152" s="96" t="e">
        <f t="shared" si="256"/>
        <v>#N/A</v>
      </c>
      <c r="FO152" s="96" t="e">
        <f t="shared" si="257"/>
        <v>#N/A</v>
      </c>
      <c r="FP152" s="96" t="e">
        <f t="shared" si="258"/>
        <v>#DIV/0!</v>
      </c>
      <c r="FQ152" s="96" t="e">
        <f t="shared" si="259"/>
        <v>#DIV/0!</v>
      </c>
      <c r="FR152" s="112" t="e">
        <f t="shared" si="260"/>
        <v>#DIV/0!</v>
      </c>
      <c r="FS152" s="113" t="e">
        <f t="shared" si="261"/>
        <v>#DIV/0!</v>
      </c>
      <c r="FT152" s="13" t="e">
        <f t="shared" si="262"/>
        <v>#DIV/0!</v>
      </c>
      <c r="FU152" s="84" t="e">
        <f t="shared" si="263"/>
        <v>#DIV/0!</v>
      </c>
      <c r="FV152" s="112">
        <f t="shared" si="264"/>
        <v>0</v>
      </c>
      <c r="FW152" s="111"/>
      <c r="FX152" s="96"/>
      <c r="FY152" s="96"/>
      <c r="FZ152" s="96"/>
      <c r="GA152" s="96"/>
      <c r="GB152" s="96">
        <f t="shared" si="265"/>
        <v>0</v>
      </c>
      <c r="GC152" s="96" t="e">
        <f t="shared" si="266"/>
        <v>#N/A</v>
      </c>
      <c r="GD152" s="96" t="e">
        <f t="shared" si="267"/>
        <v>#N/A</v>
      </c>
      <c r="GE152" s="112">
        <f t="shared" si="268"/>
        <v>0</v>
      </c>
    </row>
    <row r="153" spans="1:187" x14ac:dyDescent="0.25">
      <c r="A153" s="111">
        <f>IF('3'!$AC$8="",B153,NA())</f>
        <v>0.2</v>
      </c>
      <c r="B153" s="111">
        <v>0.2</v>
      </c>
      <c r="C153" s="96">
        <v>30</v>
      </c>
      <c r="D153" s="112">
        <v>50000</v>
      </c>
      <c r="E153" s="96"/>
      <c r="F153" s="96"/>
      <c r="G153" s="96"/>
      <c r="H153" s="96"/>
      <c r="I153" s="96"/>
      <c r="J153" s="96"/>
      <c r="K153" s="96"/>
      <c r="L153" s="111"/>
      <c r="M153" s="96"/>
      <c r="N153" s="96"/>
      <c r="O153" s="96"/>
      <c r="P153" s="112"/>
      <c r="Q153" s="111"/>
      <c r="R153" s="96"/>
      <c r="S153" s="96"/>
      <c r="T153" s="96"/>
      <c r="U153" s="96"/>
      <c r="V153" s="112"/>
      <c r="W153" s="96"/>
      <c r="X153" s="96"/>
      <c r="Y153" s="96"/>
      <c r="Z153" s="96"/>
      <c r="AA153" s="96"/>
      <c r="AB153" s="96"/>
      <c r="AC153" s="96"/>
      <c r="AD153" s="111"/>
      <c r="AJ153" s="84"/>
      <c r="AK153" s="113"/>
      <c r="AN153" s="84"/>
      <c r="AT153" s="113"/>
      <c r="AX153" s="84"/>
      <c r="AY153" s="113"/>
      <c r="BD153" s="84"/>
      <c r="BE153" s="147" t="e">
        <f t="shared" si="207"/>
        <v>#DIV/0!</v>
      </c>
      <c r="BF153" s="157">
        <f t="shared" si="208"/>
        <v>0</v>
      </c>
      <c r="BG153" s="157">
        <f t="shared" si="209"/>
        <v>0</v>
      </c>
      <c r="BH153" s="157">
        <f t="shared" si="210"/>
        <v>0</v>
      </c>
      <c r="BI153" s="152">
        <f t="shared" si="211"/>
        <v>1</v>
      </c>
      <c r="BJ153" s="153">
        <f t="shared" si="212"/>
        <v>1</v>
      </c>
      <c r="BK153" s="116" t="e">
        <f t="shared" si="213"/>
        <v>#DIV/0!</v>
      </c>
      <c r="BL153" s="116">
        <f t="shared" si="214"/>
        <v>1</v>
      </c>
      <c r="BM153" s="154">
        <f t="shared" si="215"/>
        <v>1</v>
      </c>
      <c r="BN153" s="153">
        <f t="shared" si="216"/>
        <v>1</v>
      </c>
      <c r="BO153" s="116" t="e">
        <f t="shared" si="217"/>
        <v>#DIV/0!</v>
      </c>
      <c r="BP153" s="153">
        <f t="shared" si="218"/>
        <v>1</v>
      </c>
      <c r="BQ153" s="141"/>
      <c r="BR153" s="111">
        <f t="shared" si="220"/>
        <v>0</v>
      </c>
      <c r="BS153" s="96" t="e">
        <f t="shared" si="221"/>
        <v>#DIV/0!</v>
      </c>
      <c r="BT153" s="96" t="e">
        <f t="shared" si="222"/>
        <v>#DIV/0!</v>
      </c>
      <c r="BU153" s="96">
        <f t="shared" si="223"/>
        <v>0</v>
      </c>
      <c r="BV153" s="96"/>
      <c r="BW153" s="96">
        <f t="shared" si="224"/>
        <v>0.95874001371920414</v>
      </c>
      <c r="BX153" s="96">
        <f t="shared" si="225"/>
        <v>0.95874001371920414</v>
      </c>
      <c r="BY153" s="96">
        <f t="shared" si="226"/>
        <v>0</v>
      </c>
      <c r="BZ153" s="96" t="e">
        <f t="shared" si="227"/>
        <v>#DIV/0!</v>
      </c>
      <c r="CA153" s="96" t="e">
        <f t="shared" si="228"/>
        <v>#DIV/0!</v>
      </c>
      <c r="CB153" s="112" t="e">
        <f t="shared" si="229"/>
        <v>#DIV/0!</v>
      </c>
      <c r="CC153" s="113" t="e">
        <f t="shared" si="230"/>
        <v>#DIV/0!</v>
      </c>
      <c r="CD153" s="13" t="e">
        <f t="shared" si="231"/>
        <v>#DIV/0!</v>
      </c>
      <c r="CE153" s="84" t="e">
        <f t="shared" si="232"/>
        <v>#DIV/0!</v>
      </c>
      <c r="CF153" s="112">
        <f t="shared" si="233"/>
        <v>0</v>
      </c>
      <c r="CG153" s="111"/>
      <c r="CH153" s="96"/>
      <c r="CI153" s="96"/>
      <c r="CJ153" s="96"/>
      <c r="CK153" s="96"/>
      <c r="CL153" s="96">
        <f t="shared" si="234"/>
        <v>0</v>
      </c>
      <c r="CM153" s="96" t="e">
        <f t="shared" si="235"/>
        <v>#N/A</v>
      </c>
      <c r="CN153" s="96" t="e">
        <f t="shared" si="236"/>
        <v>#N/A</v>
      </c>
      <c r="CO153" s="112">
        <f t="shared" si="237"/>
        <v>0</v>
      </c>
      <c r="CQ153" s="111" t="e">
        <f>IF('3'!$AC$2="",CR153,NA())</f>
        <v>#N/A</v>
      </c>
      <c r="CR153" s="111">
        <v>0.2</v>
      </c>
      <c r="CS153" s="96">
        <v>30</v>
      </c>
      <c r="CT153" s="112">
        <v>50000</v>
      </c>
      <c r="CU153" s="96"/>
      <c r="CV153" s="96"/>
      <c r="CW153" s="96"/>
      <c r="CX153" s="96"/>
      <c r="CY153" s="96"/>
      <c r="CZ153" s="96"/>
      <c r="DA153" s="96"/>
      <c r="DB153" s="111"/>
      <c r="DC153" s="96"/>
      <c r="DD153" s="96"/>
      <c r="DE153" s="96"/>
      <c r="DF153" s="112"/>
      <c r="DG153" s="111"/>
      <c r="DH153" s="96"/>
      <c r="DI153" s="96"/>
      <c r="DJ153" s="96"/>
      <c r="DK153" s="96"/>
      <c r="DL153" s="112"/>
      <c r="DM153" s="96"/>
      <c r="DN153" s="96"/>
      <c r="DO153" s="96"/>
      <c r="DP153" s="96"/>
      <c r="DQ153" s="96"/>
      <c r="DR153" s="96"/>
      <c r="DS153" s="96"/>
      <c r="DT153" s="111"/>
      <c r="DZ153" s="84"/>
      <c r="EA153" s="113"/>
      <c r="ED153" s="84"/>
      <c r="EJ153" s="113"/>
      <c r="EN153" s="84"/>
      <c r="EO153" s="113"/>
      <c r="ET153" s="84"/>
      <c r="EU153" s="147" t="e">
        <f t="shared" si="238"/>
        <v>#DIV/0!</v>
      </c>
      <c r="EV153" s="157">
        <f t="shared" si="239"/>
        <v>0</v>
      </c>
      <c r="EW153" s="157">
        <f t="shared" si="240"/>
        <v>0</v>
      </c>
      <c r="EX153" s="157">
        <f t="shared" si="241"/>
        <v>0</v>
      </c>
      <c r="EY153" s="152">
        <f t="shared" si="242"/>
        <v>1</v>
      </c>
      <c r="EZ153" s="153">
        <f t="shared" si="243"/>
        <v>1</v>
      </c>
      <c r="FA153" s="116" t="e">
        <f t="shared" si="244"/>
        <v>#DIV/0!</v>
      </c>
      <c r="FB153" s="116">
        <f t="shared" si="245"/>
        <v>1</v>
      </c>
      <c r="FC153" s="154">
        <f t="shared" si="246"/>
        <v>1</v>
      </c>
      <c r="FD153" s="153">
        <f t="shared" si="247"/>
        <v>1</v>
      </c>
      <c r="FE153" s="116" t="e">
        <f t="shared" si="248"/>
        <v>#DIV/0!</v>
      </c>
      <c r="FF153" s="153">
        <f t="shared" si="249"/>
        <v>1</v>
      </c>
      <c r="FG153" s="141"/>
      <c r="FH153" s="111">
        <f t="shared" si="251"/>
        <v>0</v>
      </c>
      <c r="FI153" s="96" t="e">
        <f t="shared" si="252"/>
        <v>#DIV/0!</v>
      </c>
      <c r="FJ153" s="96" t="e">
        <f t="shared" si="253"/>
        <v>#DIV/0!</v>
      </c>
      <c r="FK153" s="96">
        <f t="shared" si="254"/>
        <v>0</v>
      </c>
      <c r="FL153" s="96"/>
      <c r="FM153" s="96" t="e">
        <f t="shared" si="255"/>
        <v>#N/A</v>
      </c>
      <c r="FN153" s="96" t="e">
        <f t="shared" si="256"/>
        <v>#N/A</v>
      </c>
      <c r="FO153" s="96" t="e">
        <f t="shared" si="257"/>
        <v>#N/A</v>
      </c>
      <c r="FP153" s="96" t="e">
        <f t="shared" si="258"/>
        <v>#DIV/0!</v>
      </c>
      <c r="FQ153" s="96" t="e">
        <f t="shared" si="259"/>
        <v>#DIV/0!</v>
      </c>
      <c r="FR153" s="112" t="e">
        <f t="shared" si="260"/>
        <v>#DIV/0!</v>
      </c>
      <c r="FS153" s="113" t="e">
        <f t="shared" si="261"/>
        <v>#DIV/0!</v>
      </c>
      <c r="FT153" s="13" t="e">
        <f t="shared" si="262"/>
        <v>#DIV/0!</v>
      </c>
      <c r="FU153" s="84" t="e">
        <f t="shared" si="263"/>
        <v>#DIV/0!</v>
      </c>
      <c r="FV153" s="112">
        <f t="shared" si="264"/>
        <v>0</v>
      </c>
      <c r="FW153" s="111"/>
      <c r="FX153" s="96"/>
      <c r="FY153" s="96"/>
      <c r="FZ153" s="96"/>
      <c r="GA153" s="96"/>
      <c r="GB153" s="96">
        <f t="shared" si="265"/>
        <v>0</v>
      </c>
      <c r="GC153" s="96" t="e">
        <f t="shared" si="266"/>
        <v>#N/A</v>
      </c>
      <c r="GD153" s="96" t="e">
        <f t="shared" si="267"/>
        <v>#N/A</v>
      </c>
      <c r="GE153" s="112">
        <f t="shared" si="268"/>
        <v>0</v>
      </c>
    </row>
    <row r="154" spans="1:187" ht="15.75" thickBot="1" x14ac:dyDescent="0.3">
      <c r="A154" s="111">
        <f>IF('3'!$AC$8="",B154,NA())</f>
        <v>0.1</v>
      </c>
      <c r="B154" s="111">
        <v>0.1</v>
      </c>
      <c r="C154" s="96">
        <v>30</v>
      </c>
      <c r="D154" s="112">
        <v>50000</v>
      </c>
      <c r="E154" s="96"/>
      <c r="F154" s="96"/>
      <c r="G154" s="96"/>
      <c r="H154" s="96"/>
      <c r="I154" s="96"/>
      <c r="J154" s="96"/>
      <c r="K154" s="96"/>
      <c r="L154" s="111"/>
      <c r="M154" s="96"/>
      <c r="N154" s="96"/>
      <c r="O154" s="96"/>
      <c r="P154" s="112"/>
      <c r="Q154" s="111"/>
      <c r="R154" s="96"/>
      <c r="S154" s="96"/>
      <c r="T154" s="96"/>
      <c r="U154" s="96"/>
      <c r="V154" s="112"/>
      <c r="W154" s="96"/>
      <c r="X154" s="96"/>
      <c r="Y154" s="96"/>
      <c r="Z154" s="96"/>
      <c r="AA154" s="96"/>
      <c r="AB154" s="96"/>
      <c r="AC154" s="96"/>
      <c r="AD154" s="111"/>
      <c r="AJ154" s="84"/>
      <c r="AK154" s="113"/>
      <c r="AN154" s="84"/>
      <c r="AT154" s="113"/>
      <c r="AX154" s="84"/>
      <c r="AY154" s="113"/>
      <c r="BD154" s="84"/>
      <c r="BE154" s="147" t="e">
        <f t="shared" si="207"/>
        <v>#DIV/0!</v>
      </c>
      <c r="BF154" s="157">
        <f t="shared" si="208"/>
        <v>0</v>
      </c>
      <c r="BG154" s="157">
        <f t="shared" si="209"/>
        <v>0</v>
      </c>
      <c r="BH154" s="157">
        <f t="shared" si="210"/>
        <v>0</v>
      </c>
      <c r="BI154" s="152">
        <f t="shared" si="211"/>
        <v>1</v>
      </c>
      <c r="BJ154" s="153">
        <f t="shared" si="212"/>
        <v>1</v>
      </c>
      <c r="BK154" s="116" t="e">
        <f t="shared" si="213"/>
        <v>#DIV/0!</v>
      </c>
      <c r="BL154" s="116">
        <f t="shared" si="214"/>
        <v>1</v>
      </c>
      <c r="BM154" s="154">
        <f t="shared" si="215"/>
        <v>1</v>
      </c>
      <c r="BN154" s="153">
        <f t="shared" si="216"/>
        <v>1</v>
      </c>
      <c r="BO154" s="116" t="e">
        <f t="shared" si="217"/>
        <v>#DIV/0!</v>
      </c>
      <c r="BP154" s="153">
        <f t="shared" si="218"/>
        <v>1</v>
      </c>
      <c r="BQ154" s="141"/>
      <c r="BR154" s="111">
        <f t="shared" si="220"/>
        <v>0</v>
      </c>
      <c r="BS154" s="96" t="e">
        <f t="shared" si="221"/>
        <v>#DIV/0!</v>
      </c>
      <c r="BT154" s="96" t="e">
        <f t="shared" si="222"/>
        <v>#DIV/0!</v>
      </c>
      <c r="BU154" s="96">
        <f t="shared" si="223"/>
        <v>0</v>
      </c>
      <c r="BV154" s="96"/>
      <c r="BW154" s="96">
        <f t="shared" si="224"/>
        <v>0.97743092137960175</v>
      </c>
      <c r="BX154" s="96">
        <f t="shared" si="225"/>
        <v>0.97743092137960175</v>
      </c>
      <c r="BY154" s="96">
        <f t="shared" si="226"/>
        <v>0</v>
      </c>
      <c r="BZ154" s="96" t="e">
        <f t="shared" si="227"/>
        <v>#DIV/0!</v>
      </c>
      <c r="CA154" s="96" t="e">
        <f t="shared" si="228"/>
        <v>#DIV/0!</v>
      </c>
      <c r="CB154" s="112" t="e">
        <f t="shared" si="229"/>
        <v>#DIV/0!</v>
      </c>
      <c r="CC154" s="113" t="e">
        <f t="shared" si="230"/>
        <v>#DIV/0!</v>
      </c>
      <c r="CD154" s="13" t="e">
        <f t="shared" si="231"/>
        <v>#DIV/0!</v>
      </c>
      <c r="CE154" s="84" t="e">
        <f t="shared" si="232"/>
        <v>#DIV/0!</v>
      </c>
      <c r="CF154" s="115">
        <f t="shared" si="233"/>
        <v>0</v>
      </c>
      <c r="CG154" s="111"/>
      <c r="CH154" s="96"/>
      <c r="CI154" s="96"/>
      <c r="CJ154" s="96"/>
      <c r="CK154" s="96"/>
      <c r="CL154" s="96">
        <f t="shared" si="234"/>
        <v>0</v>
      </c>
      <c r="CM154" s="96" t="e">
        <f t="shared" si="235"/>
        <v>#N/A</v>
      </c>
      <c r="CN154" s="96" t="e">
        <f t="shared" si="236"/>
        <v>#N/A</v>
      </c>
      <c r="CO154" s="112">
        <f t="shared" si="237"/>
        <v>0</v>
      </c>
      <c r="CQ154" s="111" t="e">
        <f>IF('3'!$AC$2="",CR154,NA())</f>
        <v>#N/A</v>
      </c>
      <c r="CR154" s="111">
        <v>0.1</v>
      </c>
      <c r="CS154" s="96">
        <v>30</v>
      </c>
      <c r="CT154" s="112">
        <v>50000</v>
      </c>
      <c r="CU154" s="96"/>
      <c r="CV154" s="96"/>
      <c r="CW154" s="96"/>
      <c r="CX154" s="96"/>
      <c r="CY154" s="96"/>
      <c r="CZ154" s="96"/>
      <c r="DA154" s="96"/>
      <c r="DB154" s="111"/>
      <c r="DC154" s="96"/>
      <c r="DD154" s="96"/>
      <c r="DE154" s="96"/>
      <c r="DF154" s="112"/>
      <c r="DG154" s="111"/>
      <c r="DH154" s="96"/>
      <c r="DI154" s="96"/>
      <c r="DJ154" s="96"/>
      <c r="DK154" s="96"/>
      <c r="DL154" s="112"/>
      <c r="DM154" s="96"/>
      <c r="DN154" s="96"/>
      <c r="DO154" s="96"/>
      <c r="DP154" s="96"/>
      <c r="DQ154" s="96"/>
      <c r="DR154" s="96"/>
      <c r="DS154" s="96"/>
      <c r="DT154" s="111"/>
      <c r="DZ154" s="84"/>
      <c r="EA154" s="113"/>
      <c r="ED154" s="84"/>
      <c r="EJ154" s="113"/>
      <c r="EN154" s="84"/>
      <c r="EO154" s="113"/>
      <c r="ET154" s="84"/>
      <c r="EU154" s="147" t="e">
        <f t="shared" si="238"/>
        <v>#DIV/0!</v>
      </c>
      <c r="EV154" s="157">
        <f t="shared" si="239"/>
        <v>0</v>
      </c>
      <c r="EW154" s="157">
        <f t="shared" si="240"/>
        <v>0</v>
      </c>
      <c r="EX154" s="157">
        <f t="shared" si="241"/>
        <v>0</v>
      </c>
      <c r="EY154" s="152">
        <f t="shared" si="242"/>
        <v>1</v>
      </c>
      <c r="EZ154" s="153">
        <f t="shared" si="243"/>
        <v>1</v>
      </c>
      <c r="FA154" s="116" t="e">
        <f t="shared" si="244"/>
        <v>#DIV/0!</v>
      </c>
      <c r="FB154" s="116">
        <f t="shared" si="245"/>
        <v>1</v>
      </c>
      <c r="FC154" s="154">
        <f t="shared" si="246"/>
        <v>1</v>
      </c>
      <c r="FD154" s="153">
        <f t="shared" si="247"/>
        <v>1</v>
      </c>
      <c r="FE154" s="116" t="e">
        <f t="shared" si="248"/>
        <v>#DIV/0!</v>
      </c>
      <c r="FF154" s="153">
        <f t="shared" si="249"/>
        <v>1</v>
      </c>
      <c r="FG154" s="141"/>
      <c r="FH154" s="111">
        <f t="shared" si="251"/>
        <v>0</v>
      </c>
      <c r="FI154" s="96" t="e">
        <f t="shared" si="252"/>
        <v>#DIV/0!</v>
      </c>
      <c r="FJ154" s="96" t="e">
        <f t="shared" si="253"/>
        <v>#DIV/0!</v>
      </c>
      <c r="FK154" s="96">
        <f t="shared" si="254"/>
        <v>0</v>
      </c>
      <c r="FL154" s="96"/>
      <c r="FM154" s="96" t="e">
        <f t="shared" si="255"/>
        <v>#N/A</v>
      </c>
      <c r="FN154" s="96" t="e">
        <f t="shared" si="256"/>
        <v>#N/A</v>
      </c>
      <c r="FO154" s="96" t="e">
        <f t="shared" si="257"/>
        <v>#N/A</v>
      </c>
      <c r="FP154" s="96" t="e">
        <f t="shared" si="258"/>
        <v>#DIV/0!</v>
      </c>
      <c r="FQ154" s="96" t="e">
        <f t="shared" si="259"/>
        <v>#DIV/0!</v>
      </c>
      <c r="FR154" s="112" t="e">
        <f t="shared" si="260"/>
        <v>#DIV/0!</v>
      </c>
      <c r="FS154" s="113" t="e">
        <f t="shared" si="261"/>
        <v>#DIV/0!</v>
      </c>
      <c r="FT154" s="13" t="e">
        <f t="shared" si="262"/>
        <v>#DIV/0!</v>
      </c>
      <c r="FU154" s="84" t="e">
        <f t="shared" si="263"/>
        <v>#DIV/0!</v>
      </c>
      <c r="FV154" s="115">
        <f t="shared" si="264"/>
        <v>0</v>
      </c>
      <c r="FW154" s="111"/>
      <c r="FX154" s="96"/>
      <c r="FY154" s="96"/>
      <c r="FZ154" s="96"/>
      <c r="GA154" s="96"/>
      <c r="GB154" s="96">
        <f t="shared" si="265"/>
        <v>0</v>
      </c>
      <c r="GC154" s="96" t="e">
        <f t="shared" si="266"/>
        <v>#N/A</v>
      </c>
      <c r="GD154" s="96" t="e">
        <f t="shared" si="267"/>
        <v>#N/A</v>
      </c>
      <c r="GE154" s="112">
        <f t="shared" si="268"/>
        <v>0</v>
      </c>
    </row>
    <row r="155" spans="1:187" ht="15.75" thickBot="1" x14ac:dyDescent="0.3">
      <c r="A155" s="111">
        <f>IF('3'!$AC$8="",B155,NA())</f>
        <v>0</v>
      </c>
      <c r="B155" s="117">
        <v>0</v>
      </c>
      <c r="C155" s="118">
        <v>30</v>
      </c>
      <c r="D155" s="144">
        <v>50000</v>
      </c>
      <c r="E155" s="118"/>
      <c r="F155" s="118"/>
      <c r="G155" s="118"/>
      <c r="H155" s="118"/>
      <c r="I155" s="118"/>
      <c r="J155" s="118"/>
      <c r="K155" s="118"/>
      <c r="L155" s="117"/>
      <c r="M155" s="118"/>
      <c r="N155" s="37"/>
      <c r="O155" s="118"/>
      <c r="P155" s="144"/>
      <c r="Q155" s="117"/>
      <c r="R155" s="118"/>
      <c r="S155" s="118"/>
      <c r="T155" s="118"/>
      <c r="U155" s="118"/>
      <c r="V155" s="144"/>
      <c r="W155" s="118"/>
      <c r="X155" s="118"/>
      <c r="Y155" s="118"/>
      <c r="Z155" s="118"/>
      <c r="AA155" s="118"/>
      <c r="AB155" s="118"/>
      <c r="AC155" s="118"/>
      <c r="AD155" s="117"/>
      <c r="AE155" s="145"/>
      <c r="AF155" s="145"/>
      <c r="AG155" s="145"/>
      <c r="AH155" s="145"/>
      <c r="AI155" s="145"/>
      <c r="AJ155" s="144"/>
      <c r="AK155" s="117"/>
      <c r="AL155" s="118"/>
      <c r="AM155" s="118"/>
      <c r="AN155" s="144"/>
      <c r="AO155" s="118"/>
      <c r="AP155" s="118"/>
      <c r="AQ155" s="118"/>
      <c r="AR155" s="118"/>
      <c r="AS155" s="118"/>
      <c r="AT155" s="117"/>
      <c r="AU155" s="145"/>
      <c r="AV155" s="145"/>
      <c r="AW155" s="145"/>
      <c r="AX155" s="146"/>
      <c r="AY155" s="88"/>
      <c r="AZ155" s="89"/>
      <c r="BA155" s="89"/>
      <c r="BB155" s="89"/>
      <c r="BC155" s="89"/>
      <c r="BD155" s="90"/>
      <c r="BE155" s="89"/>
      <c r="BF155" s="158">
        <f t="shared" si="208"/>
        <v>0</v>
      </c>
      <c r="BG155" s="159">
        <f t="shared" si="209"/>
        <v>0</v>
      </c>
      <c r="BH155" s="160">
        <f t="shared" si="210"/>
        <v>0</v>
      </c>
      <c r="BI155" s="117">
        <f t="shared" si="211"/>
        <v>1</v>
      </c>
      <c r="BJ155" s="118">
        <f t="shared" si="212"/>
        <v>1</v>
      </c>
      <c r="BK155" s="131" t="e">
        <f t="shared" si="213"/>
        <v>#DIV/0!</v>
      </c>
      <c r="BL155" s="131">
        <f t="shared" si="214"/>
        <v>1</v>
      </c>
      <c r="BM155" s="155">
        <f t="shared" si="215"/>
        <v>1</v>
      </c>
      <c r="BN155" s="118">
        <f t="shared" si="216"/>
        <v>1</v>
      </c>
      <c r="BO155" s="131" t="e">
        <f t="shared" si="217"/>
        <v>#DIV/0!</v>
      </c>
      <c r="BP155" s="156">
        <f t="shared" si="218"/>
        <v>1</v>
      </c>
      <c r="BQ155" s="143" t="e">
        <f>I155/H155</f>
        <v>#DIV/0!</v>
      </c>
      <c r="BR155" s="36">
        <f t="shared" si="220"/>
        <v>0</v>
      </c>
      <c r="BS155" s="37" t="e">
        <f t="shared" si="221"/>
        <v>#DIV/0!</v>
      </c>
      <c r="BT155" s="37" t="e">
        <f t="shared" si="222"/>
        <v>#DIV/0!</v>
      </c>
      <c r="BU155" s="37">
        <f t="shared" si="223"/>
        <v>0</v>
      </c>
      <c r="BV155" s="37"/>
      <c r="BW155" s="37">
        <f t="shared" si="224"/>
        <v>0.9944590615391693</v>
      </c>
      <c r="BX155" s="37">
        <f t="shared" si="225"/>
        <v>0.9944590615391693</v>
      </c>
      <c r="BY155" s="37">
        <f t="shared" si="226"/>
        <v>0</v>
      </c>
      <c r="BZ155" s="37" t="e">
        <f t="shared" si="227"/>
        <v>#DIV/0!</v>
      </c>
      <c r="CA155" s="37" t="e">
        <f t="shared" si="228"/>
        <v>#DIV/0!</v>
      </c>
      <c r="CB155" s="35" t="e">
        <f t="shared" si="229"/>
        <v>#DIV/0!</v>
      </c>
      <c r="CC155" s="88" t="e">
        <f t="shared" si="230"/>
        <v>#DIV/0!</v>
      </c>
      <c r="CD155" s="89" t="e">
        <f t="shared" si="231"/>
        <v>#DIV/0!</v>
      </c>
      <c r="CE155" s="90" t="e">
        <f t="shared" si="232"/>
        <v>#DIV/0!</v>
      </c>
      <c r="CF155" s="118">
        <f>CG155</f>
        <v>0</v>
      </c>
      <c r="CG155" s="117"/>
      <c r="CH155" s="118"/>
      <c r="CI155" s="118"/>
      <c r="CJ155" s="118"/>
      <c r="CK155" s="118"/>
      <c r="CL155" s="118">
        <f>SQRT(2*CONVERT(CJ155, "psi", "Pa") / $J$1)</f>
        <v>0</v>
      </c>
      <c r="CM155" s="118">
        <f t="shared" si="235"/>
        <v>0</v>
      </c>
      <c r="CN155" s="118">
        <f t="shared" si="236"/>
        <v>0</v>
      </c>
      <c r="CO155" s="118">
        <f t="shared" si="237"/>
        <v>0</v>
      </c>
      <c r="CQ155" s="111" t="e">
        <f>IF('3'!$AC$2="",CR155,NA())</f>
        <v>#N/A</v>
      </c>
      <c r="CR155" s="117">
        <v>0</v>
      </c>
      <c r="CS155" s="118">
        <v>30</v>
      </c>
      <c r="CT155" s="144">
        <v>50000</v>
      </c>
      <c r="CU155" s="118"/>
      <c r="CV155" s="118"/>
      <c r="CW155" s="118"/>
      <c r="CX155" s="118"/>
      <c r="CY155" s="118"/>
      <c r="CZ155" s="118"/>
      <c r="DA155" s="118"/>
      <c r="DB155" s="117"/>
      <c r="DC155" s="118"/>
      <c r="DD155" s="118"/>
      <c r="DE155" s="118"/>
      <c r="DF155" s="144"/>
      <c r="DG155" s="117"/>
      <c r="DH155" s="118"/>
      <c r="DI155" s="118"/>
      <c r="DJ155" s="118"/>
      <c r="DK155" s="118"/>
      <c r="DL155" s="144"/>
      <c r="DM155" s="118"/>
      <c r="DN155" s="118"/>
      <c r="DO155" s="118"/>
      <c r="DP155" s="118"/>
      <c r="DQ155" s="118"/>
      <c r="DR155" s="118"/>
      <c r="DS155" s="118"/>
      <c r="DT155" s="117"/>
      <c r="DU155" s="145"/>
      <c r="DV155" s="145"/>
      <c r="DW155" s="145"/>
      <c r="DX155" s="145"/>
      <c r="DY155" s="145"/>
      <c r="DZ155" s="144"/>
      <c r="EA155" s="117"/>
      <c r="EB155" s="118"/>
      <c r="EC155" s="118"/>
      <c r="ED155" s="144"/>
      <c r="EE155" s="118"/>
      <c r="EF155" s="118"/>
      <c r="EG155" s="118"/>
      <c r="EH155" s="118"/>
      <c r="EI155" s="118"/>
      <c r="EJ155" s="117"/>
      <c r="EK155" s="145"/>
      <c r="EL155" s="145"/>
      <c r="EM155" s="145"/>
      <c r="EN155" s="146"/>
      <c r="EO155" s="88"/>
      <c r="EP155" s="89"/>
      <c r="EQ155" s="89"/>
      <c r="ER155" s="89"/>
      <c r="ES155" s="89"/>
      <c r="ET155" s="90"/>
      <c r="EU155" s="164"/>
      <c r="EV155" s="159">
        <f t="shared" si="239"/>
        <v>0</v>
      </c>
      <c r="EW155" s="159">
        <f t="shared" si="240"/>
        <v>0</v>
      </c>
      <c r="EX155" s="160">
        <f t="shared" si="241"/>
        <v>0</v>
      </c>
      <c r="EY155" s="117">
        <f t="shared" si="242"/>
        <v>1</v>
      </c>
      <c r="EZ155" s="118">
        <f t="shared" si="243"/>
        <v>1</v>
      </c>
      <c r="FA155" s="131" t="e">
        <f t="shared" si="244"/>
        <v>#DIV/0!</v>
      </c>
      <c r="FB155" s="131">
        <f t="shared" si="245"/>
        <v>1</v>
      </c>
      <c r="FC155" s="155">
        <f t="shared" si="246"/>
        <v>1</v>
      </c>
      <c r="FD155" s="118">
        <f t="shared" si="247"/>
        <v>1</v>
      </c>
      <c r="FE155" s="131" t="e">
        <f t="shared" si="248"/>
        <v>#DIV/0!</v>
      </c>
      <c r="FF155" s="156">
        <f t="shared" si="249"/>
        <v>1</v>
      </c>
      <c r="FG155" s="143" t="e">
        <f t="shared" ref="FG155" si="269">CY155/CX155</f>
        <v>#DIV/0!</v>
      </c>
      <c r="FH155" s="36">
        <f t="shared" si="251"/>
        <v>0</v>
      </c>
      <c r="FI155" s="37" t="e">
        <f t="shared" si="252"/>
        <v>#DIV/0!</v>
      </c>
      <c r="FJ155" s="37" t="e">
        <f t="shared" si="253"/>
        <v>#DIV/0!</v>
      </c>
      <c r="FK155" s="37">
        <f t="shared" si="254"/>
        <v>0</v>
      </c>
      <c r="FL155" s="37"/>
      <c r="FM155" s="37" t="e">
        <f t="shared" si="255"/>
        <v>#N/A</v>
      </c>
      <c r="FN155" s="37" t="e">
        <f t="shared" si="256"/>
        <v>#N/A</v>
      </c>
      <c r="FO155" s="37" t="e">
        <f t="shared" si="257"/>
        <v>#N/A</v>
      </c>
      <c r="FP155" s="37" t="e">
        <f t="shared" si="258"/>
        <v>#DIV/0!</v>
      </c>
      <c r="FQ155" s="37" t="e">
        <f t="shared" si="259"/>
        <v>#DIV/0!</v>
      </c>
      <c r="FR155" s="35" t="e">
        <f t="shared" si="260"/>
        <v>#DIV/0!</v>
      </c>
      <c r="FS155" s="88" t="e">
        <f t="shared" si="261"/>
        <v>#DIV/0!</v>
      </c>
      <c r="FT155" s="89" t="e">
        <f t="shared" si="262"/>
        <v>#DIV/0!</v>
      </c>
      <c r="FU155" s="90" t="e">
        <f t="shared" si="263"/>
        <v>#DIV/0!</v>
      </c>
      <c r="FV155" s="118">
        <f>FW155</f>
        <v>0</v>
      </c>
      <c r="FW155" s="117"/>
      <c r="FX155" s="118"/>
      <c r="FY155" s="118"/>
      <c r="FZ155" s="118"/>
      <c r="GA155" s="118"/>
      <c r="GB155" s="118">
        <f>SQRT(2*CONVERT(FZ155, "psi", "Pa") / $J$1)</f>
        <v>0</v>
      </c>
      <c r="GC155" s="118" t="e">
        <f t="shared" si="266"/>
        <v>#N/A</v>
      </c>
      <c r="GD155" s="118" t="e">
        <f t="shared" si="267"/>
        <v>#N/A</v>
      </c>
      <c r="GE155" s="118">
        <f t="shared" si="268"/>
        <v>0</v>
      </c>
    </row>
    <row r="156" spans="1:187" x14ac:dyDescent="0.25">
      <c r="A156" s="111">
        <f>IF('3'!$AC$8="",-B156,NA())</f>
        <v>-0.1</v>
      </c>
      <c r="B156" s="110">
        <v>0.1</v>
      </c>
      <c r="C156" s="110">
        <v>30</v>
      </c>
      <c r="D156" s="115">
        <v>50000</v>
      </c>
      <c r="E156" s="110"/>
      <c r="F156" s="110"/>
      <c r="G156" s="110"/>
      <c r="H156" s="110"/>
      <c r="I156" s="110"/>
      <c r="J156" s="110"/>
      <c r="K156" s="109"/>
      <c r="L156" s="114"/>
      <c r="M156" s="110"/>
      <c r="N156" s="110"/>
      <c r="O156" s="110"/>
      <c r="P156" s="115"/>
      <c r="Q156" s="114"/>
      <c r="R156" s="110"/>
      <c r="S156" s="110"/>
      <c r="T156" s="110"/>
      <c r="U156" s="110"/>
      <c r="V156" s="115"/>
      <c r="W156" s="110"/>
      <c r="X156" s="110"/>
      <c r="Y156" s="110"/>
      <c r="Z156" s="110"/>
      <c r="AA156" s="110"/>
      <c r="AB156" s="110"/>
      <c r="AC156" s="110"/>
      <c r="AD156" s="114"/>
      <c r="AE156" s="3"/>
      <c r="AF156" s="3"/>
      <c r="AG156" s="3"/>
      <c r="AH156" s="3"/>
      <c r="AI156" s="3"/>
      <c r="AJ156" s="115"/>
      <c r="AK156" s="114"/>
      <c r="AL156" s="110"/>
      <c r="AM156" s="110"/>
      <c r="AN156" s="115"/>
      <c r="AO156" s="110"/>
      <c r="AP156" s="110"/>
      <c r="AQ156" s="110"/>
      <c r="AR156" s="110"/>
      <c r="AS156" s="110"/>
      <c r="AT156" s="114"/>
      <c r="AU156" s="3"/>
      <c r="AV156" s="3"/>
      <c r="AW156" s="3"/>
      <c r="AX156" s="3"/>
      <c r="AY156" s="113"/>
      <c r="BD156" s="84"/>
      <c r="BF156" s="157">
        <f t="shared" si="208"/>
        <v>0</v>
      </c>
      <c r="BG156" s="157">
        <f t="shared" si="209"/>
        <v>0</v>
      </c>
      <c r="BH156" s="157">
        <f t="shared" si="210"/>
        <v>0</v>
      </c>
      <c r="BI156" s="114">
        <f t="shared" si="211"/>
        <v>1</v>
      </c>
      <c r="BJ156" s="110">
        <f t="shared" si="212"/>
        <v>1</v>
      </c>
      <c r="BK156" s="116" t="e">
        <f t="shared" si="213"/>
        <v>#DIV/0!</v>
      </c>
      <c r="BL156" s="116">
        <f t="shared" si="214"/>
        <v>1</v>
      </c>
      <c r="BM156" s="154">
        <f t="shared" si="215"/>
        <v>1</v>
      </c>
      <c r="BN156" s="110">
        <f t="shared" si="216"/>
        <v>1</v>
      </c>
      <c r="BO156" s="116" t="e">
        <f t="shared" si="217"/>
        <v>#DIV/0!</v>
      </c>
      <c r="BP156" s="153">
        <f t="shared" si="218"/>
        <v>1</v>
      </c>
      <c r="BQ156" s="141"/>
      <c r="BR156" s="111">
        <f t="shared" si="220"/>
        <v>0</v>
      </c>
      <c r="BS156" s="96" t="e">
        <f t="shared" si="221"/>
        <v>#DIV/0!</v>
      </c>
      <c r="BT156" s="96" t="e">
        <f t="shared" si="222"/>
        <v>#DIV/0!</v>
      </c>
      <c r="BU156" s="96">
        <f t="shared" si="223"/>
        <v>0</v>
      </c>
      <c r="BV156" s="96"/>
      <c r="BW156" s="96">
        <f t="shared" si="224"/>
        <v>0.97743092137960175</v>
      </c>
      <c r="BX156" s="96">
        <f t="shared" si="225"/>
        <v>0.97743092137960175</v>
      </c>
      <c r="BY156" s="96">
        <f t="shared" si="226"/>
        <v>0</v>
      </c>
      <c r="BZ156" s="96" t="e">
        <f t="shared" si="227"/>
        <v>#DIV/0!</v>
      </c>
      <c r="CA156" s="96" t="e">
        <f t="shared" si="228"/>
        <v>#DIV/0!</v>
      </c>
      <c r="CB156" s="112" t="e">
        <f t="shared" si="229"/>
        <v>#DIV/0!</v>
      </c>
      <c r="CC156" s="113" t="e">
        <f t="shared" si="230"/>
        <v>#DIV/0!</v>
      </c>
      <c r="CD156" s="13" t="e">
        <f t="shared" si="231"/>
        <v>#DIV/0!</v>
      </c>
      <c r="CE156" s="84" t="e">
        <f t="shared" si="232"/>
        <v>#DIV/0!</v>
      </c>
      <c r="CF156" s="115">
        <f>-CG156</f>
        <v>0</v>
      </c>
      <c r="CG156" s="110"/>
      <c r="CH156" s="96"/>
      <c r="CI156" s="96"/>
      <c r="CJ156" s="110"/>
      <c r="CK156" s="110"/>
      <c r="CL156" s="96">
        <f t="shared" ref="CL156:CL165" si="270">SQRT(2*CONVERT(CJ156, "psi", "Pa") / $J$1)</f>
        <v>0</v>
      </c>
      <c r="CM156" s="96" t="e">
        <f t="shared" si="235"/>
        <v>#N/A</v>
      </c>
      <c r="CN156" s="110" t="e">
        <f t="shared" si="236"/>
        <v>#N/A</v>
      </c>
      <c r="CO156" s="112">
        <f t="shared" si="237"/>
        <v>0</v>
      </c>
      <c r="CQ156" s="111" t="e">
        <f>IF('3'!$AC$2="",-CR156,NA())</f>
        <v>#N/A</v>
      </c>
      <c r="CR156" s="110">
        <v>0.1</v>
      </c>
      <c r="CS156" s="110">
        <v>30</v>
      </c>
      <c r="CT156" s="115">
        <v>50000</v>
      </c>
      <c r="CU156" s="110"/>
      <c r="CV156" s="110"/>
      <c r="CW156" s="110"/>
      <c r="CX156" s="110"/>
      <c r="CY156" s="110"/>
      <c r="CZ156" s="110"/>
      <c r="DA156" s="109"/>
      <c r="DB156" s="114"/>
      <c r="DC156" s="110"/>
      <c r="DD156" s="110"/>
      <c r="DE156" s="110"/>
      <c r="DF156" s="115"/>
      <c r="DG156" s="114"/>
      <c r="DH156" s="110"/>
      <c r="DI156" s="110"/>
      <c r="DJ156" s="110"/>
      <c r="DK156" s="110"/>
      <c r="DL156" s="115"/>
      <c r="DM156" s="110"/>
      <c r="DN156" s="110"/>
      <c r="DO156" s="110"/>
      <c r="DP156" s="110"/>
      <c r="DQ156" s="110"/>
      <c r="DR156" s="110"/>
      <c r="DS156" s="110"/>
      <c r="DT156" s="114"/>
      <c r="DU156" s="3"/>
      <c r="DV156" s="3"/>
      <c r="DW156" s="3"/>
      <c r="DX156" s="3"/>
      <c r="DY156" s="3"/>
      <c r="DZ156" s="115"/>
      <c r="EA156" s="114"/>
      <c r="EB156" s="110"/>
      <c r="EC156" s="110"/>
      <c r="ED156" s="115"/>
      <c r="EE156" s="110"/>
      <c r="EF156" s="110"/>
      <c r="EG156" s="110"/>
      <c r="EH156" s="110"/>
      <c r="EI156" s="110"/>
      <c r="EJ156" s="114"/>
      <c r="EK156" s="3"/>
      <c r="EL156" s="3"/>
      <c r="EM156" s="3"/>
      <c r="EN156" s="3"/>
      <c r="EO156" s="113"/>
      <c r="ET156" s="84"/>
      <c r="EU156" s="163"/>
      <c r="EV156" s="157">
        <f t="shared" si="239"/>
        <v>0</v>
      </c>
      <c r="EW156" s="157">
        <f t="shared" si="240"/>
        <v>0</v>
      </c>
      <c r="EX156" s="157">
        <f t="shared" si="241"/>
        <v>0</v>
      </c>
      <c r="EY156" s="114">
        <f t="shared" si="242"/>
        <v>1</v>
      </c>
      <c r="EZ156" s="110">
        <f t="shared" si="243"/>
        <v>1</v>
      </c>
      <c r="FA156" s="116" t="e">
        <f t="shared" si="244"/>
        <v>#DIV/0!</v>
      </c>
      <c r="FB156" s="116">
        <f t="shared" si="245"/>
        <v>1</v>
      </c>
      <c r="FC156" s="154">
        <f t="shared" si="246"/>
        <v>1</v>
      </c>
      <c r="FD156" s="110">
        <f t="shared" si="247"/>
        <v>1</v>
      </c>
      <c r="FE156" s="116" t="e">
        <f t="shared" si="248"/>
        <v>#DIV/0!</v>
      </c>
      <c r="FF156" s="153">
        <f t="shared" si="249"/>
        <v>1</v>
      </c>
      <c r="FG156" s="141"/>
      <c r="FH156" s="111">
        <f t="shared" si="251"/>
        <v>0</v>
      </c>
      <c r="FI156" s="96" t="e">
        <f t="shared" si="252"/>
        <v>#DIV/0!</v>
      </c>
      <c r="FJ156" s="96" t="e">
        <f t="shared" si="253"/>
        <v>#DIV/0!</v>
      </c>
      <c r="FK156" s="96">
        <f t="shared" si="254"/>
        <v>0</v>
      </c>
      <c r="FL156" s="96"/>
      <c r="FM156" s="96" t="e">
        <f t="shared" si="255"/>
        <v>#N/A</v>
      </c>
      <c r="FN156" s="96" t="e">
        <f t="shared" si="256"/>
        <v>#N/A</v>
      </c>
      <c r="FO156" s="96" t="e">
        <f t="shared" si="257"/>
        <v>#N/A</v>
      </c>
      <c r="FP156" s="96" t="e">
        <f t="shared" si="258"/>
        <v>#DIV/0!</v>
      </c>
      <c r="FQ156" s="96" t="e">
        <f t="shared" si="259"/>
        <v>#DIV/0!</v>
      </c>
      <c r="FR156" s="112" t="e">
        <f t="shared" si="260"/>
        <v>#DIV/0!</v>
      </c>
      <c r="FS156" s="113" t="e">
        <f t="shared" si="261"/>
        <v>#DIV/0!</v>
      </c>
      <c r="FT156" s="13" t="e">
        <f t="shared" si="262"/>
        <v>#DIV/0!</v>
      </c>
      <c r="FU156" s="84" t="e">
        <f t="shared" si="263"/>
        <v>#DIV/0!</v>
      </c>
      <c r="FV156" s="115">
        <f>-FW156</f>
        <v>0</v>
      </c>
      <c r="FW156" s="110"/>
      <c r="FX156" s="96"/>
      <c r="FY156" s="96"/>
      <c r="FZ156" s="110"/>
      <c r="GA156" s="110"/>
      <c r="GB156" s="96">
        <f t="shared" ref="GB156:GB165" si="271">SQRT(2*CONVERT(FZ156, "psi", "Pa") / $J$1)</f>
        <v>0</v>
      </c>
      <c r="GC156" s="96" t="e">
        <f t="shared" si="266"/>
        <v>#N/A</v>
      </c>
      <c r="GD156" s="110" t="e">
        <f t="shared" si="267"/>
        <v>#N/A</v>
      </c>
      <c r="GE156" s="112">
        <f t="shared" si="268"/>
        <v>0</v>
      </c>
    </row>
    <row r="157" spans="1:187" x14ac:dyDescent="0.25">
      <c r="A157" s="111">
        <f>IF('3'!$AC$8="",-B157,NA())</f>
        <v>-0.2</v>
      </c>
      <c r="B157" s="110">
        <v>0.2</v>
      </c>
      <c r="C157" s="110">
        <v>30</v>
      </c>
      <c r="D157" s="115">
        <v>50000</v>
      </c>
      <c r="E157" s="110"/>
      <c r="F157" s="110"/>
      <c r="G157" s="110"/>
      <c r="H157" s="110"/>
      <c r="I157" s="110"/>
      <c r="J157" s="110"/>
      <c r="K157" s="109"/>
      <c r="L157" s="114"/>
      <c r="M157" s="110"/>
      <c r="N157" s="110"/>
      <c r="O157" s="110"/>
      <c r="P157" s="115"/>
      <c r="Q157" s="114"/>
      <c r="R157" s="110"/>
      <c r="S157" s="110"/>
      <c r="T157" s="110"/>
      <c r="U157" s="110"/>
      <c r="V157" s="115"/>
      <c r="W157" s="110"/>
      <c r="X157" s="110"/>
      <c r="Y157" s="110"/>
      <c r="Z157" s="110"/>
      <c r="AA157" s="110"/>
      <c r="AB157" s="110"/>
      <c r="AC157" s="110"/>
      <c r="AD157" s="114"/>
      <c r="AE157" s="3"/>
      <c r="AF157" s="3"/>
      <c r="AG157" s="3"/>
      <c r="AH157" s="3"/>
      <c r="AI157" s="3"/>
      <c r="AJ157" s="115"/>
      <c r="AK157" s="114"/>
      <c r="AL157" s="110"/>
      <c r="AM157" s="110"/>
      <c r="AN157" s="115"/>
      <c r="AO157" s="110"/>
      <c r="AP157" s="110"/>
      <c r="AQ157" s="110"/>
      <c r="AR157" s="110"/>
      <c r="AS157" s="110"/>
      <c r="AT157" s="114"/>
      <c r="AU157" s="3"/>
      <c r="AV157" s="3"/>
      <c r="AW157" s="3"/>
      <c r="AX157" s="3"/>
      <c r="AY157" s="113"/>
      <c r="BD157" s="84"/>
      <c r="BF157" s="157">
        <f t="shared" si="208"/>
        <v>0</v>
      </c>
      <c r="BG157" s="157">
        <f t="shared" si="209"/>
        <v>0</v>
      </c>
      <c r="BH157" s="157">
        <f t="shared" si="210"/>
        <v>0</v>
      </c>
      <c r="BI157" s="114">
        <f t="shared" si="211"/>
        <v>1</v>
      </c>
      <c r="BJ157" s="110">
        <f t="shared" si="212"/>
        <v>1</v>
      </c>
      <c r="BK157" s="116" t="e">
        <f t="shared" si="213"/>
        <v>#DIV/0!</v>
      </c>
      <c r="BL157" s="116">
        <f t="shared" si="214"/>
        <v>1</v>
      </c>
      <c r="BM157" s="154">
        <f t="shared" si="215"/>
        <v>1</v>
      </c>
      <c r="BN157" s="110">
        <f t="shared" si="216"/>
        <v>1</v>
      </c>
      <c r="BO157" s="116" t="e">
        <f t="shared" si="217"/>
        <v>#DIV/0!</v>
      </c>
      <c r="BP157" s="153">
        <f t="shared" si="218"/>
        <v>1</v>
      </c>
      <c r="BQ157" s="141"/>
      <c r="BR157" s="111">
        <f t="shared" si="220"/>
        <v>0</v>
      </c>
      <c r="BS157" s="96" t="e">
        <f t="shared" si="221"/>
        <v>#DIV/0!</v>
      </c>
      <c r="BT157" s="96" t="e">
        <f t="shared" si="222"/>
        <v>#DIV/0!</v>
      </c>
      <c r="BU157" s="96">
        <f t="shared" si="223"/>
        <v>0</v>
      </c>
      <c r="BV157" s="96"/>
      <c r="BW157" s="96">
        <f t="shared" si="224"/>
        <v>0.95874001371920414</v>
      </c>
      <c r="BX157" s="96">
        <f t="shared" si="225"/>
        <v>0.95874001371920414</v>
      </c>
      <c r="BY157" s="96">
        <f t="shared" si="226"/>
        <v>0</v>
      </c>
      <c r="BZ157" s="96" t="e">
        <f t="shared" si="227"/>
        <v>#DIV/0!</v>
      </c>
      <c r="CA157" s="96" t="e">
        <f t="shared" si="228"/>
        <v>#DIV/0!</v>
      </c>
      <c r="CB157" s="112" t="e">
        <f t="shared" si="229"/>
        <v>#DIV/0!</v>
      </c>
      <c r="CC157" s="113" t="e">
        <f t="shared" si="230"/>
        <v>#DIV/0!</v>
      </c>
      <c r="CD157" s="13" t="e">
        <f t="shared" si="231"/>
        <v>#DIV/0!</v>
      </c>
      <c r="CE157" s="84" t="e">
        <f t="shared" si="232"/>
        <v>#DIV/0!</v>
      </c>
      <c r="CF157" s="115">
        <f t="shared" ref="CF157:CF165" si="272">-CG157</f>
        <v>0</v>
      </c>
      <c r="CG157" s="110"/>
      <c r="CH157" s="96"/>
      <c r="CI157" s="96"/>
      <c r="CJ157" s="110"/>
      <c r="CK157" s="110"/>
      <c r="CL157" s="96">
        <f t="shared" si="270"/>
        <v>0</v>
      </c>
      <c r="CM157" s="96" t="e">
        <f t="shared" si="235"/>
        <v>#N/A</v>
      </c>
      <c r="CN157" s="110" t="e">
        <f t="shared" si="236"/>
        <v>#N/A</v>
      </c>
      <c r="CO157" s="112">
        <f t="shared" si="237"/>
        <v>0</v>
      </c>
      <c r="CQ157" s="111" t="e">
        <f>IF('3'!$AC$2="",-CR157,NA())</f>
        <v>#N/A</v>
      </c>
      <c r="CR157" s="110"/>
      <c r="CS157" s="110"/>
      <c r="CT157" s="115"/>
      <c r="CU157" s="110"/>
      <c r="CV157" s="110"/>
      <c r="CW157" s="110"/>
      <c r="CX157" s="110"/>
      <c r="CY157" s="110"/>
      <c r="CZ157" s="110"/>
      <c r="DA157" s="109"/>
      <c r="DB157" s="114"/>
      <c r="DC157" s="110"/>
      <c r="DD157" s="110"/>
      <c r="DE157" s="110"/>
      <c r="DF157" s="115"/>
      <c r="DG157" s="114"/>
      <c r="DH157" s="110"/>
      <c r="DI157" s="110"/>
      <c r="DJ157" s="110"/>
      <c r="DK157" s="110"/>
      <c r="DL157" s="115"/>
      <c r="DM157" s="110"/>
      <c r="DN157" s="110"/>
      <c r="DO157" s="110"/>
      <c r="DP157" s="110"/>
      <c r="DQ157" s="110"/>
      <c r="DR157" s="110"/>
      <c r="DS157" s="110"/>
      <c r="DT157" s="114"/>
      <c r="DU157" s="3"/>
      <c r="DV157" s="3"/>
      <c r="DW157" s="3"/>
      <c r="DX157" s="3"/>
      <c r="DY157" s="3"/>
      <c r="DZ157" s="115"/>
      <c r="EA157" s="114"/>
      <c r="EB157" s="110"/>
      <c r="EC157" s="110"/>
      <c r="ED157" s="115"/>
      <c r="EE157" s="110"/>
      <c r="EF157" s="110"/>
      <c r="EG157" s="110"/>
      <c r="EH157" s="110"/>
      <c r="EI157" s="110"/>
      <c r="EJ157" s="114"/>
      <c r="EK157" s="3"/>
      <c r="EL157" s="3"/>
      <c r="EM157" s="3"/>
      <c r="EN157" s="3"/>
      <c r="EO157" s="113"/>
      <c r="ET157" s="84"/>
      <c r="EU157" s="163"/>
      <c r="EV157" s="157" t="e">
        <f t="shared" si="239"/>
        <v>#DIV/0!</v>
      </c>
      <c r="EW157" s="157" t="e">
        <f t="shared" si="240"/>
        <v>#DIV/0!</v>
      </c>
      <c r="EX157" s="157" t="e">
        <f t="shared" si="241"/>
        <v>#DIV/0!</v>
      </c>
      <c r="EY157" s="114">
        <f t="shared" si="242"/>
        <v>1</v>
      </c>
      <c r="EZ157" s="110">
        <f t="shared" si="243"/>
        <v>1</v>
      </c>
      <c r="FA157" s="116" t="e">
        <f t="shared" si="244"/>
        <v>#DIV/0!</v>
      </c>
      <c r="FB157" s="116">
        <f t="shared" si="245"/>
        <v>1</v>
      </c>
      <c r="FC157" s="154">
        <f t="shared" si="246"/>
        <v>1</v>
      </c>
      <c r="FD157" s="110">
        <f t="shared" si="247"/>
        <v>1</v>
      </c>
      <c r="FE157" s="116" t="e">
        <f t="shared" si="248"/>
        <v>#DIV/0!</v>
      </c>
      <c r="FF157" s="153">
        <f t="shared" si="249"/>
        <v>1</v>
      </c>
      <c r="FG157" s="141"/>
      <c r="FH157" s="111">
        <f t="shared" si="251"/>
        <v>0</v>
      </c>
      <c r="FI157" s="96" t="e">
        <f t="shared" si="252"/>
        <v>#DIV/0!</v>
      </c>
      <c r="FJ157" s="96" t="e">
        <f t="shared" si="253"/>
        <v>#DIV/0!</v>
      </c>
      <c r="FK157" s="96">
        <f t="shared" si="254"/>
        <v>0</v>
      </c>
      <c r="FL157" s="96"/>
      <c r="FM157" s="96" t="e">
        <f t="shared" si="255"/>
        <v>#N/A</v>
      </c>
      <c r="FN157" s="96" t="e">
        <f t="shared" si="256"/>
        <v>#N/A</v>
      </c>
      <c r="FO157" s="96" t="e">
        <f t="shared" si="257"/>
        <v>#N/A</v>
      </c>
      <c r="FP157" s="96" t="e">
        <f t="shared" si="258"/>
        <v>#DIV/0!</v>
      </c>
      <c r="FQ157" s="96" t="e">
        <f t="shared" si="259"/>
        <v>#DIV/0!</v>
      </c>
      <c r="FR157" s="112" t="e">
        <f t="shared" si="260"/>
        <v>#DIV/0!</v>
      </c>
      <c r="FS157" s="113" t="e">
        <f t="shared" si="261"/>
        <v>#DIV/0!</v>
      </c>
      <c r="FT157" s="13" t="e">
        <f t="shared" si="262"/>
        <v>#DIV/0!</v>
      </c>
      <c r="FU157" s="84" t="e">
        <f t="shared" si="263"/>
        <v>#DIV/0!</v>
      </c>
      <c r="FV157" s="115">
        <f t="shared" ref="FV157:FV165" si="273">-FW157</f>
        <v>0</v>
      </c>
      <c r="FW157" s="110"/>
      <c r="FX157" s="96"/>
      <c r="FY157" s="96"/>
      <c r="FZ157" s="110"/>
      <c r="GA157" s="110"/>
      <c r="GB157" s="96">
        <f t="shared" si="271"/>
        <v>0</v>
      </c>
      <c r="GC157" s="96" t="e">
        <f t="shared" si="266"/>
        <v>#N/A</v>
      </c>
      <c r="GD157" s="110" t="e">
        <f t="shared" si="267"/>
        <v>#N/A</v>
      </c>
      <c r="GE157" s="112">
        <f t="shared" si="268"/>
        <v>0</v>
      </c>
    </row>
    <row r="158" spans="1:187" x14ac:dyDescent="0.25">
      <c r="A158" s="111">
        <f>IF('3'!$AC$8="",-B158,NA())</f>
        <v>-0.3</v>
      </c>
      <c r="B158" s="110">
        <v>0.3</v>
      </c>
      <c r="C158" s="110">
        <v>30</v>
      </c>
      <c r="D158" s="115">
        <v>50000</v>
      </c>
      <c r="E158" s="110"/>
      <c r="F158" s="110"/>
      <c r="G158" s="110"/>
      <c r="H158" s="110"/>
      <c r="I158" s="110"/>
      <c r="J158" s="110"/>
      <c r="K158" s="109"/>
      <c r="L158" s="114"/>
      <c r="M158" s="110"/>
      <c r="N158" s="110"/>
      <c r="O158" s="110"/>
      <c r="P158" s="115"/>
      <c r="Q158" s="114"/>
      <c r="R158" s="110"/>
      <c r="S158" s="110"/>
      <c r="T158" s="110"/>
      <c r="U158" s="110"/>
      <c r="V158" s="115"/>
      <c r="W158" s="110"/>
      <c r="X158" s="110"/>
      <c r="Y158" s="110"/>
      <c r="Z158" s="110"/>
      <c r="AA158" s="110"/>
      <c r="AB158" s="110"/>
      <c r="AC158" s="110"/>
      <c r="AD158" s="114"/>
      <c r="AE158" s="3"/>
      <c r="AF158" s="3"/>
      <c r="AG158" s="3"/>
      <c r="AH158" s="3"/>
      <c r="AI158" s="3"/>
      <c r="AJ158" s="115"/>
      <c r="AK158" s="114"/>
      <c r="AL158" s="110"/>
      <c r="AM158" s="110"/>
      <c r="AN158" s="115"/>
      <c r="AO158" s="110"/>
      <c r="AP158" s="110"/>
      <c r="AQ158" s="110"/>
      <c r="AR158" s="110"/>
      <c r="AS158" s="110"/>
      <c r="AT158" s="114"/>
      <c r="AU158" s="3"/>
      <c r="AV158" s="3"/>
      <c r="AW158" s="3"/>
      <c r="AX158" s="3"/>
      <c r="AY158" s="113"/>
      <c r="BD158" s="84"/>
      <c r="BF158" s="157">
        <f t="shared" si="208"/>
        <v>0</v>
      </c>
      <c r="BG158" s="157">
        <f t="shared" si="209"/>
        <v>0</v>
      </c>
      <c r="BH158" s="157">
        <f t="shared" si="210"/>
        <v>0</v>
      </c>
      <c r="BI158" s="114">
        <f t="shared" si="211"/>
        <v>1</v>
      </c>
      <c r="BJ158" s="110">
        <f t="shared" si="212"/>
        <v>1</v>
      </c>
      <c r="BK158" s="116" t="e">
        <f t="shared" si="213"/>
        <v>#DIV/0!</v>
      </c>
      <c r="BL158" s="116">
        <f t="shared" si="214"/>
        <v>1</v>
      </c>
      <c r="BM158" s="154">
        <f t="shared" si="215"/>
        <v>1</v>
      </c>
      <c r="BN158" s="110">
        <f t="shared" si="216"/>
        <v>1</v>
      </c>
      <c r="BO158" s="116" t="e">
        <f t="shared" si="217"/>
        <v>#DIV/0!</v>
      </c>
      <c r="BP158" s="153">
        <f t="shared" si="218"/>
        <v>1</v>
      </c>
      <c r="BQ158" s="141"/>
      <c r="BR158" s="111">
        <f t="shared" si="220"/>
        <v>0</v>
      </c>
      <c r="BS158" s="96" t="e">
        <f t="shared" si="221"/>
        <v>#DIV/0!</v>
      </c>
      <c r="BT158" s="96" t="e">
        <f t="shared" si="222"/>
        <v>#DIV/0!</v>
      </c>
      <c r="BU158" s="96">
        <f t="shared" si="223"/>
        <v>0</v>
      </c>
      <c r="BV158" s="96"/>
      <c r="BW158" s="96">
        <f t="shared" si="224"/>
        <v>0.93798193514099792</v>
      </c>
      <c r="BX158" s="96">
        <f t="shared" si="225"/>
        <v>0.93798193514099792</v>
      </c>
      <c r="BY158" s="96">
        <f t="shared" si="226"/>
        <v>0</v>
      </c>
      <c r="BZ158" s="96" t="e">
        <f t="shared" si="227"/>
        <v>#DIV/0!</v>
      </c>
      <c r="CA158" s="96" t="e">
        <f t="shared" si="228"/>
        <v>#DIV/0!</v>
      </c>
      <c r="CB158" s="112" t="e">
        <f t="shared" si="229"/>
        <v>#DIV/0!</v>
      </c>
      <c r="CC158" s="113" t="e">
        <f t="shared" si="230"/>
        <v>#DIV/0!</v>
      </c>
      <c r="CD158" s="13" t="e">
        <f t="shared" si="231"/>
        <v>#DIV/0!</v>
      </c>
      <c r="CE158" s="84" t="e">
        <f t="shared" si="232"/>
        <v>#DIV/0!</v>
      </c>
      <c r="CF158" s="115">
        <f t="shared" si="272"/>
        <v>0</v>
      </c>
      <c r="CG158" s="110"/>
      <c r="CH158" s="96"/>
      <c r="CI158" s="96"/>
      <c r="CJ158" s="110"/>
      <c r="CK158" s="110"/>
      <c r="CL158" s="96">
        <f t="shared" si="270"/>
        <v>0</v>
      </c>
      <c r="CM158" s="96" t="e">
        <f t="shared" si="235"/>
        <v>#N/A</v>
      </c>
      <c r="CN158" s="110" t="e">
        <f t="shared" si="236"/>
        <v>#N/A</v>
      </c>
      <c r="CO158" s="112">
        <f t="shared" si="237"/>
        <v>0</v>
      </c>
      <c r="CQ158" s="111" t="e">
        <f>IF('3'!$AC$2="",-CR158,NA())</f>
        <v>#N/A</v>
      </c>
      <c r="CR158" s="110"/>
      <c r="CS158" s="110"/>
      <c r="CT158" s="115"/>
      <c r="CU158" s="110"/>
      <c r="CV158" s="110"/>
      <c r="CW158" s="110"/>
      <c r="CX158" s="110"/>
      <c r="CY158" s="110"/>
      <c r="CZ158" s="110"/>
      <c r="DA158" s="109"/>
      <c r="DB158" s="114"/>
      <c r="DC158" s="110"/>
      <c r="DD158" s="110"/>
      <c r="DE158" s="110"/>
      <c r="DF158" s="115"/>
      <c r="DG158" s="114"/>
      <c r="DH158" s="110"/>
      <c r="DI158" s="110"/>
      <c r="DJ158" s="110"/>
      <c r="DK158" s="110"/>
      <c r="DL158" s="115"/>
      <c r="DM158" s="110"/>
      <c r="DN158" s="110"/>
      <c r="DO158" s="110"/>
      <c r="DP158" s="110"/>
      <c r="DQ158" s="110"/>
      <c r="DR158" s="110"/>
      <c r="DS158" s="110"/>
      <c r="DT158" s="114"/>
      <c r="DU158" s="3"/>
      <c r="DV158" s="3"/>
      <c r="DW158" s="3"/>
      <c r="DX158" s="3"/>
      <c r="DY158" s="3"/>
      <c r="DZ158" s="115"/>
      <c r="EA158" s="114"/>
      <c r="EB158" s="110"/>
      <c r="EC158" s="110"/>
      <c r="ED158" s="115"/>
      <c r="EE158" s="110"/>
      <c r="EF158" s="110"/>
      <c r="EG158" s="110"/>
      <c r="EH158" s="110"/>
      <c r="EI158" s="110"/>
      <c r="EJ158" s="114"/>
      <c r="EK158" s="3"/>
      <c r="EL158" s="3"/>
      <c r="EM158" s="3"/>
      <c r="EN158" s="3"/>
      <c r="EO158" s="113"/>
      <c r="ET158" s="84"/>
      <c r="EU158" s="163"/>
      <c r="EV158" s="157" t="e">
        <f t="shared" si="239"/>
        <v>#DIV/0!</v>
      </c>
      <c r="EW158" s="157" t="e">
        <f t="shared" si="240"/>
        <v>#DIV/0!</v>
      </c>
      <c r="EX158" s="157" t="e">
        <f t="shared" si="241"/>
        <v>#DIV/0!</v>
      </c>
      <c r="EY158" s="114">
        <f t="shared" si="242"/>
        <v>1</v>
      </c>
      <c r="EZ158" s="110">
        <f t="shared" si="243"/>
        <v>1</v>
      </c>
      <c r="FA158" s="116" t="e">
        <f t="shared" si="244"/>
        <v>#DIV/0!</v>
      </c>
      <c r="FB158" s="116">
        <f t="shared" si="245"/>
        <v>1</v>
      </c>
      <c r="FC158" s="154">
        <f t="shared" si="246"/>
        <v>1</v>
      </c>
      <c r="FD158" s="110">
        <f t="shared" si="247"/>
        <v>1</v>
      </c>
      <c r="FE158" s="116" t="e">
        <f t="shared" si="248"/>
        <v>#DIV/0!</v>
      </c>
      <c r="FF158" s="153">
        <f t="shared" si="249"/>
        <v>1</v>
      </c>
      <c r="FG158" s="141"/>
      <c r="FH158" s="111">
        <f t="shared" si="251"/>
        <v>0</v>
      </c>
      <c r="FI158" s="96" t="e">
        <f t="shared" si="252"/>
        <v>#DIV/0!</v>
      </c>
      <c r="FJ158" s="96" t="e">
        <f t="shared" si="253"/>
        <v>#DIV/0!</v>
      </c>
      <c r="FK158" s="96">
        <f t="shared" si="254"/>
        <v>0</v>
      </c>
      <c r="FL158" s="96"/>
      <c r="FM158" s="96" t="e">
        <f t="shared" si="255"/>
        <v>#N/A</v>
      </c>
      <c r="FN158" s="96" t="e">
        <f t="shared" si="256"/>
        <v>#N/A</v>
      </c>
      <c r="FO158" s="96" t="e">
        <f t="shared" si="257"/>
        <v>#N/A</v>
      </c>
      <c r="FP158" s="96" t="e">
        <f t="shared" si="258"/>
        <v>#DIV/0!</v>
      </c>
      <c r="FQ158" s="96" t="e">
        <f t="shared" si="259"/>
        <v>#DIV/0!</v>
      </c>
      <c r="FR158" s="112" t="e">
        <f t="shared" si="260"/>
        <v>#DIV/0!</v>
      </c>
      <c r="FS158" s="113" t="e">
        <f t="shared" si="261"/>
        <v>#DIV/0!</v>
      </c>
      <c r="FT158" s="13" t="e">
        <f t="shared" si="262"/>
        <v>#DIV/0!</v>
      </c>
      <c r="FU158" s="84" t="e">
        <f t="shared" si="263"/>
        <v>#DIV/0!</v>
      </c>
      <c r="FV158" s="115">
        <f t="shared" si="273"/>
        <v>0</v>
      </c>
      <c r="FW158" s="110"/>
      <c r="FX158" s="96"/>
      <c r="FY158" s="96"/>
      <c r="FZ158" s="110"/>
      <c r="GA158" s="110"/>
      <c r="GB158" s="96">
        <f t="shared" si="271"/>
        <v>0</v>
      </c>
      <c r="GC158" s="96" t="e">
        <f t="shared" si="266"/>
        <v>#N/A</v>
      </c>
      <c r="GD158" s="110" t="e">
        <f t="shared" si="267"/>
        <v>#N/A</v>
      </c>
      <c r="GE158" s="112">
        <f t="shared" si="268"/>
        <v>0</v>
      </c>
    </row>
    <row r="159" spans="1:187" x14ac:dyDescent="0.25">
      <c r="A159" s="111">
        <f>IF('3'!$AC$8="",-B159,NA())</f>
        <v>-0.4</v>
      </c>
      <c r="B159" s="110">
        <v>0.4</v>
      </c>
      <c r="C159" s="110">
        <v>30</v>
      </c>
      <c r="D159" s="115">
        <v>50000</v>
      </c>
      <c r="E159" s="110"/>
      <c r="F159" s="110"/>
      <c r="G159" s="110"/>
      <c r="H159" s="110"/>
      <c r="I159" s="110"/>
      <c r="J159" s="110"/>
      <c r="K159" s="109"/>
      <c r="L159" s="114"/>
      <c r="M159" s="110"/>
      <c r="N159" s="110"/>
      <c r="O159" s="110"/>
      <c r="P159" s="115"/>
      <c r="Q159" s="114"/>
      <c r="R159" s="110"/>
      <c r="S159" s="110"/>
      <c r="T159" s="110"/>
      <c r="U159" s="110"/>
      <c r="V159" s="115"/>
      <c r="W159" s="110"/>
      <c r="X159" s="110"/>
      <c r="Y159" s="110"/>
      <c r="Z159" s="110"/>
      <c r="AA159" s="110"/>
      <c r="AB159" s="110"/>
      <c r="AC159" s="110"/>
      <c r="AD159" s="114"/>
      <c r="AE159" s="3"/>
      <c r="AF159" s="3"/>
      <c r="AG159" s="3"/>
      <c r="AH159" s="3"/>
      <c r="AI159" s="3"/>
      <c r="AJ159" s="115"/>
      <c r="AK159" s="114"/>
      <c r="AL159" s="110"/>
      <c r="AM159" s="110"/>
      <c r="AN159" s="115"/>
      <c r="AO159" s="110"/>
      <c r="AP159" s="110"/>
      <c r="AQ159" s="110"/>
      <c r="AR159" s="110"/>
      <c r="AS159" s="110"/>
      <c r="AT159" s="114"/>
      <c r="AU159" s="3"/>
      <c r="AV159" s="3"/>
      <c r="AW159" s="3"/>
      <c r="AX159" s="3"/>
      <c r="AY159" s="113"/>
      <c r="BD159" s="84"/>
      <c r="BF159" s="157">
        <f t="shared" si="208"/>
        <v>0</v>
      </c>
      <c r="BG159" s="157">
        <f t="shared" si="209"/>
        <v>0</v>
      </c>
      <c r="BH159" s="157">
        <f t="shared" si="210"/>
        <v>0</v>
      </c>
      <c r="BI159" s="114">
        <f t="shared" si="211"/>
        <v>1</v>
      </c>
      <c r="BJ159" s="110">
        <f t="shared" si="212"/>
        <v>1</v>
      </c>
      <c r="BK159" s="116" t="e">
        <f t="shared" si="213"/>
        <v>#DIV/0!</v>
      </c>
      <c r="BL159" s="116">
        <f t="shared" si="214"/>
        <v>1</v>
      </c>
      <c r="BM159" s="154">
        <f t="shared" si="215"/>
        <v>1</v>
      </c>
      <c r="BN159" s="110">
        <f t="shared" si="216"/>
        <v>1</v>
      </c>
      <c r="BO159" s="116" t="e">
        <f t="shared" si="217"/>
        <v>#DIV/0!</v>
      </c>
      <c r="BP159" s="153">
        <f t="shared" si="218"/>
        <v>1</v>
      </c>
      <c r="BQ159" s="141"/>
      <c r="BR159" s="111">
        <f t="shared" si="220"/>
        <v>0</v>
      </c>
      <c r="BS159" s="96" t="e">
        <f t="shared" si="221"/>
        <v>#DIV/0!</v>
      </c>
      <c r="BT159" s="96" t="e">
        <f t="shared" si="222"/>
        <v>#DIV/0!</v>
      </c>
      <c r="BU159" s="96">
        <f t="shared" si="223"/>
        <v>0</v>
      </c>
      <c r="BV159" s="96"/>
      <c r="BW159" s="96">
        <f t="shared" si="224"/>
        <v>0.91457676741031746</v>
      </c>
      <c r="BX159" s="96">
        <f t="shared" si="225"/>
        <v>0.91457676741031746</v>
      </c>
      <c r="BY159" s="96">
        <f t="shared" si="226"/>
        <v>0</v>
      </c>
      <c r="BZ159" s="96" t="e">
        <f t="shared" si="227"/>
        <v>#DIV/0!</v>
      </c>
      <c r="CA159" s="96" t="e">
        <f t="shared" si="228"/>
        <v>#DIV/0!</v>
      </c>
      <c r="CB159" s="112" t="e">
        <f t="shared" si="229"/>
        <v>#DIV/0!</v>
      </c>
      <c r="CC159" s="113" t="e">
        <f t="shared" si="230"/>
        <v>#DIV/0!</v>
      </c>
      <c r="CD159" s="13" t="e">
        <f t="shared" si="231"/>
        <v>#DIV/0!</v>
      </c>
      <c r="CE159" s="84" t="e">
        <f t="shared" si="232"/>
        <v>#DIV/0!</v>
      </c>
      <c r="CF159" s="115">
        <f t="shared" si="272"/>
        <v>0</v>
      </c>
      <c r="CG159" s="110"/>
      <c r="CH159" s="96"/>
      <c r="CI159" s="96"/>
      <c r="CJ159" s="110"/>
      <c r="CK159" s="110"/>
      <c r="CL159" s="96">
        <f t="shared" si="270"/>
        <v>0</v>
      </c>
      <c r="CM159" s="96" t="e">
        <f t="shared" si="235"/>
        <v>#N/A</v>
      </c>
      <c r="CN159" s="110" t="e">
        <f t="shared" si="236"/>
        <v>#N/A</v>
      </c>
      <c r="CO159" s="112">
        <f t="shared" si="237"/>
        <v>0</v>
      </c>
      <c r="CQ159" s="111" t="e">
        <f>IF('3'!$AC$2="",-CR159,NA())</f>
        <v>#N/A</v>
      </c>
      <c r="CR159" s="110"/>
      <c r="CS159" s="110"/>
      <c r="CT159" s="115"/>
      <c r="CU159" s="110"/>
      <c r="CV159" s="110"/>
      <c r="CW159" s="110"/>
      <c r="CX159" s="110"/>
      <c r="CY159" s="110"/>
      <c r="CZ159" s="110"/>
      <c r="DA159" s="109"/>
      <c r="DB159" s="114"/>
      <c r="DC159" s="110"/>
      <c r="DD159" s="110"/>
      <c r="DE159" s="110"/>
      <c r="DF159" s="115"/>
      <c r="DG159" s="114"/>
      <c r="DH159" s="110"/>
      <c r="DI159" s="110"/>
      <c r="DJ159" s="110"/>
      <c r="DK159" s="110"/>
      <c r="DL159" s="115"/>
      <c r="DM159" s="110"/>
      <c r="DN159" s="110"/>
      <c r="DO159" s="110"/>
      <c r="DP159" s="110"/>
      <c r="DQ159" s="110"/>
      <c r="DR159" s="110"/>
      <c r="DS159" s="110"/>
      <c r="DT159" s="114"/>
      <c r="DU159" s="3"/>
      <c r="DV159" s="3"/>
      <c r="DW159" s="3"/>
      <c r="DX159" s="3"/>
      <c r="DY159" s="3"/>
      <c r="DZ159" s="115"/>
      <c r="EA159" s="114"/>
      <c r="EB159" s="110"/>
      <c r="EC159" s="110"/>
      <c r="ED159" s="115"/>
      <c r="EE159" s="110"/>
      <c r="EF159" s="110"/>
      <c r="EG159" s="110"/>
      <c r="EH159" s="110"/>
      <c r="EI159" s="110"/>
      <c r="EJ159" s="114"/>
      <c r="EK159" s="3"/>
      <c r="EL159" s="3"/>
      <c r="EM159" s="3"/>
      <c r="EN159" s="3"/>
      <c r="EO159" s="113"/>
      <c r="ET159" s="84"/>
      <c r="EU159" s="163"/>
      <c r="EV159" s="157" t="e">
        <f t="shared" si="239"/>
        <v>#DIV/0!</v>
      </c>
      <c r="EW159" s="157" t="e">
        <f t="shared" si="240"/>
        <v>#DIV/0!</v>
      </c>
      <c r="EX159" s="157" t="e">
        <f t="shared" si="241"/>
        <v>#DIV/0!</v>
      </c>
      <c r="EY159" s="114">
        <f t="shared" si="242"/>
        <v>1</v>
      </c>
      <c r="EZ159" s="110">
        <f t="shared" si="243"/>
        <v>1</v>
      </c>
      <c r="FA159" s="116" t="e">
        <f t="shared" si="244"/>
        <v>#DIV/0!</v>
      </c>
      <c r="FB159" s="116">
        <f t="shared" si="245"/>
        <v>1</v>
      </c>
      <c r="FC159" s="154">
        <f t="shared" si="246"/>
        <v>1</v>
      </c>
      <c r="FD159" s="110">
        <f t="shared" si="247"/>
        <v>1</v>
      </c>
      <c r="FE159" s="116" t="e">
        <f t="shared" si="248"/>
        <v>#DIV/0!</v>
      </c>
      <c r="FF159" s="153">
        <f t="shared" si="249"/>
        <v>1</v>
      </c>
      <c r="FG159" s="141"/>
      <c r="FH159" s="111">
        <f t="shared" si="251"/>
        <v>0</v>
      </c>
      <c r="FI159" s="96" t="e">
        <f t="shared" si="252"/>
        <v>#DIV/0!</v>
      </c>
      <c r="FJ159" s="96" t="e">
        <f t="shared" si="253"/>
        <v>#DIV/0!</v>
      </c>
      <c r="FK159" s="96">
        <f t="shared" si="254"/>
        <v>0</v>
      </c>
      <c r="FL159" s="96"/>
      <c r="FM159" s="96" t="e">
        <f t="shared" si="255"/>
        <v>#N/A</v>
      </c>
      <c r="FN159" s="96" t="e">
        <f t="shared" si="256"/>
        <v>#N/A</v>
      </c>
      <c r="FO159" s="96" t="e">
        <f t="shared" si="257"/>
        <v>#N/A</v>
      </c>
      <c r="FP159" s="96" t="e">
        <f t="shared" si="258"/>
        <v>#DIV/0!</v>
      </c>
      <c r="FQ159" s="96" t="e">
        <f t="shared" si="259"/>
        <v>#DIV/0!</v>
      </c>
      <c r="FR159" s="112" t="e">
        <f t="shared" si="260"/>
        <v>#DIV/0!</v>
      </c>
      <c r="FS159" s="113" t="e">
        <f t="shared" si="261"/>
        <v>#DIV/0!</v>
      </c>
      <c r="FT159" s="13" t="e">
        <f t="shared" si="262"/>
        <v>#DIV/0!</v>
      </c>
      <c r="FU159" s="84" t="e">
        <f t="shared" si="263"/>
        <v>#DIV/0!</v>
      </c>
      <c r="FV159" s="115">
        <f t="shared" si="273"/>
        <v>0</v>
      </c>
      <c r="FW159" s="110"/>
      <c r="FX159" s="96"/>
      <c r="FY159" s="96"/>
      <c r="FZ159" s="110"/>
      <c r="GA159" s="110"/>
      <c r="GB159" s="96">
        <f t="shared" si="271"/>
        <v>0</v>
      </c>
      <c r="GC159" s="96" t="e">
        <f t="shared" si="266"/>
        <v>#N/A</v>
      </c>
      <c r="GD159" s="110" t="e">
        <f t="shared" si="267"/>
        <v>#N/A</v>
      </c>
      <c r="GE159" s="112">
        <f t="shared" si="268"/>
        <v>0</v>
      </c>
    </row>
    <row r="160" spans="1:187" x14ac:dyDescent="0.25">
      <c r="A160" s="111">
        <f>IF('3'!$AC$8="",-B160,NA())</f>
        <v>-0.5</v>
      </c>
      <c r="B160" s="110">
        <v>0.5</v>
      </c>
      <c r="C160" s="110">
        <v>30</v>
      </c>
      <c r="D160" s="115">
        <v>50000</v>
      </c>
      <c r="E160" s="110"/>
      <c r="F160" s="110"/>
      <c r="G160" s="110"/>
      <c r="H160" s="110"/>
      <c r="I160" s="110"/>
      <c r="J160" s="110"/>
      <c r="K160" s="109"/>
      <c r="L160" s="114"/>
      <c r="M160" s="110"/>
      <c r="N160" s="110"/>
      <c r="O160" s="110"/>
      <c r="P160" s="115"/>
      <c r="Q160" s="114"/>
      <c r="R160" s="110"/>
      <c r="S160" s="110"/>
      <c r="T160" s="110"/>
      <c r="U160" s="110"/>
      <c r="V160" s="115"/>
      <c r="W160" s="110"/>
      <c r="X160" s="110"/>
      <c r="Y160" s="110"/>
      <c r="Z160" s="110"/>
      <c r="AA160" s="110"/>
      <c r="AB160" s="110"/>
      <c r="AC160" s="110"/>
      <c r="AD160" s="114"/>
      <c r="AE160" s="3"/>
      <c r="AF160" s="3"/>
      <c r="AG160" s="3"/>
      <c r="AH160" s="3"/>
      <c r="AI160" s="3"/>
      <c r="AJ160" s="115"/>
      <c r="AK160" s="114"/>
      <c r="AL160" s="110"/>
      <c r="AM160" s="110"/>
      <c r="AN160" s="115"/>
      <c r="AO160" s="110"/>
      <c r="AP160" s="110"/>
      <c r="AQ160" s="110"/>
      <c r="AR160" s="110"/>
      <c r="AS160" s="110"/>
      <c r="AT160" s="114"/>
      <c r="AU160" s="3"/>
      <c r="AV160" s="3"/>
      <c r="AW160" s="3"/>
      <c r="AX160" s="3"/>
      <c r="AY160" s="113"/>
      <c r="BD160" s="84"/>
      <c r="BF160" s="157">
        <f t="shared" si="208"/>
        <v>0</v>
      </c>
      <c r="BG160" s="157">
        <f t="shared" si="209"/>
        <v>0</v>
      </c>
      <c r="BH160" s="157">
        <f t="shared" si="210"/>
        <v>0</v>
      </c>
      <c r="BI160" s="114">
        <f t="shared" si="211"/>
        <v>1</v>
      </c>
      <c r="BJ160" s="110">
        <f t="shared" si="212"/>
        <v>1</v>
      </c>
      <c r="BK160" s="116" t="e">
        <f t="shared" si="213"/>
        <v>#DIV/0!</v>
      </c>
      <c r="BL160" s="116">
        <f t="shared" si="214"/>
        <v>1</v>
      </c>
      <c r="BM160" s="154">
        <f t="shared" si="215"/>
        <v>1</v>
      </c>
      <c r="BN160" s="110">
        <f t="shared" si="216"/>
        <v>1</v>
      </c>
      <c r="BO160" s="116" t="e">
        <f t="shared" si="217"/>
        <v>#DIV/0!</v>
      </c>
      <c r="BP160" s="153">
        <f t="shared" si="218"/>
        <v>1</v>
      </c>
      <c r="BQ160" s="141"/>
      <c r="BR160" s="111">
        <f t="shared" si="220"/>
        <v>0</v>
      </c>
      <c r="BS160" s="96" t="e">
        <f t="shared" si="221"/>
        <v>#DIV/0!</v>
      </c>
      <c r="BT160" s="96" t="e">
        <f t="shared" si="222"/>
        <v>#DIV/0!</v>
      </c>
      <c r="BU160" s="96">
        <f t="shared" si="223"/>
        <v>0</v>
      </c>
      <c r="BV160" s="96"/>
      <c r="BW160" s="96">
        <f t="shared" si="224"/>
        <v>0.88764704592069232</v>
      </c>
      <c r="BX160" s="96">
        <f t="shared" si="225"/>
        <v>0.88764704592069232</v>
      </c>
      <c r="BY160" s="96">
        <f t="shared" si="226"/>
        <v>0</v>
      </c>
      <c r="BZ160" s="96" t="e">
        <f t="shared" si="227"/>
        <v>#DIV/0!</v>
      </c>
      <c r="CA160" s="96" t="e">
        <f t="shared" si="228"/>
        <v>#DIV/0!</v>
      </c>
      <c r="CB160" s="112" t="e">
        <f t="shared" si="229"/>
        <v>#DIV/0!</v>
      </c>
      <c r="CC160" s="113" t="e">
        <f t="shared" si="230"/>
        <v>#DIV/0!</v>
      </c>
      <c r="CD160" s="13" t="e">
        <f t="shared" si="231"/>
        <v>#DIV/0!</v>
      </c>
      <c r="CE160" s="84" t="e">
        <f t="shared" si="232"/>
        <v>#DIV/0!</v>
      </c>
      <c r="CF160" s="115">
        <f t="shared" si="272"/>
        <v>0</v>
      </c>
      <c r="CG160" s="110"/>
      <c r="CH160" s="96"/>
      <c r="CI160" s="96"/>
      <c r="CJ160" s="110"/>
      <c r="CK160" s="110"/>
      <c r="CL160" s="96">
        <f t="shared" si="270"/>
        <v>0</v>
      </c>
      <c r="CM160" s="96" t="e">
        <f t="shared" si="235"/>
        <v>#N/A</v>
      </c>
      <c r="CN160" s="110" t="e">
        <f t="shared" si="236"/>
        <v>#N/A</v>
      </c>
      <c r="CO160" s="112">
        <f t="shared" si="237"/>
        <v>0</v>
      </c>
      <c r="CQ160" s="111" t="e">
        <f>IF('3'!$AC$2="",-CR160,NA())</f>
        <v>#N/A</v>
      </c>
      <c r="CR160" s="110"/>
      <c r="CS160" s="110"/>
      <c r="CT160" s="115"/>
      <c r="CU160" s="110"/>
      <c r="CV160" s="110"/>
      <c r="CW160" s="110"/>
      <c r="CX160" s="110"/>
      <c r="CY160" s="110"/>
      <c r="CZ160" s="110"/>
      <c r="DA160" s="109"/>
      <c r="DB160" s="114"/>
      <c r="DC160" s="110"/>
      <c r="DD160" s="110"/>
      <c r="DE160" s="110"/>
      <c r="DF160" s="115"/>
      <c r="DG160" s="114"/>
      <c r="DH160" s="110"/>
      <c r="DI160" s="110"/>
      <c r="DJ160" s="110"/>
      <c r="DK160" s="110"/>
      <c r="DL160" s="115"/>
      <c r="DM160" s="110"/>
      <c r="DN160" s="110"/>
      <c r="DO160" s="110"/>
      <c r="DP160" s="110"/>
      <c r="DQ160" s="110"/>
      <c r="DR160" s="110"/>
      <c r="DS160" s="110"/>
      <c r="DT160" s="114"/>
      <c r="DU160" s="3"/>
      <c r="DV160" s="3"/>
      <c r="DW160" s="3"/>
      <c r="DX160" s="3"/>
      <c r="DY160" s="3"/>
      <c r="DZ160" s="115"/>
      <c r="EA160" s="114"/>
      <c r="EB160" s="110"/>
      <c r="EC160" s="110"/>
      <c r="ED160" s="115"/>
      <c r="EE160" s="110"/>
      <c r="EF160" s="110"/>
      <c r="EG160" s="110"/>
      <c r="EH160" s="110"/>
      <c r="EI160" s="110"/>
      <c r="EJ160" s="114"/>
      <c r="EK160" s="3"/>
      <c r="EL160" s="3"/>
      <c r="EM160" s="3"/>
      <c r="EN160" s="3"/>
      <c r="EO160" s="113"/>
      <c r="ET160" s="84"/>
      <c r="EU160" s="163"/>
      <c r="EV160" s="157" t="e">
        <f t="shared" si="239"/>
        <v>#DIV/0!</v>
      </c>
      <c r="EW160" s="157" t="e">
        <f t="shared" si="240"/>
        <v>#DIV/0!</v>
      </c>
      <c r="EX160" s="157" t="e">
        <f t="shared" si="241"/>
        <v>#DIV/0!</v>
      </c>
      <c r="EY160" s="114">
        <f t="shared" si="242"/>
        <v>1</v>
      </c>
      <c r="EZ160" s="110">
        <f t="shared" si="243"/>
        <v>1</v>
      </c>
      <c r="FA160" s="116" t="e">
        <f t="shared" si="244"/>
        <v>#DIV/0!</v>
      </c>
      <c r="FB160" s="116">
        <f t="shared" si="245"/>
        <v>1</v>
      </c>
      <c r="FC160" s="154">
        <f t="shared" si="246"/>
        <v>1</v>
      </c>
      <c r="FD160" s="110">
        <f t="shared" si="247"/>
        <v>1</v>
      </c>
      <c r="FE160" s="116" t="e">
        <f t="shared" si="248"/>
        <v>#DIV/0!</v>
      </c>
      <c r="FF160" s="153">
        <f t="shared" si="249"/>
        <v>1</v>
      </c>
      <c r="FG160" s="141"/>
      <c r="FH160" s="111">
        <f t="shared" si="251"/>
        <v>0</v>
      </c>
      <c r="FI160" s="96" t="e">
        <f t="shared" si="252"/>
        <v>#DIV/0!</v>
      </c>
      <c r="FJ160" s="96" t="e">
        <f t="shared" si="253"/>
        <v>#DIV/0!</v>
      </c>
      <c r="FK160" s="96">
        <f t="shared" si="254"/>
        <v>0</v>
      </c>
      <c r="FL160" s="96"/>
      <c r="FM160" s="96" t="e">
        <f t="shared" si="255"/>
        <v>#N/A</v>
      </c>
      <c r="FN160" s="96" t="e">
        <f t="shared" si="256"/>
        <v>#N/A</v>
      </c>
      <c r="FO160" s="96" t="e">
        <f t="shared" si="257"/>
        <v>#N/A</v>
      </c>
      <c r="FP160" s="96" t="e">
        <f t="shared" si="258"/>
        <v>#DIV/0!</v>
      </c>
      <c r="FQ160" s="96" t="e">
        <f t="shared" si="259"/>
        <v>#DIV/0!</v>
      </c>
      <c r="FR160" s="112" t="e">
        <f t="shared" si="260"/>
        <v>#DIV/0!</v>
      </c>
      <c r="FS160" s="113" t="e">
        <f t="shared" si="261"/>
        <v>#DIV/0!</v>
      </c>
      <c r="FT160" s="13" t="e">
        <f t="shared" si="262"/>
        <v>#DIV/0!</v>
      </c>
      <c r="FU160" s="84" t="e">
        <f t="shared" si="263"/>
        <v>#DIV/0!</v>
      </c>
      <c r="FV160" s="115">
        <f t="shared" si="273"/>
        <v>0</v>
      </c>
      <c r="FW160" s="110"/>
      <c r="FX160" s="96"/>
      <c r="FY160" s="96"/>
      <c r="FZ160" s="110"/>
      <c r="GA160" s="110"/>
      <c r="GB160" s="96">
        <f t="shared" si="271"/>
        <v>0</v>
      </c>
      <c r="GC160" s="96" t="e">
        <f t="shared" si="266"/>
        <v>#N/A</v>
      </c>
      <c r="GD160" s="110" t="e">
        <f t="shared" si="267"/>
        <v>#N/A</v>
      </c>
      <c r="GE160" s="112">
        <f t="shared" si="268"/>
        <v>0</v>
      </c>
    </row>
    <row r="161" spans="1:187" x14ac:dyDescent="0.25">
      <c r="A161" s="111">
        <f>IF('3'!$AC$8="",-B161,NA())</f>
        <v>-0.6</v>
      </c>
      <c r="B161" s="110">
        <v>0.6</v>
      </c>
      <c r="C161" s="110">
        <v>30</v>
      </c>
      <c r="D161" s="115">
        <v>50000</v>
      </c>
      <c r="E161" s="110"/>
      <c r="F161" s="110"/>
      <c r="G161" s="110"/>
      <c r="H161" s="110"/>
      <c r="I161" s="110"/>
      <c r="J161" s="110"/>
      <c r="K161" s="109"/>
      <c r="L161" s="114"/>
      <c r="M161" s="110"/>
      <c r="N161" s="110"/>
      <c r="O161" s="110"/>
      <c r="P161" s="115"/>
      <c r="Q161" s="114"/>
      <c r="R161" s="110"/>
      <c r="S161" s="110"/>
      <c r="T161" s="110"/>
      <c r="U161" s="110"/>
      <c r="V161" s="115"/>
      <c r="W161" s="110"/>
      <c r="X161" s="110"/>
      <c r="Y161" s="110"/>
      <c r="Z161" s="110"/>
      <c r="AA161" s="110"/>
      <c r="AB161" s="110"/>
      <c r="AC161" s="110"/>
      <c r="AD161" s="114"/>
      <c r="AE161" s="3"/>
      <c r="AF161" s="3"/>
      <c r="AG161" s="3"/>
      <c r="AH161" s="3"/>
      <c r="AI161" s="3"/>
      <c r="AJ161" s="115"/>
      <c r="AK161" s="114"/>
      <c r="AL161" s="110"/>
      <c r="AM161" s="110"/>
      <c r="AN161" s="115"/>
      <c r="AO161" s="110"/>
      <c r="AP161" s="110"/>
      <c r="AQ161" s="110"/>
      <c r="AR161" s="110"/>
      <c r="AS161" s="110"/>
      <c r="AT161" s="114"/>
      <c r="AU161" s="3"/>
      <c r="AV161" s="3"/>
      <c r="AW161" s="3"/>
      <c r="AX161" s="3"/>
      <c r="AY161" s="113"/>
      <c r="BD161" s="84"/>
      <c r="BF161" s="157">
        <f t="shared" si="208"/>
        <v>0</v>
      </c>
      <c r="BG161" s="157">
        <f t="shared" si="209"/>
        <v>0</v>
      </c>
      <c r="BH161" s="157">
        <f t="shared" si="210"/>
        <v>0</v>
      </c>
      <c r="BI161" s="114">
        <f t="shared" si="211"/>
        <v>1</v>
      </c>
      <c r="BJ161" s="110">
        <f t="shared" si="212"/>
        <v>1</v>
      </c>
      <c r="BK161" s="116" t="e">
        <f t="shared" si="213"/>
        <v>#DIV/0!</v>
      </c>
      <c r="BL161" s="116">
        <f t="shared" si="214"/>
        <v>1</v>
      </c>
      <c r="BM161" s="154">
        <f t="shared" si="215"/>
        <v>1</v>
      </c>
      <c r="BN161" s="110">
        <f t="shared" si="216"/>
        <v>1</v>
      </c>
      <c r="BO161" s="116" t="e">
        <f t="shared" si="217"/>
        <v>#DIV/0!</v>
      </c>
      <c r="BP161" s="153">
        <f t="shared" si="218"/>
        <v>1</v>
      </c>
      <c r="BQ161" s="141"/>
      <c r="BR161" s="111">
        <f t="shared" si="220"/>
        <v>0</v>
      </c>
      <c r="BS161" s="96" t="e">
        <f t="shared" si="221"/>
        <v>#DIV/0!</v>
      </c>
      <c r="BT161" s="96" t="e">
        <f t="shared" si="222"/>
        <v>#DIV/0!</v>
      </c>
      <c r="BU161" s="96">
        <f t="shared" si="223"/>
        <v>0</v>
      </c>
      <c r="BV161" s="96"/>
      <c r="BW161" s="96">
        <f t="shared" si="224"/>
        <v>0.85576447930058497</v>
      </c>
      <c r="BX161" s="96">
        <f t="shared" si="225"/>
        <v>0.85576447930058497</v>
      </c>
      <c r="BY161" s="96">
        <f t="shared" si="226"/>
        <v>0</v>
      </c>
      <c r="BZ161" s="96" t="e">
        <f t="shared" si="227"/>
        <v>#DIV/0!</v>
      </c>
      <c r="CA161" s="96" t="e">
        <f t="shared" si="228"/>
        <v>#DIV/0!</v>
      </c>
      <c r="CB161" s="112" t="e">
        <f t="shared" si="229"/>
        <v>#DIV/0!</v>
      </c>
      <c r="CC161" s="113" t="e">
        <f t="shared" si="230"/>
        <v>#DIV/0!</v>
      </c>
      <c r="CD161" s="13" t="e">
        <f t="shared" si="231"/>
        <v>#DIV/0!</v>
      </c>
      <c r="CE161" s="84" t="e">
        <f t="shared" si="232"/>
        <v>#DIV/0!</v>
      </c>
      <c r="CF161" s="112">
        <f t="shared" si="272"/>
        <v>0</v>
      </c>
      <c r="CG161" s="110"/>
      <c r="CH161" s="96"/>
      <c r="CI161" s="96"/>
      <c r="CJ161" s="110"/>
      <c r="CK161" s="110"/>
      <c r="CL161" s="96">
        <f t="shared" si="270"/>
        <v>0</v>
      </c>
      <c r="CM161" s="96" t="e">
        <f t="shared" si="235"/>
        <v>#N/A</v>
      </c>
      <c r="CN161" s="110" t="e">
        <f t="shared" si="236"/>
        <v>#N/A</v>
      </c>
      <c r="CO161" s="112">
        <f t="shared" si="237"/>
        <v>0</v>
      </c>
      <c r="CQ161" s="111" t="e">
        <f>IF('3'!$AC$2="",-CR161,NA())</f>
        <v>#N/A</v>
      </c>
      <c r="CR161" s="110"/>
      <c r="CS161" s="110"/>
      <c r="CT161" s="115"/>
      <c r="CU161" s="110"/>
      <c r="CV161" s="110"/>
      <c r="CW161" s="110"/>
      <c r="CX161" s="110"/>
      <c r="CY161" s="110"/>
      <c r="CZ161" s="110"/>
      <c r="DA161" s="109"/>
      <c r="DB161" s="114"/>
      <c r="DC161" s="110"/>
      <c r="DD161" s="110"/>
      <c r="DE161" s="110"/>
      <c r="DF161" s="115"/>
      <c r="DG161" s="114"/>
      <c r="DH161" s="110"/>
      <c r="DI161" s="110"/>
      <c r="DJ161" s="110"/>
      <c r="DK161" s="110"/>
      <c r="DL161" s="115"/>
      <c r="DM161" s="110"/>
      <c r="DN161" s="110"/>
      <c r="DO161" s="110"/>
      <c r="DP161" s="110"/>
      <c r="DQ161" s="110"/>
      <c r="DR161" s="110"/>
      <c r="DS161" s="110"/>
      <c r="DT161" s="114"/>
      <c r="DU161" s="3"/>
      <c r="DV161" s="3"/>
      <c r="DW161" s="3"/>
      <c r="DX161" s="3"/>
      <c r="DY161" s="3"/>
      <c r="DZ161" s="115"/>
      <c r="EA161" s="114"/>
      <c r="EB161" s="110"/>
      <c r="EC161" s="110"/>
      <c r="ED161" s="115"/>
      <c r="EE161" s="110"/>
      <c r="EF161" s="110"/>
      <c r="EG161" s="110"/>
      <c r="EH161" s="110"/>
      <c r="EI161" s="110"/>
      <c r="EJ161" s="114"/>
      <c r="EK161" s="3"/>
      <c r="EL161" s="3"/>
      <c r="EM161" s="3"/>
      <c r="EN161" s="3"/>
      <c r="EO161" s="113"/>
      <c r="ET161" s="84"/>
      <c r="EU161" s="163"/>
      <c r="EV161" s="157" t="e">
        <f t="shared" si="239"/>
        <v>#DIV/0!</v>
      </c>
      <c r="EW161" s="157" t="e">
        <f t="shared" si="240"/>
        <v>#DIV/0!</v>
      </c>
      <c r="EX161" s="157" t="e">
        <f t="shared" si="241"/>
        <v>#DIV/0!</v>
      </c>
      <c r="EY161" s="114">
        <f t="shared" si="242"/>
        <v>1</v>
      </c>
      <c r="EZ161" s="110">
        <f t="shared" si="243"/>
        <v>1</v>
      </c>
      <c r="FA161" s="116" t="e">
        <f t="shared" si="244"/>
        <v>#DIV/0!</v>
      </c>
      <c r="FB161" s="116">
        <f t="shared" si="245"/>
        <v>1</v>
      </c>
      <c r="FC161" s="154">
        <f t="shared" si="246"/>
        <v>1</v>
      </c>
      <c r="FD161" s="110">
        <f t="shared" si="247"/>
        <v>1</v>
      </c>
      <c r="FE161" s="116" t="e">
        <f t="shared" si="248"/>
        <v>#DIV/0!</v>
      </c>
      <c r="FF161" s="153">
        <f t="shared" si="249"/>
        <v>1</v>
      </c>
      <c r="FG161" s="141"/>
      <c r="FH161" s="111">
        <f t="shared" si="251"/>
        <v>0</v>
      </c>
      <c r="FI161" s="96" t="e">
        <f t="shared" si="252"/>
        <v>#DIV/0!</v>
      </c>
      <c r="FJ161" s="96" t="e">
        <f t="shared" si="253"/>
        <v>#DIV/0!</v>
      </c>
      <c r="FK161" s="96">
        <f t="shared" si="254"/>
        <v>0</v>
      </c>
      <c r="FL161" s="96"/>
      <c r="FM161" s="96" t="e">
        <f t="shared" si="255"/>
        <v>#N/A</v>
      </c>
      <c r="FN161" s="96" t="e">
        <f t="shared" si="256"/>
        <v>#N/A</v>
      </c>
      <c r="FO161" s="96" t="e">
        <f t="shared" si="257"/>
        <v>#N/A</v>
      </c>
      <c r="FP161" s="96" t="e">
        <f t="shared" si="258"/>
        <v>#DIV/0!</v>
      </c>
      <c r="FQ161" s="96" t="e">
        <f t="shared" si="259"/>
        <v>#DIV/0!</v>
      </c>
      <c r="FR161" s="112" t="e">
        <f t="shared" si="260"/>
        <v>#DIV/0!</v>
      </c>
      <c r="FS161" s="113" t="e">
        <f t="shared" si="261"/>
        <v>#DIV/0!</v>
      </c>
      <c r="FT161" s="13" t="e">
        <f t="shared" si="262"/>
        <v>#DIV/0!</v>
      </c>
      <c r="FU161" s="84" t="e">
        <f t="shared" si="263"/>
        <v>#DIV/0!</v>
      </c>
      <c r="FV161" s="112">
        <f t="shared" si="273"/>
        <v>0</v>
      </c>
      <c r="FW161" s="110"/>
      <c r="FX161" s="96"/>
      <c r="FY161" s="96"/>
      <c r="FZ161" s="110"/>
      <c r="GA161" s="110"/>
      <c r="GB161" s="96">
        <f t="shared" si="271"/>
        <v>0</v>
      </c>
      <c r="GC161" s="96" t="e">
        <f t="shared" si="266"/>
        <v>#N/A</v>
      </c>
      <c r="GD161" s="110" t="e">
        <f t="shared" si="267"/>
        <v>#N/A</v>
      </c>
      <c r="GE161" s="112">
        <f t="shared" si="268"/>
        <v>0</v>
      </c>
    </row>
    <row r="162" spans="1:187" x14ac:dyDescent="0.25">
      <c r="A162" s="111">
        <f>IF('3'!$AC$8="",-B162,NA())</f>
        <v>-0.7</v>
      </c>
      <c r="B162" s="110">
        <v>0.7</v>
      </c>
      <c r="C162" s="110">
        <v>30</v>
      </c>
      <c r="D162" s="115">
        <v>50000</v>
      </c>
      <c r="E162" s="110"/>
      <c r="F162" s="110"/>
      <c r="G162" s="110"/>
      <c r="H162" s="110"/>
      <c r="I162" s="110"/>
      <c r="J162" s="110"/>
      <c r="K162" s="109"/>
      <c r="L162" s="114"/>
      <c r="M162" s="110"/>
      <c r="N162" s="110"/>
      <c r="O162" s="110"/>
      <c r="P162" s="115"/>
      <c r="Q162" s="114"/>
      <c r="R162" s="110"/>
      <c r="S162" s="110"/>
      <c r="T162" s="110"/>
      <c r="U162" s="110"/>
      <c r="V162" s="115"/>
      <c r="W162" s="110"/>
      <c r="X162" s="110"/>
      <c r="Y162" s="110"/>
      <c r="Z162" s="110"/>
      <c r="AA162" s="110"/>
      <c r="AB162" s="110"/>
      <c r="AC162" s="110"/>
      <c r="AD162" s="114"/>
      <c r="AE162" s="3"/>
      <c r="AF162" s="3"/>
      <c r="AG162" s="3"/>
      <c r="AH162" s="3"/>
      <c r="AI162" s="3"/>
      <c r="AJ162" s="115"/>
      <c r="AK162" s="114"/>
      <c r="AL162" s="110"/>
      <c r="AM162" s="110"/>
      <c r="AN162" s="115"/>
      <c r="AO162" s="110"/>
      <c r="AP162" s="110"/>
      <c r="AQ162" s="110"/>
      <c r="AR162" s="110"/>
      <c r="AS162" s="110"/>
      <c r="AT162" s="114"/>
      <c r="AU162" s="3"/>
      <c r="AV162" s="3"/>
      <c r="AW162" s="3"/>
      <c r="AX162" s="3"/>
      <c r="AY162" s="113"/>
      <c r="BD162" s="84"/>
      <c r="BF162" s="157">
        <f t="shared" si="208"/>
        <v>0</v>
      </c>
      <c r="BG162" s="157">
        <f t="shared" si="209"/>
        <v>0</v>
      </c>
      <c r="BH162" s="157">
        <f t="shared" si="210"/>
        <v>0</v>
      </c>
      <c r="BI162" s="114">
        <f t="shared" si="211"/>
        <v>1</v>
      </c>
      <c r="BJ162" s="110">
        <f t="shared" si="212"/>
        <v>1</v>
      </c>
      <c r="BK162" s="116" t="e">
        <f t="shared" si="213"/>
        <v>#DIV/0!</v>
      </c>
      <c r="BL162" s="116">
        <f t="shared" si="214"/>
        <v>1</v>
      </c>
      <c r="BM162" s="154">
        <f t="shared" si="215"/>
        <v>1</v>
      </c>
      <c r="BN162" s="110">
        <f t="shared" si="216"/>
        <v>1</v>
      </c>
      <c r="BO162" s="116" t="e">
        <f t="shared" si="217"/>
        <v>#DIV/0!</v>
      </c>
      <c r="BP162" s="153">
        <f t="shared" si="218"/>
        <v>1</v>
      </c>
      <c r="BQ162" s="141"/>
      <c r="BR162" s="111">
        <f t="shared" si="220"/>
        <v>0</v>
      </c>
      <c r="BS162" s="96" t="e">
        <f t="shared" si="221"/>
        <v>#DIV/0!</v>
      </c>
      <c r="BT162" s="96" t="e">
        <f t="shared" si="222"/>
        <v>#DIV/0!</v>
      </c>
      <c r="BU162" s="96">
        <f t="shared" si="223"/>
        <v>0</v>
      </c>
      <c r="BV162" s="96"/>
      <c r="BW162" s="96">
        <f t="shared" si="224"/>
        <v>0.81634468150249617</v>
      </c>
      <c r="BX162" s="96">
        <f t="shared" si="225"/>
        <v>0.81634468150249617</v>
      </c>
      <c r="BY162" s="96">
        <f t="shared" si="226"/>
        <v>0</v>
      </c>
      <c r="BZ162" s="96" t="e">
        <f t="shared" si="227"/>
        <v>#DIV/0!</v>
      </c>
      <c r="CA162" s="96" t="e">
        <f t="shared" si="228"/>
        <v>#DIV/0!</v>
      </c>
      <c r="CB162" s="112" t="e">
        <f t="shared" si="229"/>
        <v>#DIV/0!</v>
      </c>
      <c r="CC162" s="113" t="e">
        <f t="shared" si="230"/>
        <v>#DIV/0!</v>
      </c>
      <c r="CD162" s="13" t="e">
        <f t="shared" si="231"/>
        <v>#DIV/0!</v>
      </c>
      <c r="CE162" s="84" t="e">
        <f t="shared" si="232"/>
        <v>#DIV/0!</v>
      </c>
      <c r="CF162" s="112">
        <f t="shared" si="272"/>
        <v>0</v>
      </c>
      <c r="CG162" s="110"/>
      <c r="CH162" s="96"/>
      <c r="CI162" s="96"/>
      <c r="CJ162" s="110"/>
      <c r="CK162" s="110"/>
      <c r="CL162" s="96">
        <f t="shared" si="270"/>
        <v>0</v>
      </c>
      <c r="CM162" s="96" t="e">
        <f t="shared" si="235"/>
        <v>#N/A</v>
      </c>
      <c r="CN162" s="110" t="e">
        <f t="shared" si="236"/>
        <v>#N/A</v>
      </c>
      <c r="CO162" s="112">
        <f t="shared" si="237"/>
        <v>0</v>
      </c>
      <c r="CQ162" s="111" t="e">
        <f>IF('3'!$AC$2="",-CR162,NA())</f>
        <v>#N/A</v>
      </c>
      <c r="CR162" s="110"/>
      <c r="CS162" s="110"/>
      <c r="CT162" s="115"/>
      <c r="CU162" s="110"/>
      <c r="CV162" s="110"/>
      <c r="CW162" s="110"/>
      <c r="CX162" s="110"/>
      <c r="CY162" s="110"/>
      <c r="CZ162" s="110"/>
      <c r="DA162" s="109"/>
      <c r="DB162" s="114"/>
      <c r="DC162" s="110"/>
      <c r="DD162" s="110"/>
      <c r="DE162" s="110"/>
      <c r="DF162" s="115"/>
      <c r="DG162" s="114"/>
      <c r="DH162" s="110"/>
      <c r="DI162" s="110"/>
      <c r="DJ162" s="110"/>
      <c r="DK162" s="110"/>
      <c r="DL162" s="115"/>
      <c r="DM162" s="110"/>
      <c r="DN162" s="110"/>
      <c r="DO162" s="110"/>
      <c r="DP162" s="110"/>
      <c r="DQ162" s="110"/>
      <c r="DR162" s="110"/>
      <c r="DS162" s="110"/>
      <c r="DT162" s="114"/>
      <c r="DU162" s="3"/>
      <c r="DV162" s="3"/>
      <c r="DW162" s="3"/>
      <c r="DX162" s="3"/>
      <c r="DY162" s="3"/>
      <c r="DZ162" s="115"/>
      <c r="EA162" s="114"/>
      <c r="EB162" s="110"/>
      <c r="EC162" s="110"/>
      <c r="ED162" s="115"/>
      <c r="EE162" s="110"/>
      <c r="EF162" s="110"/>
      <c r="EG162" s="110"/>
      <c r="EH162" s="110"/>
      <c r="EI162" s="110"/>
      <c r="EJ162" s="114"/>
      <c r="EK162" s="3"/>
      <c r="EL162" s="3"/>
      <c r="EM162" s="3"/>
      <c r="EN162" s="3"/>
      <c r="EO162" s="113"/>
      <c r="ET162" s="84"/>
      <c r="EU162" s="163"/>
      <c r="EV162" s="157" t="e">
        <f t="shared" si="239"/>
        <v>#DIV/0!</v>
      </c>
      <c r="EW162" s="157" t="e">
        <f t="shared" si="240"/>
        <v>#DIV/0!</v>
      </c>
      <c r="EX162" s="157" t="e">
        <f t="shared" si="241"/>
        <v>#DIV/0!</v>
      </c>
      <c r="EY162" s="114">
        <f t="shared" si="242"/>
        <v>1</v>
      </c>
      <c r="EZ162" s="110">
        <f t="shared" si="243"/>
        <v>1</v>
      </c>
      <c r="FA162" s="116" t="e">
        <f t="shared" si="244"/>
        <v>#DIV/0!</v>
      </c>
      <c r="FB162" s="116">
        <f t="shared" si="245"/>
        <v>1</v>
      </c>
      <c r="FC162" s="154">
        <f t="shared" si="246"/>
        <v>1</v>
      </c>
      <c r="FD162" s="110">
        <f t="shared" si="247"/>
        <v>1</v>
      </c>
      <c r="FE162" s="116" t="e">
        <f t="shared" si="248"/>
        <v>#DIV/0!</v>
      </c>
      <c r="FF162" s="153">
        <f t="shared" si="249"/>
        <v>1</v>
      </c>
      <c r="FG162" s="141"/>
      <c r="FH162" s="111">
        <f t="shared" si="251"/>
        <v>0</v>
      </c>
      <c r="FI162" s="96" t="e">
        <f t="shared" si="252"/>
        <v>#DIV/0!</v>
      </c>
      <c r="FJ162" s="96" t="e">
        <f t="shared" si="253"/>
        <v>#DIV/0!</v>
      </c>
      <c r="FK162" s="96">
        <f t="shared" si="254"/>
        <v>0</v>
      </c>
      <c r="FL162" s="96"/>
      <c r="FM162" s="96" t="e">
        <f t="shared" si="255"/>
        <v>#N/A</v>
      </c>
      <c r="FN162" s="96" t="e">
        <f t="shared" si="256"/>
        <v>#N/A</v>
      </c>
      <c r="FO162" s="96" t="e">
        <f t="shared" si="257"/>
        <v>#N/A</v>
      </c>
      <c r="FP162" s="96" t="e">
        <f t="shared" si="258"/>
        <v>#DIV/0!</v>
      </c>
      <c r="FQ162" s="96" t="e">
        <f t="shared" si="259"/>
        <v>#DIV/0!</v>
      </c>
      <c r="FR162" s="112" t="e">
        <f t="shared" si="260"/>
        <v>#DIV/0!</v>
      </c>
      <c r="FS162" s="113" t="e">
        <f t="shared" si="261"/>
        <v>#DIV/0!</v>
      </c>
      <c r="FT162" s="13" t="e">
        <f t="shared" si="262"/>
        <v>#DIV/0!</v>
      </c>
      <c r="FU162" s="84" t="e">
        <f t="shared" si="263"/>
        <v>#DIV/0!</v>
      </c>
      <c r="FV162" s="112">
        <f t="shared" si="273"/>
        <v>0</v>
      </c>
      <c r="FW162" s="110"/>
      <c r="FX162" s="96"/>
      <c r="FY162" s="96"/>
      <c r="FZ162" s="110"/>
      <c r="GA162" s="110"/>
      <c r="GB162" s="96">
        <f t="shared" si="271"/>
        <v>0</v>
      </c>
      <c r="GC162" s="96" t="e">
        <f t="shared" si="266"/>
        <v>#N/A</v>
      </c>
      <c r="GD162" s="110" t="e">
        <f t="shared" si="267"/>
        <v>#N/A</v>
      </c>
      <c r="GE162" s="112">
        <f t="shared" si="268"/>
        <v>0</v>
      </c>
    </row>
    <row r="163" spans="1:187" x14ac:dyDescent="0.25">
      <c r="A163" s="111">
        <f>IF('3'!$AC$8="",-B163,NA())</f>
        <v>-0.8</v>
      </c>
      <c r="B163" s="110">
        <v>0.8</v>
      </c>
      <c r="C163" s="110">
        <v>30</v>
      </c>
      <c r="D163" s="115">
        <v>50000</v>
      </c>
      <c r="E163" s="110"/>
      <c r="F163" s="110"/>
      <c r="G163" s="110"/>
      <c r="H163" s="110"/>
      <c r="I163" s="110"/>
      <c r="J163" s="110"/>
      <c r="K163" s="109"/>
      <c r="L163" s="114"/>
      <c r="M163" s="110"/>
      <c r="N163" s="110"/>
      <c r="O163" s="110"/>
      <c r="P163" s="115"/>
      <c r="Q163" s="114"/>
      <c r="R163" s="110"/>
      <c r="S163" s="110"/>
      <c r="T163" s="110"/>
      <c r="U163" s="110"/>
      <c r="V163" s="115"/>
      <c r="W163" s="110"/>
      <c r="X163" s="110"/>
      <c r="Y163" s="110"/>
      <c r="Z163" s="110"/>
      <c r="AA163" s="110"/>
      <c r="AB163" s="110"/>
      <c r="AC163" s="110"/>
      <c r="AD163" s="114"/>
      <c r="AE163" s="3"/>
      <c r="AF163" s="3"/>
      <c r="AG163" s="3"/>
      <c r="AH163" s="3"/>
      <c r="AI163" s="3"/>
      <c r="AJ163" s="115"/>
      <c r="AK163" s="114"/>
      <c r="AL163" s="110"/>
      <c r="AM163" s="110"/>
      <c r="AN163" s="115"/>
      <c r="AO163" s="110"/>
      <c r="AP163" s="110"/>
      <c r="AQ163" s="110"/>
      <c r="AR163" s="110"/>
      <c r="AS163" s="110"/>
      <c r="AT163" s="114"/>
      <c r="AU163" s="3"/>
      <c r="AV163" s="3"/>
      <c r="AW163" s="3"/>
      <c r="AX163" s="3"/>
      <c r="AY163" s="113"/>
      <c r="BD163" s="84"/>
      <c r="BF163" s="157">
        <f t="shared" si="208"/>
        <v>0</v>
      </c>
      <c r="BG163" s="157">
        <f t="shared" si="209"/>
        <v>0</v>
      </c>
      <c r="BH163" s="157">
        <f t="shared" si="210"/>
        <v>0</v>
      </c>
      <c r="BI163" s="114">
        <f t="shared" si="211"/>
        <v>1</v>
      </c>
      <c r="BJ163" s="110">
        <f t="shared" si="212"/>
        <v>1</v>
      </c>
      <c r="BK163" s="116" t="e">
        <f t="shared" si="213"/>
        <v>#DIV/0!</v>
      </c>
      <c r="BL163" s="116">
        <f t="shared" si="214"/>
        <v>1</v>
      </c>
      <c r="BM163" s="154">
        <f t="shared" si="215"/>
        <v>1</v>
      </c>
      <c r="BN163" s="110">
        <f t="shared" si="216"/>
        <v>1</v>
      </c>
      <c r="BO163" s="116" t="e">
        <f t="shared" si="217"/>
        <v>#DIV/0!</v>
      </c>
      <c r="BP163" s="153">
        <f t="shared" si="218"/>
        <v>1</v>
      </c>
      <c r="BQ163" s="141"/>
      <c r="BR163" s="111">
        <f t="shared" si="220"/>
        <v>0</v>
      </c>
      <c r="BS163" s="96" t="e">
        <f t="shared" si="221"/>
        <v>#DIV/0!</v>
      </c>
      <c r="BT163" s="96" t="e">
        <f t="shared" si="222"/>
        <v>#DIV/0!</v>
      </c>
      <c r="BU163" s="96">
        <f t="shared" si="223"/>
        <v>0</v>
      </c>
      <c r="BV163" s="96"/>
      <c r="BW163" s="96">
        <f t="shared" si="224"/>
        <v>0.76384925376347856</v>
      </c>
      <c r="BX163" s="96">
        <f t="shared" si="225"/>
        <v>0.76384925376347856</v>
      </c>
      <c r="BY163" s="96">
        <f t="shared" si="226"/>
        <v>0</v>
      </c>
      <c r="BZ163" s="96" t="e">
        <f t="shared" si="227"/>
        <v>#DIV/0!</v>
      </c>
      <c r="CA163" s="96" t="e">
        <f t="shared" si="228"/>
        <v>#DIV/0!</v>
      </c>
      <c r="CB163" s="112" t="e">
        <f t="shared" si="229"/>
        <v>#DIV/0!</v>
      </c>
      <c r="CC163" s="113" t="e">
        <f t="shared" si="230"/>
        <v>#DIV/0!</v>
      </c>
      <c r="CD163" s="13" t="e">
        <f t="shared" si="231"/>
        <v>#DIV/0!</v>
      </c>
      <c r="CE163" s="84" t="e">
        <f t="shared" si="232"/>
        <v>#DIV/0!</v>
      </c>
      <c r="CF163" s="112">
        <f t="shared" si="272"/>
        <v>0</v>
      </c>
      <c r="CG163" s="111"/>
      <c r="CH163" s="96"/>
      <c r="CI163" s="96"/>
      <c r="CJ163" s="110"/>
      <c r="CK163" s="110"/>
      <c r="CL163" s="96">
        <f t="shared" si="270"/>
        <v>0</v>
      </c>
      <c r="CM163" s="96" t="e">
        <f t="shared" si="235"/>
        <v>#N/A</v>
      </c>
      <c r="CN163" s="110" t="e">
        <f t="shared" si="236"/>
        <v>#N/A</v>
      </c>
      <c r="CO163" s="112">
        <f t="shared" si="237"/>
        <v>0</v>
      </c>
      <c r="CQ163" s="111" t="e">
        <f>IF('3'!$AC$2="",-CR163,NA())</f>
        <v>#N/A</v>
      </c>
      <c r="CR163" s="110"/>
      <c r="CS163" s="110"/>
      <c r="CT163" s="115"/>
      <c r="CU163" s="110"/>
      <c r="CV163" s="110"/>
      <c r="CW163" s="110"/>
      <c r="CX163" s="110"/>
      <c r="CY163" s="110"/>
      <c r="CZ163" s="110"/>
      <c r="DA163" s="109"/>
      <c r="DB163" s="114"/>
      <c r="DC163" s="110"/>
      <c r="DD163" s="110"/>
      <c r="DE163" s="110"/>
      <c r="DF163" s="115"/>
      <c r="DG163" s="114"/>
      <c r="DH163" s="110"/>
      <c r="DI163" s="110"/>
      <c r="DJ163" s="110"/>
      <c r="DK163" s="110"/>
      <c r="DL163" s="115"/>
      <c r="DM163" s="110"/>
      <c r="DN163" s="110"/>
      <c r="DO163" s="110"/>
      <c r="DP163" s="110"/>
      <c r="DQ163" s="110"/>
      <c r="DR163" s="110"/>
      <c r="DS163" s="110"/>
      <c r="DT163" s="114"/>
      <c r="DU163" s="3"/>
      <c r="DV163" s="3"/>
      <c r="DW163" s="3"/>
      <c r="DX163" s="3"/>
      <c r="DY163" s="3"/>
      <c r="DZ163" s="115"/>
      <c r="EA163" s="114"/>
      <c r="EB163" s="110"/>
      <c r="EC163" s="110"/>
      <c r="ED163" s="115"/>
      <c r="EE163" s="110"/>
      <c r="EF163" s="110"/>
      <c r="EG163" s="110"/>
      <c r="EH163" s="110"/>
      <c r="EI163" s="110"/>
      <c r="EJ163" s="114"/>
      <c r="EK163" s="3"/>
      <c r="EL163" s="3"/>
      <c r="EM163" s="3"/>
      <c r="EN163" s="3"/>
      <c r="EO163" s="113"/>
      <c r="ET163" s="84"/>
      <c r="EU163" s="163"/>
      <c r="EV163" s="157" t="e">
        <f t="shared" si="239"/>
        <v>#DIV/0!</v>
      </c>
      <c r="EW163" s="157" t="e">
        <f t="shared" si="240"/>
        <v>#DIV/0!</v>
      </c>
      <c r="EX163" s="157" t="e">
        <f t="shared" si="241"/>
        <v>#DIV/0!</v>
      </c>
      <c r="EY163" s="114">
        <f t="shared" si="242"/>
        <v>1</v>
      </c>
      <c r="EZ163" s="110">
        <f t="shared" si="243"/>
        <v>1</v>
      </c>
      <c r="FA163" s="116" t="e">
        <f t="shared" si="244"/>
        <v>#DIV/0!</v>
      </c>
      <c r="FB163" s="116">
        <f t="shared" si="245"/>
        <v>1</v>
      </c>
      <c r="FC163" s="154">
        <f t="shared" si="246"/>
        <v>1</v>
      </c>
      <c r="FD163" s="110">
        <f t="shared" si="247"/>
        <v>1</v>
      </c>
      <c r="FE163" s="116" t="e">
        <f t="shared" si="248"/>
        <v>#DIV/0!</v>
      </c>
      <c r="FF163" s="153">
        <f t="shared" si="249"/>
        <v>1</v>
      </c>
      <c r="FG163" s="141"/>
      <c r="FH163" s="111">
        <f t="shared" si="251"/>
        <v>0</v>
      </c>
      <c r="FI163" s="96" t="e">
        <f t="shared" si="252"/>
        <v>#DIV/0!</v>
      </c>
      <c r="FJ163" s="96" t="e">
        <f t="shared" si="253"/>
        <v>#DIV/0!</v>
      </c>
      <c r="FK163" s="96">
        <f t="shared" si="254"/>
        <v>0</v>
      </c>
      <c r="FL163" s="96"/>
      <c r="FM163" s="96" t="e">
        <f t="shared" si="255"/>
        <v>#N/A</v>
      </c>
      <c r="FN163" s="96" t="e">
        <f t="shared" si="256"/>
        <v>#N/A</v>
      </c>
      <c r="FO163" s="96" t="e">
        <f t="shared" si="257"/>
        <v>#N/A</v>
      </c>
      <c r="FP163" s="96" t="e">
        <f t="shared" si="258"/>
        <v>#DIV/0!</v>
      </c>
      <c r="FQ163" s="96" t="e">
        <f t="shared" si="259"/>
        <v>#DIV/0!</v>
      </c>
      <c r="FR163" s="112" t="e">
        <f t="shared" si="260"/>
        <v>#DIV/0!</v>
      </c>
      <c r="FS163" s="113" t="e">
        <f t="shared" si="261"/>
        <v>#DIV/0!</v>
      </c>
      <c r="FT163" s="13" t="e">
        <f t="shared" si="262"/>
        <v>#DIV/0!</v>
      </c>
      <c r="FU163" s="84" t="e">
        <f t="shared" si="263"/>
        <v>#DIV/0!</v>
      </c>
      <c r="FV163" s="112">
        <f t="shared" si="273"/>
        <v>0</v>
      </c>
      <c r="FW163" s="111"/>
      <c r="FX163" s="96"/>
      <c r="FY163" s="96"/>
      <c r="FZ163" s="110"/>
      <c r="GA163" s="110"/>
      <c r="GB163" s="96">
        <f t="shared" si="271"/>
        <v>0</v>
      </c>
      <c r="GC163" s="96" t="e">
        <f t="shared" si="266"/>
        <v>#N/A</v>
      </c>
      <c r="GD163" s="110" t="e">
        <f t="shared" si="267"/>
        <v>#N/A</v>
      </c>
      <c r="GE163" s="112">
        <f t="shared" si="268"/>
        <v>0</v>
      </c>
    </row>
    <row r="164" spans="1:187" x14ac:dyDescent="0.25">
      <c r="A164" s="111">
        <f>IF('3'!$AC$8="",-B164,NA())</f>
        <v>-0.9</v>
      </c>
      <c r="B164" s="110">
        <v>0.9</v>
      </c>
      <c r="C164" s="110">
        <v>30</v>
      </c>
      <c r="D164" s="115">
        <v>50000</v>
      </c>
      <c r="E164" s="110"/>
      <c r="F164" s="110"/>
      <c r="G164" s="110"/>
      <c r="H164" s="110"/>
      <c r="I164" s="110"/>
      <c r="J164" s="110"/>
      <c r="K164" s="109"/>
      <c r="L164" s="114"/>
      <c r="M164" s="110"/>
      <c r="N164" s="110"/>
      <c r="O164" s="110"/>
      <c r="P164" s="115"/>
      <c r="Q164" s="114"/>
      <c r="R164" s="110"/>
      <c r="S164" s="110"/>
      <c r="T164" s="110"/>
      <c r="U164" s="110"/>
      <c r="V164" s="115"/>
      <c r="W164" s="110"/>
      <c r="X164" s="110"/>
      <c r="Y164" s="110"/>
      <c r="Z164" s="110"/>
      <c r="AA164" s="110"/>
      <c r="AB164" s="110"/>
      <c r="AC164" s="110"/>
      <c r="AD164" s="114"/>
      <c r="AE164" s="3"/>
      <c r="AF164" s="3"/>
      <c r="AG164" s="3"/>
      <c r="AH164" s="3"/>
      <c r="AI164" s="3"/>
      <c r="AJ164" s="115"/>
      <c r="AK164" s="114"/>
      <c r="AL164" s="110"/>
      <c r="AM164" s="110"/>
      <c r="AN164" s="115"/>
      <c r="AO164" s="110"/>
      <c r="AP164" s="110"/>
      <c r="AQ164" s="110"/>
      <c r="AR164" s="110"/>
      <c r="AS164" s="110"/>
      <c r="AT164" s="114"/>
      <c r="AU164" s="3"/>
      <c r="AV164" s="3"/>
      <c r="AW164" s="3"/>
      <c r="AX164" s="3"/>
      <c r="AY164" s="113"/>
      <c r="BD164" s="84"/>
      <c r="BF164" s="157">
        <f t="shared" si="208"/>
        <v>0</v>
      </c>
      <c r="BG164" s="157">
        <f t="shared" si="209"/>
        <v>0</v>
      </c>
      <c r="BH164" s="157">
        <f t="shared" si="210"/>
        <v>0</v>
      </c>
      <c r="BI164" s="114">
        <f t="shared" si="211"/>
        <v>1</v>
      </c>
      <c r="BJ164" s="110">
        <f t="shared" si="212"/>
        <v>1</v>
      </c>
      <c r="BK164" s="116" t="e">
        <f t="shared" si="213"/>
        <v>#DIV/0!</v>
      </c>
      <c r="BL164" s="116">
        <f t="shared" si="214"/>
        <v>1</v>
      </c>
      <c r="BM164" s="154">
        <f t="shared" si="215"/>
        <v>1</v>
      </c>
      <c r="BN164" s="110">
        <f t="shared" si="216"/>
        <v>1</v>
      </c>
      <c r="BO164" s="116" t="e">
        <f t="shared" si="217"/>
        <v>#DIV/0!</v>
      </c>
      <c r="BP164" s="153">
        <f t="shared" si="218"/>
        <v>1</v>
      </c>
      <c r="BQ164" s="141"/>
      <c r="BR164" s="111">
        <f t="shared" si="220"/>
        <v>0</v>
      </c>
      <c r="BS164" s="96" t="e">
        <f t="shared" si="221"/>
        <v>#DIV/0!</v>
      </c>
      <c r="BT164" s="96" t="e">
        <f t="shared" si="222"/>
        <v>#DIV/0!</v>
      </c>
      <c r="BU164" s="96">
        <f t="shared" si="223"/>
        <v>0</v>
      </c>
      <c r="BV164" s="96"/>
      <c r="BW164" s="96">
        <f t="shared" si="224"/>
        <v>0.68180638083025913</v>
      </c>
      <c r="BX164" s="96">
        <f t="shared" si="225"/>
        <v>0.68180638083025913</v>
      </c>
      <c r="BY164" s="96">
        <f t="shared" si="226"/>
        <v>0</v>
      </c>
      <c r="BZ164" s="96" t="e">
        <f t="shared" si="227"/>
        <v>#DIV/0!</v>
      </c>
      <c r="CA164" s="96" t="e">
        <f t="shared" si="228"/>
        <v>#DIV/0!</v>
      </c>
      <c r="CB164" s="112" t="e">
        <f t="shared" si="229"/>
        <v>#DIV/0!</v>
      </c>
      <c r="CC164" s="113" t="e">
        <f t="shared" si="230"/>
        <v>#DIV/0!</v>
      </c>
      <c r="CD164" s="13" t="e">
        <f t="shared" si="231"/>
        <v>#DIV/0!</v>
      </c>
      <c r="CE164" s="84" t="e">
        <f t="shared" si="232"/>
        <v>#DIV/0!</v>
      </c>
      <c r="CF164" s="112">
        <f t="shared" si="272"/>
        <v>0</v>
      </c>
      <c r="CG164" s="96"/>
      <c r="CH164" s="96"/>
      <c r="CI164" s="96"/>
      <c r="CJ164" s="96"/>
      <c r="CK164" s="96"/>
      <c r="CL164" s="96">
        <f t="shared" si="270"/>
        <v>0</v>
      </c>
      <c r="CM164" s="96" t="e">
        <f t="shared" si="235"/>
        <v>#N/A</v>
      </c>
      <c r="CN164" s="96" t="e">
        <f t="shared" si="236"/>
        <v>#N/A</v>
      </c>
      <c r="CO164" s="112">
        <f t="shared" si="237"/>
        <v>0</v>
      </c>
      <c r="CQ164" s="111" t="e">
        <f>IF('3'!$AC$2="",-CR164,NA())</f>
        <v>#N/A</v>
      </c>
      <c r="CR164" s="110"/>
      <c r="CS164" s="110"/>
      <c r="CT164" s="115"/>
      <c r="CU164" s="110"/>
      <c r="CV164" s="110"/>
      <c r="CW164" s="110"/>
      <c r="CX164" s="110"/>
      <c r="CY164" s="110"/>
      <c r="CZ164" s="110"/>
      <c r="DA164" s="109"/>
      <c r="DB164" s="114"/>
      <c r="DC164" s="110"/>
      <c r="DD164" s="110"/>
      <c r="DE164" s="110"/>
      <c r="DF164" s="115"/>
      <c r="DG164" s="114"/>
      <c r="DH164" s="110"/>
      <c r="DI164" s="110"/>
      <c r="DJ164" s="110"/>
      <c r="DK164" s="110"/>
      <c r="DL164" s="115"/>
      <c r="DM164" s="110"/>
      <c r="DN164" s="110"/>
      <c r="DO164" s="110"/>
      <c r="DP164" s="110"/>
      <c r="DQ164" s="110"/>
      <c r="DR164" s="110"/>
      <c r="DS164" s="110"/>
      <c r="DT164" s="114"/>
      <c r="DU164" s="3"/>
      <c r="DV164" s="3"/>
      <c r="DW164" s="3"/>
      <c r="DX164" s="3"/>
      <c r="DY164" s="3"/>
      <c r="DZ164" s="115"/>
      <c r="EA164" s="114"/>
      <c r="EB164" s="110"/>
      <c r="EC164" s="110"/>
      <c r="ED164" s="115"/>
      <c r="EE164" s="110"/>
      <c r="EF164" s="110"/>
      <c r="EG164" s="110"/>
      <c r="EH164" s="110"/>
      <c r="EI164" s="110"/>
      <c r="EJ164" s="114"/>
      <c r="EK164" s="3"/>
      <c r="EL164" s="3"/>
      <c r="EM164" s="3"/>
      <c r="EN164" s="3"/>
      <c r="EO164" s="113"/>
      <c r="ET164" s="84"/>
      <c r="EU164" s="163"/>
      <c r="EV164" s="157" t="e">
        <f t="shared" si="239"/>
        <v>#DIV/0!</v>
      </c>
      <c r="EW164" s="157" t="e">
        <f t="shared" si="240"/>
        <v>#DIV/0!</v>
      </c>
      <c r="EX164" s="157" t="e">
        <f t="shared" si="241"/>
        <v>#DIV/0!</v>
      </c>
      <c r="EY164" s="114">
        <f t="shared" si="242"/>
        <v>1</v>
      </c>
      <c r="EZ164" s="110">
        <f t="shared" si="243"/>
        <v>1</v>
      </c>
      <c r="FA164" s="116" t="e">
        <f t="shared" si="244"/>
        <v>#DIV/0!</v>
      </c>
      <c r="FB164" s="116">
        <f t="shared" si="245"/>
        <v>1</v>
      </c>
      <c r="FC164" s="154">
        <f t="shared" si="246"/>
        <v>1</v>
      </c>
      <c r="FD164" s="110">
        <f t="shared" si="247"/>
        <v>1</v>
      </c>
      <c r="FE164" s="116" t="e">
        <f t="shared" si="248"/>
        <v>#DIV/0!</v>
      </c>
      <c r="FF164" s="153">
        <f t="shared" si="249"/>
        <v>1</v>
      </c>
      <c r="FG164" s="141"/>
      <c r="FH164" s="111">
        <f t="shared" si="251"/>
        <v>0</v>
      </c>
      <c r="FI164" s="96" t="e">
        <f t="shared" si="252"/>
        <v>#DIV/0!</v>
      </c>
      <c r="FJ164" s="96" t="e">
        <f t="shared" si="253"/>
        <v>#DIV/0!</v>
      </c>
      <c r="FK164" s="96">
        <f t="shared" si="254"/>
        <v>0</v>
      </c>
      <c r="FL164" s="96"/>
      <c r="FM164" s="96" t="e">
        <f t="shared" si="255"/>
        <v>#N/A</v>
      </c>
      <c r="FN164" s="96" t="e">
        <f t="shared" si="256"/>
        <v>#N/A</v>
      </c>
      <c r="FO164" s="96" t="e">
        <f t="shared" si="257"/>
        <v>#N/A</v>
      </c>
      <c r="FP164" s="96" t="e">
        <f t="shared" si="258"/>
        <v>#DIV/0!</v>
      </c>
      <c r="FQ164" s="96" t="e">
        <f t="shared" si="259"/>
        <v>#DIV/0!</v>
      </c>
      <c r="FR164" s="112" t="e">
        <f t="shared" si="260"/>
        <v>#DIV/0!</v>
      </c>
      <c r="FS164" s="113" t="e">
        <f t="shared" si="261"/>
        <v>#DIV/0!</v>
      </c>
      <c r="FT164" s="13" t="e">
        <f t="shared" si="262"/>
        <v>#DIV/0!</v>
      </c>
      <c r="FU164" s="84" t="e">
        <f t="shared" si="263"/>
        <v>#DIV/0!</v>
      </c>
      <c r="FV164" s="112">
        <f t="shared" si="273"/>
        <v>0</v>
      </c>
      <c r="FW164" s="96"/>
      <c r="FX164" s="96"/>
      <c r="FY164" s="96"/>
      <c r="FZ164" s="96"/>
      <c r="GA164" s="96"/>
      <c r="GB164" s="96">
        <f t="shared" si="271"/>
        <v>0</v>
      </c>
      <c r="GC164" s="96" t="e">
        <f t="shared" si="266"/>
        <v>#N/A</v>
      </c>
      <c r="GD164" s="96" t="e">
        <f t="shared" si="267"/>
        <v>#N/A</v>
      </c>
      <c r="GE164" s="112">
        <f t="shared" si="268"/>
        <v>0</v>
      </c>
    </row>
    <row r="165" spans="1:187" ht="15.75" thickBot="1" x14ac:dyDescent="0.3">
      <c r="A165" s="111">
        <f>IF('3'!$AC$8="",-B165,NA())</f>
        <v>-1</v>
      </c>
      <c r="B165" s="110">
        <v>1</v>
      </c>
      <c r="C165" s="110"/>
      <c r="D165" s="115"/>
      <c r="E165" s="110"/>
      <c r="F165" s="110"/>
      <c r="G165" s="110"/>
      <c r="H165" s="110"/>
      <c r="I165" s="110"/>
      <c r="J165" s="110"/>
      <c r="K165" s="109"/>
      <c r="L165" s="114"/>
      <c r="M165" s="110"/>
      <c r="N165" s="110"/>
      <c r="O165" s="110"/>
      <c r="P165" s="115"/>
      <c r="Q165" s="114"/>
      <c r="R165" s="110"/>
      <c r="S165" s="110"/>
      <c r="T165" s="110"/>
      <c r="U165" s="110"/>
      <c r="V165" s="115"/>
      <c r="W165" s="110"/>
      <c r="X165" s="110"/>
      <c r="Y165" s="110"/>
      <c r="Z165" s="110"/>
      <c r="AA165" s="110"/>
      <c r="AB165" s="110"/>
      <c r="AC165" s="110"/>
      <c r="AD165" s="114"/>
      <c r="AE165" s="3"/>
      <c r="AF165" s="3"/>
      <c r="AG165" s="3"/>
      <c r="AH165" s="3"/>
      <c r="AI165" s="3"/>
      <c r="AJ165" s="115"/>
      <c r="AK165" s="114"/>
      <c r="AL165" s="110"/>
      <c r="AM165" s="110"/>
      <c r="AN165" s="115"/>
      <c r="AO165" s="110"/>
      <c r="AP165" s="110"/>
      <c r="AQ165" s="110"/>
      <c r="AR165" s="110"/>
      <c r="AS165" s="110"/>
      <c r="AT165" s="114"/>
      <c r="AU165" s="3"/>
      <c r="AV165" s="3"/>
      <c r="AW165" s="3"/>
      <c r="AX165" s="3"/>
      <c r="AY165" s="113"/>
      <c r="BD165" s="84"/>
      <c r="BF165" s="110"/>
      <c r="BG165" s="110"/>
      <c r="BH165" s="110"/>
      <c r="BI165" s="133"/>
      <c r="BJ165" s="134"/>
      <c r="BK165" s="134"/>
      <c r="BL165" s="134"/>
      <c r="BM165" s="135"/>
      <c r="BN165" s="110"/>
      <c r="BO165" s="110"/>
      <c r="BP165" s="110"/>
      <c r="BQ165" s="142"/>
      <c r="BR165" s="111"/>
      <c r="BS165" s="96"/>
      <c r="BT165" s="96"/>
      <c r="BU165" s="96"/>
      <c r="BV165" s="96"/>
      <c r="BW165" s="96"/>
      <c r="BX165" s="96"/>
      <c r="BY165" s="96"/>
      <c r="BZ165" s="96"/>
      <c r="CA165" s="96"/>
      <c r="CB165" s="112"/>
      <c r="CC165" s="85"/>
      <c r="CD165" s="86"/>
      <c r="CE165" s="87"/>
      <c r="CF165" s="86">
        <f t="shared" si="272"/>
        <v>-1</v>
      </c>
      <c r="CG165" s="195">
        <v>1</v>
      </c>
      <c r="CH165" s="195"/>
      <c r="CI165" s="195"/>
      <c r="CJ165" s="195"/>
      <c r="CK165" s="195"/>
      <c r="CL165" s="96">
        <f t="shared" si="270"/>
        <v>0</v>
      </c>
      <c r="CM165" s="195">
        <f t="shared" si="235"/>
        <v>0</v>
      </c>
      <c r="CN165" s="195">
        <f>(1-AC164)*CM165</f>
        <v>0</v>
      </c>
      <c r="CO165" s="196">
        <f t="shared" si="237"/>
        <v>0</v>
      </c>
      <c r="CQ165" s="111" t="e">
        <f>IF('3'!$AC$2="",-CR165,NA())</f>
        <v>#N/A</v>
      </c>
      <c r="CR165" s="110">
        <v>1</v>
      </c>
      <c r="CS165" s="110"/>
      <c r="CT165" s="115"/>
      <c r="CU165" s="110"/>
      <c r="CV165" s="110"/>
      <c r="CW165" s="110"/>
      <c r="CX165" s="110"/>
      <c r="CY165" s="110"/>
      <c r="CZ165" s="110"/>
      <c r="DA165" s="109"/>
      <c r="DB165" s="114"/>
      <c r="DC165" s="110"/>
      <c r="DD165" s="110"/>
      <c r="DE165" s="110"/>
      <c r="DF165" s="115"/>
      <c r="DG165" s="114"/>
      <c r="DH165" s="110"/>
      <c r="DI165" s="110"/>
      <c r="DJ165" s="110"/>
      <c r="DK165" s="110"/>
      <c r="DL165" s="115"/>
      <c r="DM165" s="110"/>
      <c r="DN165" s="110"/>
      <c r="DO165" s="110"/>
      <c r="DP165" s="110"/>
      <c r="DQ165" s="110"/>
      <c r="DR165" s="110"/>
      <c r="DS165" s="110"/>
      <c r="DT165" s="114"/>
      <c r="DU165" s="3"/>
      <c r="DV165" s="3"/>
      <c r="DW165" s="3"/>
      <c r="DX165" s="3"/>
      <c r="DY165" s="3"/>
      <c r="DZ165" s="115"/>
      <c r="EA165" s="114"/>
      <c r="EB165" s="110"/>
      <c r="EC165" s="110"/>
      <c r="ED165" s="115"/>
      <c r="EE165" s="110"/>
      <c r="EF165" s="110"/>
      <c r="EG165" s="110"/>
      <c r="EH165" s="110"/>
      <c r="EI165" s="110"/>
      <c r="EJ165" s="114"/>
      <c r="EK165" s="3"/>
      <c r="EL165" s="3"/>
      <c r="EM165" s="3"/>
      <c r="EN165" s="3"/>
      <c r="EO165" s="113"/>
      <c r="ET165" s="84"/>
      <c r="EU165" s="165"/>
      <c r="EV165" s="110"/>
      <c r="EW165" s="110"/>
      <c r="EX165" s="110"/>
      <c r="EY165" s="133"/>
      <c r="EZ165" s="134"/>
      <c r="FA165" s="134"/>
      <c r="FB165" s="134"/>
      <c r="FC165" s="135"/>
      <c r="FD165" s="110"/>
      <c r="FE165" s="110"/>
      <c r="FF165" s="110"/>
      <c r="FG165" s="142"/>
      <c r="FH165" s="111"/>
      <c r="FI165" s="96"/>
      <c r="FJ165" s="96"/>
      <c r="FK165" s="96"/>
      <c r="FL165" s="96"/>
      <c r="FM165" s="96"/>
      <c r="FN165" s="96"/>
      <c r="FO165" s="96"/>
      <c r="FP165" s="96"/>
      <c r="FQ165" s="96"/>
      <c r="FR165" s="112"/>
      <c r="FS165" s="85"/>
      <c r="FT165" s="86"/>
      <c r="FU165" s="87"/>
      <c r="FV165" s="86">
        <f t="shared" si="273"/>
        <v>-1</v>
      </c>
      <c r="FW165" s="195">
        <v>1</v>
      </c>
      <c r="FX165" s="195"/>
      <c r="FY165" s="195"/>
      <c r="FZ165" s="195"/>
      <c r="GA165" s="195"/>
      <c r="GB165" s="96">
        <f t="shared" si="271"/>
        <v>0</v>
      </c>
      <c r="GC165" s="195" t="e">
        <f t="shared" si="266"/>
        <v>#N/A</v>
      </c>
      <c r="GD165" s="195" t="e">
        <f>(1-DS164)*GC165</f>
        <v>#N/A</v>
      </c>
      <c r="GE165" s="196">
        <f t="shared" si="268"/>
        <v>0</v>
      </c>
    </row>
    <row r="166" spans="1:187" ht="15.75" thickBot="1" x14ac:dyDescent="0.3">
      <c r="A166" s="233" t="s">
        <v>55</v>
      </c>
      <c r="B166" s="234"/>
      <c r="C166" s="235"/>
      <c r="D166" s="39" t="s">
        <v>54</v>
      </c>
      <c r="E166" s="38">
        <f t="shared" ref="E166:AJ166" si="274">0.1/3*($B145*E145+4*$B146*E146+2*$B147*E147+4*$B148*E148+2*$B149*E149+4*$B150*E150+2*$B151*E151+4*$B152*E152+2*$B153*E153+4*$B154*E154+2*$B155*E155+4*$B156*E156+1*$B157*E157)+0.2/3*($B157*E157+4*$B159*E159+2*$B161*E161+4*$B163*E163+$B165*E165)</f>
        <v>0</v>
      </c>
      <c r="F166" s="38">
        <f t="shared" si="274"/>
        <v>0</v>
      </c>
      <c r="G166" s="38">
        <f t="shared" si="274"/>
        <v>0</v>
      </c>
      <c r="H166" s="38">
        <f t="shared" si="274"/>
        <v>0</v>
      </c>
      <c r="I166" s="38">
        <f t="shared" si="274"/>
        <v>0</v>
      </c>
      <c r="J166" s="38">
        <f t="shared" si="274"/>
        <v>0</v>
      </c>
      <c r="K166" s="38">
        <f t="shared" si="274"/>
        <v>0</v>
      </c>
      <c r="L166" s="38">
        <f t="shared" si="274"/>
        <v>0</v>
      </c>
      <c r="M166" s="38">
        <f t="shared" si="274"/>
        <v>0</v>
      </c>
      <c r="N166" s="38">
        <f t="shared" si="274"/>
        <v>0</v>
      </c>
      <c r="O166" s="38">
        <f t="shared" si="274"/>
        <v>0</v>
      </c>
      <c r="P166" s="38">
        <f t="shared" si="274"/>
        <v>0</v>
      </c>
      <c r="Q166" s="38">
        <f t="shared" si="274"/>
        <v>0</v>
      </c>
      <c r="R166" s="38">
        <f t="shared" si="274"/>
        <v>0</v>
      </c>
      <c r="S166" s="38">
        <f t="shared" si="274"/>
        <v>0</v>
      </c>
      <c r="T166" s="38">
        <f t="shared" si="274"/>
        <v>0</v>
      </c>
      <c r="U166" s="38">
        <f t="shared" si="274"/>
        <v>0</v>
      </c>
      <c r="V166" s="38">
        <f t="shared" si="274"/>
        <v>0</v>
      </c>
      <c r="W166" s="38">
        <f t="shared" si="274"/>
        <v>0</v>
      </c>
      <c r="X166" s="38">
        <f t="shared" si="274"/>
        <v>0</v>
      </c>
      <c r="Y166" s="38">
        <f t="shared" si="274"/>
        <v>0</v>
      </c>
      <c r="Z166" s="38">
        <f t="shared" si="274"/>
        <v>0</v>
      </c>
      <c r="AA166" s="38">
        <f t="shared" si="274"/>
        <v>0</v>
      </c>
      <c r="AB166" s="38">
        <f t="shared" si="274"/>
        <v>0</v>
      </c>
      <c r="AC166" s="38">
        <f t="shared" si="274"/>
        <v>0</v>
      </c>
      <c r="AD166" s="38">
        <f t="shared" si="274"/>
        <v>0</v>
      </c>
      <c r="AE166" s="38">
        <f t="shared" si="274"/>
        <v>0</v>
      </c>
      <c r="AF166" s="38">
        <f t="shared" si="274"/>
        <v>0</v>
      </c>
      <c r="AG166" s="38">
        <f t="shared" si="274"/>
        <v>0</v>
      </c>
      <c r="AH166" s="38">
        <f t="shared" si="274"/>
        <v>0</v>
      </c>
      <c r="AI166" s="38">
        <f t="shared" si="274"/>
        <v>0</v>
      </c>
      <c r="AJ166" s="38">
        <f t="shared" si="274"/>
        <v>0</v>
      </c>
      <c r="AK166" s="38">
        <f t="shared" ref="AK166:BP166" si="275">0.1/3*($B145*AK145+4*$B146*AK146+2*$B147*AK147+4*$B148*AK148+2*$B149*AK149+4*$B150*AK150+2*$B151*AK151+4*$B152*AK152+2*$B153*AK153+4*$B154*AK154+2*$B155*AK155+4*$B156*AK156+1*$B157*AK157)+0.2/3*($B157*AK157+4*$B159*AK159+2*$B161*AK161+4*$B163*AK163+$B165*AK165)</f>
        <v>0</v>
      </c>
      <c r="AL166" s="38">
        <f t="shared" si="275"/>
        <v>0</v>
      </c>
      <c r="AM166" s="38">
        <f t="shared" si="275"/>
        <v>0</v>
      </c>
      <c r="AN166" s="38">
        <f t="shared" si="275"/>
        <v>0</v>
      </c>
      <c r="AO166" s="38">
        <f t="shared" si="275"/>
        <v>0</v>
      </c>
      <c r="AP166" s="38">
        <f t="shared" si="275"/>
        <v>0</v>
      </c>
      <c r="AQ166" s="38">
        <f t="shared" si="275"/>
        <v>0</v>
      </c>
      <c r="AR166" s="38">
        <f t="shared" si="275"/>
        <v>0</v>
      </c>
      <c r="AS166" s="38">
        <f t="shared" si="275"/>
        <v>0</v>
      </c>
      <c r="AT166" s="38">
        <f t="shared" si="275"/>
        <v>0</v>
      </c>
      <c r="AU166" s="38">
        <f t="shared" si="275"/>
        <v>0</v>
      </c>
      <c r="AV166" s="38">
        <f t="shared" si="275"/>
        <v>0</v>
      </c>
      <c r="AW166" s="38">
        <f t="shared" si="275"/>
        <v>0</v>
      </c>
      <c r="AX166" s="38">
        <f t="shared" si="275"/>
        <v>0</v>
      </c>
      <c r="AY166" s="38">
        <f t="shared" si="275"/>
        <v>0</v>
      </c>
      <c r="AZ166" s="38">
        <f t="shared" si="275"/>
        <v>0</v>
      </c>
      <c r="BA166" s="38">
        <f t="shared" si="275"/>
        <v>0</v>
      </c>
      <c r="BB166" s="38">
        <f t="shared" si="275"/>
        <v>0</v>
      </c>
      <c r="BC166" s="38">
        <f t="shared" si="275"/>
        <v>0</v>
      </c>
      <c r="BD166" s="38">
        <f t="shared" si="275"/>
        <v>0</v>
      </c>
      <c r="BE166" s="38" t="e">
        <f t="shared" si="275"/>
        <v>#DIV/0!</v>
      </c>
      <c r="BF166" s="38">
        <f t="shared" si="275"/>
        <v>0</v>
      </c>
      <c r="BG166" s="38">
        <f t="shared" si="275"/>
        <v>0</v>
      </c>
      <c r="BH166" s="38">
        <f t="shared" si="275"/>
        <v>0</v>
      </c>
      <c r="BI166" s="38">
        <f t="shared" si="275"/>
        <v>0.89999999999999991</v>
      </c>
      <c r="BJ166" s="38">
        <f t="shared" si="275"/>
        <v>0.89999999999999991</v>
      </c>
      <c r="BK166" s="38" t="e">
        <f t="shared" si="275"/>
        <v>#DIV/0!</v>
      </c>
      <c r="BL166" s="38">
        <f t="shared" si="275"/>
        <v>0.89999999999999991</v>
      </c>
      <c r="BM166" s="38">
        <f t="shared" si="275"/>
        <v>0.89999999999999991</v>
      </c>
      <c r="BN166" s="38">
        <f t="shared" si="275"/>
        <v>0.89999999999999991</v>
      </c>
      <c r="BO166" s="38" t="e">
        <f t="shared" si="275"/>
        <v>#DIV/0!</v>
      </c>
      <c r="BP166" s="38">
        <f t="shared" si="275"/>
        <v>0.89999999999999991</v>
      </c>
      <c r="BQ166" s="38" t="e">
        <f t="shared" ref="BQ166:CB166" si="276">0.1/3*($B145*BQ145+4*$B146*BQ146+2*$B147*BQ147+4*$B148*BQ148+2*$B149*BQ149+4*$B150*BQ150+2*$B151*BQ151+4*$B152*BQ152+2*$B153*BQ153+4*$B154*BQ154+2*$B155*BQ155+4*$B156*BQ156+1*$B157*BQ157)+0.2/3*($B157*BQ157+4*$B159*BQ159+2*$B161*BQ161+4*$B163*BQ163+$B165*BQ165)</f>
        <v>#DIV/0!</v>
      </c>
      <c r="BR166" s="38">
        <f t="shared" si="276"/>
        <v>0</v>
      </c>
      <c r="BS166" s="38" t="e">
        <f t="shared" si="276"/>
        <v>#DIV/0!</v>
      </c>
      <c r="BT166" s="38" t="e">
        <f t="shared" si="276"/>
        <v>#DIV/0!</v>
      </c>
      <c r="BU166" s="38">
        <f t="shared" si="276"/>
        <v>0</v>
      </c>
      <c r="BV166" s="38">
        <f t="shared" si="276"/>
        <v>0</v>
      </c>
      <c r="BW166" s="38">
        <f t="shared" si="276"/>
        <v>0.74105594897535321</v>
      </c>
      <c r="BX166" s="38">
        <f t="shared" si="276"/>
        <v>0.74105594897535321</v>
      </c>
      <c r="BY166" s="38">
        <f t="shared" si="276"/>
        <v>0</v>
      </c>
      <c r="BZ166" s="38" t="e">
        <f t="shared" si="276"/>
        <v>#DIV/0!</v>
      </c>
      <c r="CA166" s="38" t="e">
        <f t="shared" si="276"/>
        <v>#DIV/0!</v>
      </c>
      <c r="CB166" s="38" t="e">
        <f t="shared" si="276"/>
        <v>#DIV/0!</v>
      </c>
      <c r="CC166" s="96"/>
      <c r="CL166" s="38">
        <f t="shared" ref="CL166:CO166" si="277">0.1/3*($B145*CL145+4*$B146*CL146+2*$B147*CL147+4*$B148*CL148+2*$B149*CL149+4*$B150*CL150+2*$B151*CL151+4*$B152*CL152+2*$B153*CL153+4*$B154*CL154+2*$B155*CL155+4*$B156*CL156+1*$B157*CL157)+0.2/3*($B157*CL157+4*$B159*CL159+2*$B161*CL161+4*$B163*CL163+$B165*CL165)</f>
        <v>0</v>
      </c>
      <c r="CM166" s="38" t="e">
        <f t="shared" si="277"/>
        <v>#N/A</v>
      </c>
      <c r="CN166" s="38" t="e">
        <f t="shared" si="277"/>
        <v>#N/A</v>
      </c>
      <c r="CO166" s="38">
        <f t="shared" si="277"/>
        <v>0</v>
      </c>
      <c r="CQ166" s="233" t="s">
        <v>55</v>
      </c>
      <c r="CR166" s="234"/>
      <c r="CS166" s="235"/>
      <c r="CT166" s="39" t="s">
        <v>54</v>
      </c>
      <c r="CU166" s="38">
        <f t="shared" ref="CU166:DZ166" si="278">0.2/3*(CU145*$B$8+4*CU147*$B$10+2*$B$12*CU149+4*$B$14*CU151+2*$B$16*CU153+4*$B$18*CU155+2*$B$20*CU157+4*$B$22*CU159+2*$B$24*CU161+4*$B$26*CU163+CU165*$B$28)</f>
        <v>0</v>
      </c>
      <c r="CV166" s="38">
        <f t="shared" si="278"/>
        <v>0</v>
      </c>
      <c r="CW166" s="38">
        <f t="shared" si="278"/>
        <v>0</v>
      </c>
      <c r="CX166" s="38">
        <f t="shared" si="278"/>
        <v>0</v>
      </c>
      <c r="CY166" s="38">
        <f t="shared" si="278"/>
        <v>0</v>
      </c>
      <c r="CZ166" s="38">
        <f t="shared" si="278"/>
        <v>0</v>
      </c>
      <c r="DA166" s="38">
        <f t="shared" si="278"/>
        <v>0</v>
      </c>
      <c r="DB166" s="38">
        <f t="shared" si="278"/>
        <v>0</v>
      </c>
      <c r="DC166" s="38">
        <f t="shared" si="278"/>
        <v>0</v>
      </c>
      <c r="DD166" s="38">
        <f t="shared" si="278"/>
        <v>0</v>
      </c>
      <c r="DE166" s="38">
        <f t="shared" si="278"/>
        <v>0</v>
      </c>
      <c r="DF166" s="38">
        <f t="shared" si="278"/>
        <v>0</v>
      </c>
      <c r="DG166" s="38">
        <f t="shared" si="278"/>
        <v>0</v>
      </c>
      <c r="DH166" s="38">
        <f t="shared" si="278"/>
        <v>0</v>
      </c>
      <c r="DI166" s="38">
        <f t="shared" si="278"/>
        <v>0</v>
      </c>
      <c r="DJ166" s="38">
        <f t="shared" si="278"/>
        <v>0</v>
      </c>
      <c r="DK166" s="38">
        <f t="shared" si="278"/>
        <v>0</v>
      </c>
      <c r="DL166" s="38">
        <f t="shared" si="278"/>
        <v>0</v>
      </c>
      <c r="DM166" s="38">
        <f t="shared" si="278"/>
        <v>0</v>
      </c>
      <c r="DN166" s="38">
        <f t="shared" si="278"/>
        <v>0</v>
      </c>
      <c r="DO166" s="38">
        <f t="shared" si="278"/>
        <v>0</v>
      </c>
      <c r="DP166" s="38">
        <f t="shared" si="278"/>
        <v>0</v>
      </c>
      <c r="DQ166" s="38">
        <f t="shared" si="278"/>
        <v>0</v>
      </c>
      <c r="DR166" s="38">
        <f t="shared" si="278"/>
        <v>0</v>
      </c>
      <c r="DS166" s="38">
        <f t="shared" si="278"/>
        <v>0</v>
      </c>
      <c r="DT166" s="38">
        <f t="shared" si="278"/>
        <v>0</v>
      </c>
      <c r="DU166" s="38">
        <f t="shared" si="278"/>
        <v>0</v>
      </c>
      <c r="DV166" s="38">
        <f t="shared" si="278"/>
        <v>0</v>
      </c>
      <c r="DW166" s="38">
        <f t="shared" si="278"/>
        <v>0</v>
      </c>
      <c r="DX166" s="38">
        <f t="shared" si="278"/>
        <v>0</v>
      </c>
      <c r="DY166" s="38">
        <f t="shared" si="278"/>
        <v>0</v>
      </c>
      <c r="DZ166" s="38">
        <f t="shared" si="278"/>
        <v>0</v>
      </c>
      <c r="EA166" s="38">
        <f t="shared" ref="EA166:FF166" si="279">0.2/3*(EA145*$B$8+4*EA147*$B$10+2*$B$12*EA149+4*$B$14*EA151+2*$B$16*EA153+4*$B$18*EA155+2*$B$20*EA157+4*$B$22*EA159+2*$B$24*EA161+4*$B$26*EA163+EA165*$B$28)</f>
        <v>0</v>
      </c>
      <c r="EB166" s="38">
        <f t="shared" si="279"/>
        <v>0</v>
      </c>
      <c r="EC166" s="38">
        <f t="shared" si="279"/>
        <v>0</v>
      </c>
      <c r="ED166" s="38">
        <f t="shared" si="279"/>
        <v>0</v>
      </c>
      <c r="EE166" s="38">
        <f t="shared" si="279"/>
        <v>0</v>
      </c>
      <c r="EF166" s="38">
        <f t="shared" si="279"/>
        <v>0</v>
      </c>
      <c r="EG166" s="38">
        <f t="shared" si="279"/>
        <v>0</v>
      </c>
      <c r="EH166" s="38">
        <f t="shared" si="279"/>
        <v>0</v>
      </c>
      <c r="EI166" s="38">
        <f t="shared" si="279"/>
        <v>0</v>
      </c>
      <c r="EJ166" s="38">
        <f t="shared" si="279"/>
        <v>0</v>
      </c>
      <c r="EK166" s="38">
        <f t="shared" si="279"/>
        <v>0</v>
      </c>
      <c r="EL166" s="38">
        <f t="shared" si="279"/>
        <v>0</v>
      </c>
      <c r="EM166" s="38">
        <f t="shared" si="279"/>
        <v>0</v>
      </c>
      <c r="EN166" s="38">
        <f t="shared" si="279"/>
        <v>0</v>
      </c>
      <c r="EO166" s="38">
        <f t="shared" si="279"/>
        <v>0</v>
      </c>
      <c r="EP166" s="38">
        <f t="shared" si="279"/>
        <v>0</v>
      </c>
      <c r="EQ166" s="38">
        <f t="shared" si="279"/>
        <v>0</v>
      </c>
      <c r="ER166" s="38">
        <f t="shared" si="279"/>
        <v>0</v>
      </c>
      <c r="ES166" s="38">
        <f t="shared" si="279"/>
        <v>0</v>
      </c>
      <c r="ET166" s="38">
        <f t="shared" si="279"/>
        <v>0</v>
      </c>
      <c r="EU166" s="38" t="e">
        <f t="shared" si="279"/>
        <v>#DIV/0!</v>
      </c>
      <c r="EV166" s="38" t="e">
        <f t="shared" si="279"/>
        <v>#DIV/0!</v>
      </c>
      <c r="EW166" s="38" t="e">
        <f t="shared" si="279"/>
        <v>#DIV/0!</v>
      </c>
      <c r="EX166" s="38" t="e">
        <f t="shared" si="279"/>
        <v>#DIV/0!</v>
      </c>
      <c r="EY166" s="38">
        <f t="shared" si="279"/>
        <v>0.85333333333333339</v>
      </c>
      <c r="EZ166" s="38">
        <f t="shared" si="279"/>
        <v>0.85333333333333339</v>
      </c>
      <c r="FA166" s="38" t="e">
        <f t="shared" si="279"/>
        <v>#DIV/0!</v>
      </c>
      <c r="FB166" s="38">
        <f t="shared" si="279"/>
        <v>0.85333333333333339</v>
      </c>
      <c r="FC166" s="38">
        <f t="shared" si="279"/>
        <v>0.85333333333333339</v>
      </c>
      <c r="FD166" s="38">
        <f t="shared" si="279"/>
        <v>0.85333333333333339</v>
      </c>
      <c r="FE166" s="38" t="e">
        <f t="shared" si="279"/>
        <v>#DIV/0!</v>
      </c>
      <c r="FF166" s="38">
        <f t="shared" si="279"/>
        <v>0.85333333333333339</v>
      </c>
      <c r="FG166" s="38" t="e">
        <f t="shared" ref="FG166:FR166" si="280">0.2/3*(FG145*$B$8+4*FG147*$B$10+2*$B$12*FG149+4*$B$14*FG151+2*$B$16*FG153+4*$B$18*FG155+2*$B$20*FG157+4*$B$22*FG159+2*$B$24*FG161+4*$B$26*FG163+FG165*$B$28)</f>
        <v>#DIV/0!</v>
      </c>
      <c r="FH166" s="38">
        <f t="shared" si="280"/>
        <v>0</v>
      </c>
      <c r="FI166" s="38" t="e">
        <f t="shared" si="280"/>
        <v>#DIV/0!</v>
      </c>
      <c r="FJ166" s="38" t="e">
        <f t="shared" si="280"/>
        <v>#DIV/0!</v>
      </c>
      <c r="FK166" s="38">
        <f t="shared" si="280"/>
        <v>0</v>
      </c>
      <c r="FL166" s="38">
        <f t="shared" si="280"/>
        <v>0</v>
      </c>
      <c r="FM166" s="38" t="e">
        <f t="shared" si="280"/>
        <v>#N/A</v>
      </c>
      <c r="FN166" s="38" t="e">
        <f t="shared" si="280"/>
        <v>#N/A</v>
      </c>
      <c r="FO166" s="38" t="e">
        <f t="shared" si="280"/>
        <v>#N/A</v>
      </c>
      <c r="FP166" s="38" t="e">
        <f t="shared" si="280"/>
        <v>#DIV/0!</v>
      </c>
      <c r="FQ166" s="38" t="e">
        <f t="shared" si="280"/>
        <v>#DIV/0!</v>
      </c>
      <c r="FR166" s="38" t="e">
        <f t="shared" si="280"/>
        <v>#DIV/0!</v>
      </c>
      <c r="FS166" s="96"/>
      <c r="GB166" s="38">
        <f t="shared" ref="GB166:GE166" si="281">0.1/3*($B145*GB145+4*$B146*GB146+2*$B147*GB147+4*$B148*GB148+2*$B149*GB149+4*$B150*GB150+2*$B151*GB151+4*$B152*GB152+2*$B153*GB153+4*$B154*GB154+2*$B155*GB155+4*$B156*GB156+1*$B157*GB157)+0.2/3*($B157*GB157+4*$B159*GB159+2*$B161*GB161+4*$B163*GB163+$B165*GB165)</f>
        <v>0</v>
      </c>
      <c r="GC166" s="38" t="e">
        <f t="shared" si="281"/>
        <v>#N/A</v>
      </c>
      <c r="GD166" s="38" t="e">
        <f t="shared" si="281"/>
        <v>#N/A</v>
      </c>
      <c r="GE166" s="38">
        <f t="shared" si="281"/>
        <v>0</v>
      </c>
    </row>
    <row r="189" spans="1:94" ht="15.75" thickBot="1" x14ac:dyDescent="0.3">
      <c r="A189" s="17" t="s">
        <v>271</v>
      </c>
      <c r="B189" s="13" t="s">
        <v>288</v>
      </c>
    </row>
    <row r="190" spans="1:94" ht="18.75" customHeight="1" thickBot="1" x14ac:dyDescent="0.3">
      <c r="A190" s="236" t="s">
        <v>14</v>
      </c>
      <c r="B190" s="236" t="s">
        <v>49</v>
      </c>
      <c r="C190" s="238" t="s">
        <v>10</v>
      </c>
      <c r="D190" s="240" t="s">
        <v>58</v>
      </c>
      <c r="E190" s="230" t="s">
        <v>15</v>
      </c>
      <c r="F190" s="231"/>
      <c r="G190" s="231"/>
      <c r="H190" s="231"/>
      <c r="I190" s="231"/>
      <c r="J190" s="231"/>
      <c r="K190" s="232"/>
      <c r="L190" s="230" t="s">
        <v>53</v>
      </c>
      <c r="M190" s="231"/>
      <c r="N190" s="231"/>
      <c r="O190" s="231"/>
      <c r="P190" s="232"/>
      <c r="Q190" s="230" t="s">
        <v>33</v>
      </c>
      <c r="R190" s="231"/>
      <c r="S190" s="231"/>
      <c r="T190" s="231"/>
      <c r="U190" s="231"/>
      <c r="V190" s="232"/>
      <c r="W190" s="230" t="s">
        <v>16</v>
      </c>
      <c r="X190" s="231"/>
      <c r="Y190" s="231"/>
      <c r="Z190" s="231"/>
      <c r="AA190" s="231"/>
      <c r="AB190" s="231"/>
      <c r="AC190" s="232"/>
      <c r="AD190" s="230" t="s">
        <v>17</v>
      </c>
      <c r="AE190" s="231"/>
      <c r="AF190" s="231"/>
      <c r="AG190" s="231"/>
      <c r="AH190" s="231"/>
      <c r="AI190" s="231"/>
      <c r="AJ190" s="232"/>
      <c r="AK190" s="244" t="s">
        <v>34</v>
      </c>
      <c r="AL190" s="245"/>
      <c r="AM190" s="245"/>
      <c r="AN190" s="246"/>
      <c r="AO190" s="244" t="s">
        <v>18</v>
      </c>
      <c r="AP190" s="245"/>
      <c r="AQ190" s="245"/>
      <c r="AR190" s="245"/>
      <c r="AS190" s="246"/>
      <c r="AT190" s="244" t="s">
        <v>50</v>
      </c>
      <c r="AU190" s="245"/>
      <c r="AV190" s="247"/>
      <c r="AW190" s="248" t="s">
        <v>52</v>
      </c>
      <c r="AX190" s="246"/>
      <c r="AY190" s="244" t="s">
        <v>51</v>
      </c>
      <c r="AZ190" s="245"/>
      <c r="BA190" s="245"/>
      <c r="BB190" s="245"/>
      <c r="BC190" s="245"/>
      <c r="BD190" s="246"/>
      <c r="BE190" s="14"/>
      <c r="BF190" s="224" t="s">
        <v>187</v>
      </c>
      <c r="BG190" s="225"/>
      <c r="BH190" s="226"/>
      <c r="BI190" s="224" t="s">
        <v>180</v>
      </c>
      <c r="BJ190" s="225"/>
      <c r="BK190" s="225"/>
      <c r="BL190" s="225"/>
      <c r="BM190" s="226"/>
      <c r="BN190" s="224" t="s">
        <v>181</v>
      </c>
      <c r="BO190" s="225"/>
      <c r="BP190" s="226"/>
      <c r="BQ190" s="14"/>
      <c r="BR190" s="14"/>
      <c r="BS190" s="14"/>
      <c r="BT190" s="14"/>
      <c r="BU190" s="14"/>
      <c r="BV190" s="14"/>
      <c r="BW190" s="14"/>
      <c r="BX190" s="14"/>
      <c r="BY190" s="14"/>
      <c r="BZ190" s="14"/>
      <c r="CA190" s="14"/>
      <c r="CB190" s="15"/>
      <c r="CC190" s="227" t="s">
        <v>121</v>
      </c>
      <c r="CD190" s="228"/>
      <c r="CE190" s="229"/>
      <c r="CF190" s="236" t="s">
        <v>14</v>
      </c>
      <c r="CG190" s="236" t="s">
        <v>49</v>
      </c>
      <c r="CH190" s="238" t="s">
        <v>10</v>
      </c>
      <c r="CI190" s="240" t="s">
        <v>58</v>
      </c>
      <c r="CJ190" s="242" t="s">
        <v>297</v>
      </c>
      <c r="CK190" s="222" t="s">
        <v>298</v>
      </c>
      <c r="CL190" s="222" t="s">
        <v>300</v>
      </c>
      <c r="CM190" s="222" t="s">
        <v>299</v>
      </c>
      <c r="CN190" s="222" t="s">
        <v>303</v>
      </c>
      <c r="CO190" s="222" t="s">
        <v>307</v>
      </c>
    </row>
    <row r="191" spans="1:94" ht="18" thickBot="1" x14ac:dyDescent="0.35">
      <c r="A191" s="237"/>
      <c r="B191" s="237"/>
      <c r="C191" s="239"/>
      <c r="D191" s="241"/>
      <c r="E191" s="16" t="s">
        <v>19</v>
      </c>
      <c r="F191" s="17" t="s">
        <v>20</v>
      </c>
      <c r="G191" s="17" t="s">
        <v>35</v>
      </c>
      <c r="H191" s="17" t="s">
        <v>36</v>
      </c>
      <c r="I191" s="18" t="s">
        <v>47</v>
      </c>
      <c r="J191" s="18" t="s">
        <v>48</v>
      </c>
      <c r="K191" s="19" t="s">
        <v>21</v>
      </c>
      <c r="L191" s="20" t="s">
        <v>37</v>
      </c>
      <c r="M191" s="18" t="s">
        <v>38</v>
      </c>
      <c r="N191" s="18" t="s">
        <v>39</v>
      </c>
      <c r="O191" s="18" t="s">
        <v>40</v>
      </c>
      <c r="P191" s="19" t="s">
        <v>59</v>
      </c>
      <c r="Q191" s="20" t="s">
        <v>41</v>
      </c>
      <c r="R191" s="17" t="s">
        <v>42</v>
      </c>
      <c r="S191" s="18" t="s">
        <v>43</v>
      </c>
      <c r="T191" s="17" t="s">
        <v>44</v>
      </c>
      <c r="U191" s="18" t="s">
        <v>45</v>
      </c>
      <c r="V191" s="19" t="s">
        <v>46</v>
      </c>
      <c r="W191" s="21" t="s">
        <v>19</v>
      </c>
      <c r="X191" s="22" t="s">
        <v>20</v>
      </c>
      <c r="Y191" s="22" t="s">
        <v>35</v>
      </c>
      <c r="Z191" s="22" t="s">
        <v>36</v>
      </c>
      <c r="AA191" s="22" t="s">
        <v>47</v>
      </c>
      <c r="AB191" s="22" t="s">
        <v>48</v>
      </c>
      <c r="AC191" s="23" t="s">
        <v>21</v>
      </c>
      <c r="AD191" s="21" t="s">
        <v>19</v>
      </c>
      <c r="AE191" s="22" t="s">
        <v>20</v>
      </c>
      <c r="AF191" s="22" t="s">
        <v>35</v>
      </c>
      <c r="AG191" s="22" t="s">
        <v>36</v>
      </c>
      <c r="AH191" s="22" t="s">
        <v>47</v>
      </c>
      <c r="AI191" s="22" t="s">
        <v>48</v>
      </c>
      <c r="AJ191" s="23" t="s">
        <v>21</v>
      </c>
      <c r="AK191" s="24" t="s">
        <v>60</v>
      </c>
      <c r="AL191" s="25" t="s">
        <v>61</v>
      </c>
      <c r="AM191" s="25" t="s">
        <v>62</v>
      </c>
      <c r="AN191" s="26" t="s">
        <v>63</v>
      </c>
      <c r="AO191" s="27" t="s">
        <v>64</v>
      </c>
      <c r="AP191" s="25" t="s">
        <v>65</v>
      </c>
      <c r="AQ191" s="25" t="s">
        <v>66</v>
      </c>
      <c r="AR191" s="25" t="s">
        <v>67</v>
      </c>
      <c r="AS191" s="26" t="s">
        <v>68</v>
      </c>
      <c r="AT191" s="27" t="s">
        <v>69</v>
      </c>
      <c r="AU191" s="25" t="s">
        <v>70</v>
      </c>
      <c r="AV191" s="25" t="s">
        <v>71</v>
      </c>
      <c r="AW191" s="25" t="s">
        <v>72</v>
      </c>
      <c r="AX191" s="28" t="s">
        <v>73</v>
      </c>
      <c r="AY191" s="24" t="s">
        <v>23</v>
      </c>
      <c r="AZ191" s="25" t="s">
        <v>24</v>
      </c>
      <c r="BA191" s="25" t="s">
        <v>25</v>
      </c>
      <c r="BB191" s="25" t="s">
        <v>28</v>
      </c>
      <c r="BC191" s="25" t="s">
        <v>26</v>
      </c>
      <c r="BD191" s="28" t="s">
        <v>27</v>
      </c>
      <c r="BE191" s="26" t="s">
        <v>68</v>
      </c>
      <c r="BF191" s="132" t="s">
        <v>188</v>
      </c>
      <c r="BG191" s="132" t="s">
        <v>189</v>
      </c>
      <c r="BH191" s="132" t="s">
        <v>190</v>
      </c>
      <c r="BI191" s="150" t="s">
        <v>177</v>
      </c>
      <c r="BJ191" s="148" t="s">
        <v>204</v>
      </c>
      <c r="BK191" s="130" t="s">
        <v>178</v>
      </c>
      <c r="BL191" s="130" t="s">
        <v>205</v>
      </c>
      <c r="BM191" s="149" t="s">
        <v>179</v>
      </c>
      <c r="BN191" s="150" t="s">
        <v>177</v>
      </c>
      <c r="BO191" s="130" t="s">
        <v>178</v>
      </c>
      <c r="BP191" s="149" t="s">
        <v>179</v>
      </c>
      <c r="BQ191" s="27" t="s">
        <v>194</v>
      </c>
      <c r="BR191" s="129" t="s">
        <v>74</v>
      </c>
      <c r="BS191" s="25" t="s">
        <v>128</v>
      </c>
      <c r="BT191" s="25" t="s">
        <v>129</v>
      </c>
      <c r="BU191" s="25" t="s">
        <v>196</v>
      </c>
      <c r="BV191" s="26" t="s">
        <v>199</v>
      </c>
      <c r="BW191" s="30" t="s">
        <v>75</v>
      </c>
      <c r="BX191" s="29" t="s">
        <v>57</v>
      </c>
      <c r="BY191" s="29" t="s">
        <v>76</v>
      </c>
      <c r="BZ191" s="29" t="s">
        <v>77</v>
      </c>
      <c r="CA191" s="29" t="s">
        <v>78</v>
      </c>
      <c r="CB191" s="31" t="s">
        <v>79</v>
      </c>
      <c r="CC191" s="21" t="s">
        <v>122</v>
      </c>
      <c r="CD191" s="22" t="s">
        <v>123</v>
      </c>
      <c r="CE191" s="23" t="s">
        <v>124</v>
      </c>
      <c r="CF191" s="237"/>
      <c r="CG191" s="237"/>
      <c r="CH191" s="239"/>
      <c r="CI191" s="241"/>
      <c r="CJ191" s="243"/>
      <c r="CK191" s="223"/>
      <c r="CL191" s="223"/>
      <c r="CM191" s="223"/>
      <c r="CN191" s="223"/>
      <c r="CO191" s="223"/>
      <c r="CP191" s="116"/>
    </row>
    <row r="192" spans="1:94" x14ac:dyDescent="0.25">
      <c r="A192" s="111">
        <f>IF('3'!$AC$9="",B192,NA())</f>
        <v>1</v>
      </c>
      <c r="B192" s="111">
        <v>1</v>
      </c>
      <c r="C192" s="96"/>
      <c r="D192" s="112"/>
      <c r="E192" s="96"/>
      <c r="F192" s="96"/>
      <c r="G192" s="96"/>
      <c r="H192" s="96"/>
      <c r="I192" s="96"/>
      <c r="J192" s="96"/>
      <c r="K192" s="96"/>
      <c r="L192" s="111"/>
      <c r="M192" s="96"/>
      <c r="N192" s="96"/>
      <c r="O192" s="96"/>
      <c r="P192" s="96"/>
      <c r="Q192" s="111"/>
      <c r="R192" s="96"/>
      <c r="S192" s="96"/>
      <c r="T192" s="96"/>
      <c r="U192" s="96"/>
      <c r="V192" s="96"/>
      <c r="W192" s="96"/>
      <c r="X192" s="96"/>
      <c r="Y192" s="96"/>
      <c r="Z192" s="96"/>
      <c r="AA192" s="96"/>
      <c r="AB192" s="96"/>
      <c r="AC192" s="96"/>
      <c r="AD192" s="111"/>
      <c r="AJ192" s="84"/>
      <c r="AK192" s="113"/>
      <c r="AN192" s="84"/>
      <c r="AT192" s="113"/>
      <c r="AX192" s="84"/>
      <c r="AY192" s="113"/>
      <c r="BD192" s="84"/>
      <c r="BE192" s="163"/>
      <c r="BI192" s="81"/>
      <c r="BJ192" s="82"/>
      <c r="BK192" s="82"/>
      <c r="BL192" s="82"/>
      <c r="BM192" s="83"/>
      <c r="BQ192" s="140"/>
      <c r="BR192" s="32">
        <f t="shared" ref="BR192" si="282">AK192*P192</f>
        <v>0</v>
      </c>
      <c r="BS192" s="33"/>
      <c r="BT192" s="33"/>
      <c r="BU192" s="33">
        <f t="shared" ref="BU192" si="283">AB192*AN192</f>
        <v>0</v>
      </c>
      <c r="BV192" s="33"/>
      <c r="BW192" s="33">
        <f t="shared" ref="BW192:BW212" si="284">$G$2*(1-ABS(A192))^(1/$G$1)</f>
        <v>0</v>
      </c>
      <c r="BX192" s="33">
        <f t="shared" ref="BX192" si="285">SUM(W192:X192)*AO192+SUM(Y192:Z192)*AP192+(1-AC192)*BW192</f>
        <v>0</v>
      </c>
      <c r="BY192" s="33">
        <f t="shared" ref="BY192" si="286">AC192*BX192</f>
        <v>0</v>
      </c>
      <c r="BZ192" s="33"/>
      <c r="CA192" s="33"/>
      <c r="CB192" s="34"/>
      <c r="CC192" s="81"/>
      <c r="CD192" s="82"/>
      <c r="CE192" s="83"/>
      <c r="CF192" s="112">
        <f>CG192</f>
        <v>1</v>
      </c>
      <c r="CG192" s="96">
        <v>1</v>
      </c>
      <c r="CH192" s="96"/>
      <c r="CI192" s="96"/>
      <c r="CJ192" s="96"/>
      <c r="CK192" s="96"/>
      <c r="CL192" s="96">
        <f>SQRT(2*CONVERT(CJ192, "psi", "Pa") / $J$1)</f>
        <v>0</v>
      </c>
      <c r="CM192" s="96">
        <f>IF(CF192=A192,SQRT((2*CONVERT(CJ192,"psi","Pa")-AC192*$J$2*AO192^2)/((1-AC192)*$CM$1*$J$1)), NA())</f>
        <v>0</v>
      </c>
      <c r="CN192" s="96">
        <f>(1-AC192)*CM192</f>
        <v>0</v>
      </c>
      <c r="CO192" s="112">
        <f>IF(AO192&gt;0, AO192-CM192, 0)</f>
        <v>0</v>
      </c>
    </row>
    <row r="193" spans="1:93" x14ac:dyDescent="0.25">
      <c r="A193" s="111">
        <f>IF('3'!$AC$9="",B193,NA())</f>
        <v>0.9</v>
      </c>
      <c r="B193" s="111">
        <v>0.9</v>
      </c>
      <c r="C193" s="96">
        <v>30</v>
      </c>
      <c r="D193" s="112">
        <v>50000</v>
      </c>
      <c r="E193" s="96"/>
      <c r="F193" s="96"/>
      <c r="G193" s="96"/>
      <c r="H193" s="96"/>
      <c r="I193" s="96"/>
      <c r="J193" s="96"/>
      <c r="K193" s="96"/>
      <c r="L193" s="111"/>
      <c r="M193" s="96"/>
      <c r="N193" s="96"/>
      <c r="O193" s="96"/>
      <c r="P193" s="112"/>
      <c r="Q193" s="111"/>
      <c r="R193" s="96"/>
      <c r="S193" s="96"/>
      <c r="T193" s="96"/>
      <c r="U193" s="96"/>
      <c r="V193" s="112"/>
      <c r="W193" s="96"/>
      <c r="X193" s="96"/>
      <c r="Y193" s="96"/>
      <c r="Z193" s="96"/>
      <c r="AA193" s="96"/>
      <c r="AB193" s="96"/>
      <c r="AC193" s="96"/>
      <c r="AD193" s="111"/>
      <c r="AJ193" s="84"/>
      <c r="AK193" s="113"/>
      <c r="AN193" s="84"/>
      <c r="AT193" s="113"/>
      <c r="AX193" s="84"/>
      <c r="AY193" s="113"/>
      <c r="BD193" s="84"/>
      <c r="BE193" s="147" t="e">
        <f t="shared" ref="BE193:BE201" si="287">AQ193/AO193</f>
        <v>#DIV/0!</v>
      </c>
      <c r="BF193" s="157">
        <f t="shared" ref="BF193:BF211" si="288">I193/C193</f>
        <v>0</v>
      </c>
      <c r="BG193" s="157">
        <f t="shared" ref="BG193:BG211" si="289">J193/C193</f>
        <v>0</v>
      </c>
      <c r="BH193" s="157">
        <f t="shared" ref="BH193:BH211" si="290">K193/C193</f>
        <v>0</v>
      </c>
      <c r="BI193" s="152">
        <f t="shared" ref="BI193:BI211" si="291">(AA193/$E$246-1)^2</f>
        <v>1</v>
      </c>
      <c r="BJ193" s="153">
        <f t="shared" ref="BJ193:BJ211" si="292">(AA193/$G$246-1)^2</f>
        <v>1</v>
      </c>
      <c r="BK193" s="116" t="e">
        <f t="shared" ref="BK193:BK211" si="293">(AB193/$F$246-1)^2</f>
        <v>#DIV/0!</v>
      </c>
      <c r="BL193" s="116">
        <f t="shared" ref="BL193:BL211" si="294">(AB193/$G$246-1)^2</f>
        <v>1</v>
      </c>
      <c r="BM193" s="154">
        <f t="shared" ref="BM193:BM211" si="295">(AC193/$G$246-1)^2</f>
        <v>1</v>
      </c>
      <c r="BN193" s="153">
        <f t="shared" ref="BN193:BN211" si="296">(AH193/$H$246-1)^2</f>
        <v>1</v>
      </c>
      <c r="BO193" s="116" t="e">
        <f t="shared" ref="BO193:BO211" si="297">(AI193/$I$246-1)^2</f>
        <v>#DIV/0!</v>
      </c>
      <c r="BP193" s="153">
        <f t="shared" ref="BP193:BP211" si="298">(AJ193/$J$246-1)^2</f>
        <v>1</v>
      </c>
      <c r="BQ193" s="141" t="e">
        <f t="shared" ref="BQ193:BQ211" si="299">I193/H193</f>
        <v>#DIV/0!</v>
      </c>
      <c r="BR193" s="111">
        <f t="shared" ref="BR193:BR211" si="300">AK193*P193</f>
        <v>0</v>
      </c>
      <c r="BS193" s="96" t="e">
        <f t="shared" ref="BS193:BS211" si="301">6000*AC193/AJ193</f>
        <v>#DIV/0!</v>
      </c>
      <c r="BT193" s="96" t="e">
        <f t="shared" ref="BT193:BT211" si="302">BS193*AC193</f>
        <v>#DIV/0!</v>
      </c>
      <c r="BU193" s="96">
        <f t="shared" ref="BU193:BU211" si="303">AB193*AN193</f>
        <v>0</v>
      </c>
      <c r="BV193" s="96"/>
      <c r="BW193" s="96">
        <f t="shared" si="284"/>
        <v>0.68180638083025913</v>
      </c>
      <c r="BX193" s="96">
        <f t="shared" ref="BX193:BX211" si="304">SUM(W193:X193)*AO193+SUM(Y193:Z193)*AP193+(1-AC193)*BW193</f>
        <v>0.68180638083025913</v>
      </c>
      <c r="BY193" s="96">
        <f t="shared" ref="BY193:BY211" si="305">AC193*BX193</f>
        <v>0</v>
      </c>
      <c r="BZ193" s="96" t="e">
        <f t="shared" ref="BZ193:BZ211" si="306">(AO193*SUM(W193:X193)/AC193)+(AP193*SUM(Y193:Z193)/AC193)-BX193</f>
        <v>#DIV/0!</v>
      </c>
      <c r="CA193" s="96" t="e">
        <f t="shared" ref="CA193:CA211" si="307">AC193*BZ193</f>
        <v>#DIV/0!</v>
      </c>
      <c r="CB193" s="112" t="e">
        <f t="shared" ref="CB193:CB211" si="308">CA193/(1-AC193)</f>
        <v>#DIV/0!</v>
      </c>
      <c r="CC193" s="113" t="e">
        <f t="shared" ref="CC193:CC211" si="309">M193/L193*100</f>
        <v>#DIV/0!</v>
      </c>
      <c r="CD193" s="13" t="e">
        <f t="shared" ref="CD193:CD211" si="310">N193/L193*100</f>
        <v>#DIV/0!</v>
      </c>
      <c r="CE193" s="84" t="e">
        <f t="shared" ref="CE193:CE211" si="311">O193/L193*100</f>
        <v>#DIV/0!</v>
      </c>
      <c r="CF193" s="112">
        <f t="shared" ref="CF193:CF201" si="312">CG193</f>
        <v>0</v>
      </c>
      <c r="CG193" s="96"/>
      <c r="CH193" s="96"/>
      <c r="CI193" s="96"/>
      <c r="CJ193" s="96"/>
      <c r="CK193" s="96"/>
      <c r="CL193" s="96">
        <f t="shared" ref="CL193:CL201" si="313">SQRT(2*CONVERT(CJ193, "psi", "Pa") / $J$1)</f>
        <v>0</v>
      </c>
      <c r="CM193" s="96" t="e">
        <f t="shared" ref="CM193:CM212" si="314">IF(CF193=A193,SQRT((2*CONVERT(CJ193,"psi","Pa")-AC193*$J$2*AO193^2)/((1-AC193)*$CM$1*$J$1)), NA())</f>
        <v>#N/A</v>
      </c>
      <c r="CN193" s="96" t="e">
        <f t="shared" ref="CN193:CN211" si="315">(1-AC193)*CM193</f>
        <v>#N/A</v>
      </c>
      <c r="CO193" s="112">
        <f t="shared" ref="CO193:CO212" si="316">IF(AO193&gt;0, AO193-CM193, 0)</f>
        <v>0</v>
      </c>
    </row>
    <row r="194" spans="1:93" x14ac:dyDescent="0.25">
      <c r="A194" s="111">
        <f>IF('3'!$AC$9="",B194,NA())</f>
        <v>0.8</v>
      </c>
      <c r="B194" s="111">
        <v>0.8</v>
      </c>
      <c r="C194" s="96">
        <v>30</v>
      </c>
      <c r="D194" s="112">
        <v>50000</v>
      </c>
      <c r="E194" s="96"/>
      <c r="F194" s="96"/>
      <c r="G194" s="96"/>
      <c r="H194" s="96"/>
      <c r="I194" s="96"/>
      <c r="J194" s="96"/>
      <c r="K194" s="96"/>
      <c r="L194" s="111"/>
      <c r="M194" s="96"/>
      <c r="N194" s="96"/>
      <c r="O194" s="96"/>
      <c r="P194" s="112"/>
      <c r="Q194" s="111"/>
      <c r="R194" s="96"/>
      <c r="S194" s="96"/>
      <c r="T194" s="96"/>
      <c r="U194" s="96"/>
      <c r="V194" s="112"/>
      <c r="W194" s="96"/>
      <c r="X194" s="96"/>
      <c r="Y194" s="96"/>
      <c r="Z194" s="96"/>
      <c r="AA194" s="96"/>
      <c r="AB194" s="96"/>
      <c r="AC194" s="96"/>
      <c r="AD194" s="111"/>
      <c r="AJ194" s="84"/>
      <c r="AK194" s="113"/>
      <c r="AN194" s="84"/>
      <c r="AT194" s="113"/>
      <c r="AX194" s="84"/>
      <c r="AY194" s="113"/>
      <c r="BD194" s="84"/>
      <c r="BE194" s="147" t="e">
        <f t="shared" si="287"/>
        <v>#DIV/0!</v>
      </c>
      <c r="BF194" s="157">
        <f t="shared" si="288"/>
        <v>0</v>
      </c>
      <c r="BG194" s="157">
        <f t="shared" si="289"/>
        <v>0</v>
      </c>
      <c r="BH194" s="157">
        <f t="shared" si="290"/>
        <v>0</v>
      </c>
      <c r="BI194" s="152">
        <f t="shared" si="291"/>
        <v>1</v>
      </c>
      <c r="BJ194" s="153">
        <f t="shared" si="292"/>
        <v>1</v>
      </c>
      <c r="BK194" s="116" t="e">
        <f t="shared" si="293"/>
        <v>#DIV/0!</v>
      </c>
      <c r="BL194" s="116">
        <f t="shared" si="294"/>
        <v>1</v>
      </c>
      <c r="BM194" s="154">
        <f t="shared" si="295"/>
        <v>1</v>
      </c>
      <c r="BN194" s="153">
        <f t="shared" si="296"/>
        <v>1</v>
      </c>
      <c r="BO194" s="116" t="e">
        <f t="shared" si="297"/>
        <v>#DIV/0!</v>
      </c>
      <c r="BP194" s="153">
        <f t="shared" si="298"/>
        <v>1</v>
      </c>
      <c r="BQ194" s="141" t="e">
        <f t="shared" si="299"/>
        <v>#DIV/0!</v>
      </c>
      <c r="BR194" s="111">
        <f t="shared" si="300"/>
        <v>0</v>
      </c>
      <c r="BS194" s="96" t="e">
        <f t="shared" si="301"/>
        <v>#DIV/0!</v>
      </c>
      <c r="BT194" s="96" t="e">
        <f t="shared" si="302"/>
        <v>#DIV/0!</v>
      </c>
      <c r="BU194" s="96">
        <f t="shared" si="303"/>
        <v>0</v>
      </c>
      <c r="BV194" s="96"/>
      <c r="BW194" s="96">
        <f t="shared" si="284"/>
        <v>0.76384925376347856</v>
      </c>
      <c r="BX194" s="96">
        <f t="shared" si="304"/>
        <v>0.76384925376347856</v>
      </c>
      <c r="BY194" s="96">
        <f t="shared" si="305"/>
        <v>0</v>
      </c>
      <c r="BZ194" s="96" t="e">
        <f t="shared" si="306"/>
        <v>#DIV/0!</v>
      </c>
      <c r="CA194" s="96" t="e">
        <f t="shared" si="307"/>
        <v>#DIV/0!</v>
      </c>
      <c r="CB194" s="112" t="e">
        <f t="shared" si="308"/>
        <v>#DIV/0!</v>
      </c>
      <c r="CC194" s="113" t="e">
        <f t="shared" si="309"/>
        <v>#DIV/0!</v>
      </c>
      <c r="CD194" s="13" t="e">
        <f t="shared" si="310"/>
        <v>#DIV/0!</v>
      </c>
      <c r="CE194" s="84" t="e">
        <f t="shared" si="311"/>
        <v>#DIV/0!</v>
      </c>
      <c r="CF194" s="112">
        <f t="shared" si="312"/>
        <v>0</v>
      </c>
      <c r="CG194" s="111"/>
      <c r="CH194" s="96"/>
      <c r="CI194" s="96"/>
      <c r="CJ194" s="96"/>
      <c r="CK194" s="96"/>
      <c r="CL194" s="96">
        <f t="shared" si="313"/>
        <v>0</v>
      </c>
      <c r="CM194" s="96" t="e">
        <f t="shared" si="314"/>
        <v>#N/A</v>
      </c>
      <c r="CN194" s="96" t="e">
        <f t="shared" si="315"/>
        <v>#N/A</v>
      </c>
      <c r="CO194" s="112">
        <f t="shared" si="316"/>
        <v>0</v>
      </c>
    </row>
    <row r="195" spans="1:93" x14ac:dyDescent="0.25">
      <c r="A195" s="111">
        <f>IF('3'!$AC$9="",B195,NA())</f>
        <v>0.7</v>
      </c>
      <c r="B195" s="111">
        <v>0.7</v>
      </c>
      <c r="C195" s="96">
        <v>30</v>
      </c>
      <c r="D195" s="112">
        <v>50000</v>
      </c>
      <c r="E195" s="96"/>
      <c r="F195" s="96"/>
      <c r="G195" s="96"/>
      <c r="H195" s="96"/>
      <c r="I195" s="96"/>
      <c r="J195" s="96"/>
      <c r="K195" s="96"/>
      <c r="L195" s="111"/>
      <c r="M195" s="96"/>
      <c r="N195" s="96"/>
      <c r="O195" s="96"/>
      <c r="P195" s="112"/>
      <c r="Q195" s="111"/>
      <c r="R195" s="96"/>
      <c r="S195" s="96"/>
      <c r="T195" s="96"/>
      <c r="U195" s="96"/>
      <c r="V195" s="112"/>
      <c r="W195" s="96"/>
      <c r="X195" s="96"/>
      <c r="Y195" s="96"/>
      <c r="Z195" s="96"/>
      <c r="AA195" s="96"/>
      <c r="AB195" s="96"/>
      <c r="AC195" s="96"/>
      <c r="AD195" s="111"/>
      <c r="AJ195" s="84"/>
      <c r="AK195" s="113"/>
      <c r="AN195" s="84"/>
      <c r="AT195" s="113"/>
      <c r="AX195" s="84"/>
      <c r="AY195" s="113"/>
      <c r="BD195" s="84"/>
      <c r="BE195" s="147" t="e">
        <f t="shared" si="287"/>
        <v>#DIV/0!</v>
      </c>
      <c r="BF195" s="157">
        <f t="shared" si="288"/>
        <v>0</v>
      </c>
      <c r="BG195" s="157">
        <f t="shared" si="289"/>
        <v>0</v>
      </c>
      <c r="BH195" s="157">
        <f t="shared" si="290"/>
        <v>0</v>
      </c>
      <c r="BI195" s="152">
        <f t="shared" si="291"/>
        <v>1</v>
      </c>
      <c r="BJ195" s="153">
        <f t="shared" si="292"/>
        <v>1</v>
      </c>
      <c r="BK195" s="116" t="e">
        <f t="shared" si="293"/>
        <v>#DIV/0!</v>
      </c>
      <c r="BL195" s="116">
        <f t="shared" si="294"/>
        <v>1</v>
      </c>
      <c r="BM195" s="154">
        <f t="shared" si="295"/>
        <v>1</v>
      </c>
      <c r="BN195" s="153">
        <f t="shared" si="296"/>
        <v>1</v>
      </c>
      <c r="BO195" s="116" t="e">
        <f t="shared" si="297"/>
        <v>#DIV/0!</v>
      </c>
      <c r="BP195" s="153">
        <f t="shared" si="298"/>
        <v>1</v>
      </c>
      <c r="BQ195" s="141" t="e">
        <f t="shared" si="299"/>
        <v>#DIV/0!</v>
      </c>
      <c r="BR195" s="111">
        <f t="shared" si="300"/>
        <v>0</v>
      </c>
      <c r="BS195" s="96" t="e">
        <f t="shared" si="301"/>
        <v>#DIV/0!</v>
      </c>
      <c r="BT195" s="96" t="e">
        <f t="shared" si="302"/>
        <v>#DIV/0!</v>
      </c>
      <c r="BU195" s="96">
        <f t="shared" si="303"/>
        <v>0</v>
      </c>
      <c r="BV195" s="96"/>
      <c r="BW195" s="96">
        <f t="shared" si="284"/>
        <v>0.81634468150249617</v>
      </c>
      <c r="BX195" s="96">
        <f t="shared" si="304"/>
        <v>0.81634468150249617</v>
      </c>
      <c r="BY195" s="96">
        <f t="shared" si="305"/>
        <v>0</v>
      </c>
      <c r="BZ195" s="96" t="e">
        <f t="shared" si="306"/>
        <v>#DIV/0!</v>
      </c>
      <c r="CA195" s="96" t="e">
        <f t="shared" si="307"/>
        <v>#DIV/0!</v>
      </c>
      <c r="CB195" s="112" t="e">
        <f t="shared" si="308"/>
        <v>#DIV/0!</v>
      </c>
      <c r="CC195" s="113" t="e">
        <f t="shared" si="309"/>
        <v>#DIV/0!</v>
      </c>
      <c r="CD195" s="13" t="e">
        <f t="shared" si="310"/>
        <v>#DIV/0!</v>
      </c>
      <c r="CE195" s="84" t="e">
        <f t="shared" si="311"/>
        <v>#DIV/0!</v>
      </c>
      <c r="CF195" s="112">
        <f t="shared" si="312"/>
        <v>0</v>
      </c>
      <c r="CG195" s="111"/>
      <c r="CH195" s="96"/>
      <c r="CI195" s="96"/>
      <c r="CJ195" s="96"/>
      <c r="CK195" s="96"/>
      <c r="CL195" s="96">
        <f t="shared" si="313"/>
        <v>0</v>
      </c>
      <c r="CM195" s="96" t="e">
        <f t="shared" si="314"/>
        <v>#N/A</v>
      </c>
      <c r="CN195" s="96" t="e">
        <f t="shared" si="315"/>
        <v>#N/A</v>
      </c>
      <c r="CO195" s="112">
        <f t="shared" si="316"/>
        <v>0</v>
      </c>
    </row>
    <row r="196" spans="1:93" x14ac:dyDescent="0.25">
      <c r="A196" s="111">
        <f>IF('3'!$AC$9="",B196,NA())</f>
        <v>0.6</v>
      </c>
      <c r="B196" s="111">
        <v>0.6</v>
      </c>
      <c r="C196" s="96">
        <v>30</v>
      </c>
      <c r="D196" s="112">
        <v>50000</v>
      </c>
      <c r="E196" s="96"/>
      <c r="F196" s="96"/>
      <c r="G196" s="96"/>
      <c r="H196" s="96"/>
      <c r="I196" s="96"/>
      <c r="J196" s="96"/>
      <c r="K196" s="96"/>
      <c r="L196" s="111"/>
      <c r="M196" s="96"/>
      <c r="N196" s="96"/>
      <c r="O196" s="96"/>
      <c r="P196" s="112"/>
      <c r="Q196" s="111"/>
      <c r="R196" s="96"/>
      <c r="S196" s="96"/>
      <c r="T196" s="96"/>
      <c r="U196" s="96"/>
      <c r="V196" s="112"/>
      <c r="W196" s="96"/>
      <c r="X196" s="96"/>
      <c r="Y196" s="96"/>
      <c r="Z196" s="96"/>
      <c r="AA196" s="96"/>
      <c r="AB196" s="96"/>
      <c r="AC196" s="96"/>
      <c r="AD196" s="111"/>
      <c r="AJ196" s="84"/>
      <c r="AK196" s="113"/>
      <c r="AN196" s="84"/>
      <c r="AT196" s="113"/>
      <c r="AX196" s="84"/>
      <c r="AY196" s="113"/>
      <c r="BD196" s="84"/>
      <c r="BE196" s="147" t="e">
        <f t="shared" si="287"/>
        <v>#DIV/0!</v>
      </c>
      <c r="BF196" s="157">
        <f t="shared" si="288"/>
        <v>0</v>
      </c>
      <c r="BG196" s="157">
        <f t="shared" si="289"/>
        <v>0</v>
      </c>
      <c r="BH196" s="157">
        <f t="shared" si="290"/>
        <v>0</v>
      </c>
      <c r="BI196" s="152">
        <f t="shared" si="291"/>
        <v>1</v>
      </c>
      <c r="BJ196" s="153">
        <f t="shared" si="292"/>
        <v>1</v>
      </c>
      <c r="BK196" s="116" t="e">
        <f t="shared" si="293"/>
        <v>#DIV/0!</v>
      </c>
      <c r="BL196" s="116">
        <f t="shared" si="294"/>
        <v>1</v>
      </c>
      <c r="BM196" s="154">
        <f t="shared" si="295"/>
        <v>1</v>
      </c>
      <c r="BN196" s="153">
        <f t="shared" si="296"/>
        <v>1</v>
      </c>
      <c r="BO196" s="116" t="e">
        <f t="shared" si="297"/>
        <v>#DIV/0!</v>
      </c>
      <c r="BP196" s="153">
        <f t="shared" si="298"/>
        <v>1</v>
      </c>
      <c r="BQ196" s="141" t="e">
        <f t="shared" si="299"/>
        <v>#DIV/0!</v>
      </c>
      <c r="BR196" s="111">
        <f t="shared" si="300"/>
        <v>0</v>
      </c>
      <c r="BS196" s="96" t="e">
        <f t="shared" si="301"/>
        <v>#DIV/0!</v>
      </c>
      <c r="BT196" s="96" t="e">
        <f t="shared" si="302"/>
        <v>#DIV/0!</v>
      </c>
      <c r="BU196" s="96">
        <f t="shared" si="303"/>
        <v>0</v>
      </c>
      <c r="BV196" s="96"/>
      <c r="BW196" s="96">
        <f t="shared" si="284"/>
        <v>0.85576447930058497</v>
      </c>
      <c r="BX196" s="96">
        <f t="shared" si="304"/>
        <v>0.85576447930058497</v>
      </c>
      <c r="BY196" s="96">
        <f t="shared" si="305"/>
        <v>0</v>
      </c>
      <c r="BZ196" s="96" t="e">
        <f t="shared" si="306"/>
        <v>#DIV/0!</v>
      </c>
      <c r="CA196" s="96" t="e">
        <f t="shared" si="307"/>
        <v>#DIV/0!</v>
      </c>
      <c r="CB196" s="112" t="e">
        <f t="shared" si="308"/>
        <v>#DIV/0!</v>
      </c>
      <c r="CC196" s="113" t="e">
        <f t="shared" si="309"/>
        <v>#DIV/0!</v>
      </c>
      <c r="CD196" s="13" t="e">
        <f t="shared" si="310"/>
        <v>#DIV/0!</v>
      </c>
      <c r="CE196" s="84" t="e">
        <f t="shared" si="311"/>
        <v>#DIV/0!</v>
      </c>
      <c r="CF196" s="112">
        <f t="shared" si="312"/>
        <v>0</v>
      </c>
      <c r="CG196" s="111"/>
      <c r="CH196" s="96"/>
      <c r="CI196" s="96"/>
      <c r="CJ196" s="96"/>
      <c r="CK196" s="96"/>
      <c r="CL196" s="96">
        <f t="shared" si="313"/>
        <v>0</v>
      </c>
      <c r="CM196" s="96" t="e">
        <f t="shared" si="314"/>
        <v>#N/A</v>
      </c>
      <c r="CN196" s="96" t="e">
        <f t="shared" si="315"/>
        <v>#N/A</v>
      </c>
      <c r="CO196" s="112">
        <f t="shared" si="316"/>
        <v>0</v>
      </c>
    </row>
    <row r="197" spans="1:93" x14ac:dyDescent="0.25">
      <c r="A197" s="111">
        <f>IF('3'!$AC$9="",B197,NA())</f>
        <v>0.5</v>
      </c>
      <c r="B197" s="111">
        <v>0.5</v>
      </c>
      <c r="C197" s="96">
        <v>30</v>
      </c>
      <c r="D197" s="112">
        <v>50000</v>
      </c>
      <c r="E197" s="96"/>
      <c r="F197" s="96"/>
      <c r="G197" s="96"/>
      <c r="H197" s="96"/>
      <c r="I197" s="96"/>
      <c r="J197" s="96"/>
      <c r="K197" s="96"/>
      <c r="L197" s="111"/>
      <c r="M197" s="96"/>
      <c r="N197" s="96"/>
      <c r="O197" s="96"/>
      <c r="P197" s="112"/>
      <c r="Q197" s="111"/>
      <c r="R197" s="96"/>
      <c r="S197" s="96"/>
      <c r="T197" s="96"/>
      <c r="U197" s="96"/>
      <c r="V197" s="112"/>
      <c r="W197" s="96"/>
      <c r="X197" s="96"/>
      <c r="Y197" s="96"/>
      <c r="Z197" s="96"/>
      <c r="AA197" s="96"/>
      <c r="AB197" s="96"/>
      <c r="AC197" s="96"/>
      <c r="AD197" s="111"/>
      <c r="AJ197" s="84"/>
      <c r="AK197" s="113"/>
      <c r="AN197" s="84"/>
      <c r="AT197" s="113"/>
      <c r="AX197" s="84"/>
      <c r="AY197" s="113"/>
      <c r="BD197" s="84"/>
      <c r="BE197" s="147" t="e">
        <f t="shared" si="287"/>
        <v>#DIV/0!</v>
      </c>
      <c r="BF197" s="157">
        <f t="shared" si="288"/>
        <v>0</v>
      </c>
      <c r="BG197" s="157">
        <f t="shared" si="289"/>
        <v>0</v>
      </c>
      <c r="BH197" s="157">
        <f t="shared" si="290"/>
        <v>0</v>
      </c>
      <c r="BI197" s="152">
        <f t="shared" si="291"/>
        <v>1</v>
      </c>
      <c r="BJ197" s="153">
        <f t="shared" si="292"/>
        <v>1</v>
      </c>
      <c r="BK197" s="116" t="e">
        <f t="shared" si="293"/>
        <v>#DIV/0!</v>
      </c>
      <c r="BL197" s="116">
        <f t="shared" si="294"/>
        <v>1</v>
      </c>
      <c r="BM197" s="154">
        <f t="shared" si="295"/>
        <v>1</v>
      </c>
      <c r="BN197" s="153">
        <f t="shared" si="296"/>
        <v>1</v>
      </c>
      <c r="BO197" s="116" t="e">
        <f t="shared" si="297"/>
        <v>#DIV/0!</v>
      </c>
      <c r="BP197" s="153">
        <f t="shared" si="298"/>
        <v>1</v>
      </c>
      <c r="BQ197" s="141" t="e">
        <f t="shared" si="299"/>
        <v>#DIV/0!</v>
      </c>
      <c r="BR197" s="111">
        <f t="shared" si="300"/>
        <v>0</v>
      </c>
      <c r="BS197" s="96" t="e">
        <f t="shared" si="301"/>
        <v>#DIV/0!</v>
      </c>
      <c r="BT197" s="96" t="e">
        <f t="shared" si="302"/>
        <v>#DIV/0!</v>
      </c>
      <c r="BU197" s="96">
        <f t="shared" si="303"/>
        <v>0</v>
      </c>
      <c r="BV197" s="96"/>
      <c r="BW197" s="96">
        <f t="shared" si="284"/>
        <v>0.88764704592069232</v>
      </c>
      <c r="BX197" s="96">
        <f t="shared" si="304"/>
        <v>0.88764704592069232</v>
      </c>
      <c r="BY197" s="96">
        <f t="shared" si="305"/>
        <v>0</v>
      </c>
      <c r="BZ197" s="96" t="e">
        <f t="shared" si="306"/>
        <v>#DIV/0!</v>
      </c>
      <c r="CA197" s="96" t="e">
        <f t="shared" si="307"/>
        <v>#DIV/0!</v>
      </c>
      <c r="CB197" s="112" t="e">
        <f t="shared" si="308"/>
        <v>#DIV/0!</v>
      </c>
      <c r="CC197" s="113" t="e">
        <f t="shared" si="309"/>
        <v>#DIV/0!</v>
      </c>
      <c r="CD197" s="13" t="e">
        <f t="shared" si="310"/>
        <v>#DIV/0!</v>
      </c>
      <c r="CE197" s="84" t="e">
        <f t="shared" si="311"/>
        <v>#DIV/0!</v>
      </c>
      <c r="CF197" s="112">
        <f t="shared" si="312"/>
        <v>0</v>
      </c>
      <c r="CG197" s="111"/>
      <c r="CH197" s="96"/>
      <c r="CI197" s="96"/>
      <c r="CJ197" s="96"/>
      <c r="CK197" s="96"/>
      <c r="CL197" s="96">
        <f t="shared" si="313"/>
        <v>0</v>
      </c>
      <c r="CM197" s="96" t="e">
        <f t="shared" si="314"/>
        <v>#N/A</v>
      </c>
      <c r="CN197" s="96" t="e">
        <f t="shared" si="315"/>
        <v>#N/A</v>
      </c>
      <c r="CO197" s="112">
        <f t="shared" si="316"/>
        <v>0</v>
      </c>
    </row>
    <row r="198" spans="1:93" x14ac:dyDescent="0.25">
      <c r="A198" s="111">
        <f>IF('3'!$AC$9="",B198,NA())</f>
        <v>0.4</v>
      </c>
      <c r="B198" s="111">
        <v>0.4</v>
      </c>
      <c r="C198" s="96">
        <v>30</v>
      </c>
      <c r="D198" s="112">
        <v>50000</v>
      </c>
      <c r="E198" s="96"/>
      <c r="F198" s="96"/>
      <c r="G198" s="96"/>
      <c r="H198" s="96"/>
      <c r="I198" s="96"/>
      <c r="J198" s="96"/>
      <c r="K198" s="96"/>
      <c r="L198" s="111"/>
      <c r="M198" s="96"/>
      <c r="N198" s="96"/>
      <c r="O198" s="96"/>
      <c r="P198" s="112"/>
      <c r="Q198" s="111"/>
      <c r="R198" s="96"/>
      <c r="S198" s="96"/>
      <c r="T198" s="96"/>
      <c r="U198" s="96"/>
      <c r="V198" s="112"/>
      <c r="W198" s="96"/>
      <c r="X198" s="96"/>
      <c r="Y198" s="96"/>
      <c r="Z198" s="96"/>
      <c r="AA198" s="96"/>
      <c r="AB198" s="96"/>
      <c r="AC198" s="96"/>
      <c r="AD198" s="111"/>
      <c r="AJ198" s="84"/>
      <c r="AK198" s="113"/>
      <c r="AN198" s="84"/>
      <c r="AT198" s="113"/>
      <c r="AX198" s="84"/>
      <c r="AY198" s="113"/>
      <c r="BD198" s="84"/>
      <c r="BE198" s="147" t="e">
        <f t="shared" si="287"/>
        <v>#DIV/0!</v>
      </c>
      <c r="BF198" s="157">
        <f t="shared" si="288"/>
        <v>0</v>
      </c>
      <c r="BG198" s="157">
        <f t="shared" si="289"/>
        <v>0</v>
      </c>
      <c r="BH198" s="157">
        <f t="shared" si="290"/>
        <v>0</v>
      </c>
      <c r="BI198" s="152">
        <f t="shared" si="291"/>
        <v>1</v>
      </c>
      <c r="BJ198" s="153">
        <f t="shared" si="292"/>
        <v>1</v>
      </c>
      <c r="BK198" s="116" t="e">
        <f t="shared" si="293"/>
        <v>#DIV/0!</v>
      </c>
      <c r="BL198" s="116">
        <f t="shared" si="294"/>
        <v>1</v>
      </c>
      <c r="BM198" s="154">
        <f t="shared" si="295"/>
        <v>1</v>
      </c>
      <c r="BN198" s="153">
        <f t="shared" si="296"/>
        <v>1</v>
      </c>
      <c r="BO198" s="116" t="e">
        <f t="shared" si="297"/>
        <v>#DIV/0!</v>
      </c>
      <c r="BP198" s="153">
        <f t="shared" si="298"/>
        <v>1</v>
      </c>
      <c r="BQ198" s="141" t="e">
        <f t="shared" si="299"/>
        <v>#DIV/0!</v>
      </c>
      <c r="BR198" s="111">
        <f t="shared" si="300"/>
        <v>0</v>
      </c>
      <c r="BS198" s="96" t="e">
        <f t="shared" si="301"/>
        <v>#DIV/0!</v>
      </c>
      <c r="BT198" s="96" t="e">
        <f t="shared" si="302"/>
        <v>#DIV/0!</v>
      </c>
      <c r="BU198" s="96">
        <f t="shared" si="303"/>
        <v>0</v>
      </c>
      <c r="BV198" s="96"/>
      <c r="BW198" s="96">
        <f t="shared" si="284"/>
        <v>0.91457676741031746</v>
      </c>
      <c r="BX198" s="96">
        <f t="shared" si="304"/>
        <v>0.91457676741031746</v>
      </c>
      <c r="BY198" s="96">
        <f t="shared" si="305"/>
        <v>0</v>
      </c>
      <c r="BZ198" s="96" t="e">
        <f t="shared" si="306"/>
        <v>#DIV/0!</v>
      </c>
      <c r="CA198" s="96" t="e">
        <f t="shared" si="307"/>
        <v>#DIV/0!</v>
      </c>
      <c r="CB198" s="112" t="e">
        <f t="shared" si="308"/>
        <v>#DIV/0!</v>
      </c>
      <c r="CC198" s="113" t="e">
        <f t="shared" si="309"/>
        <v>#DIV/0!</v>
      </c>
      <c r="CD198" s="13" t="e">
        <f t="shared" si="310"/>
        <v>#DIV/0!</v>
      </c>
      <c r="CE198" s="84" t="e">
        <f t="shared" si="311"/>
        <v>#DIV/0!</v>
      </c>
      <c r="CF198" s="112">
        <f t="shared" si="312"/>
        <v>0</v>
      </c>
      <c r="CG198" s="111"/>
      <c r="CH198" s="96"/>
      <c r="CI198" s="96"/>
      <c r="CJ198" s="96"/>
      <c r="CK198" s="96"/>
      <c r="CL198" s="96">
        <f t="shared" si="313"/>
        <v>0</v>
      </c>
      <c r="CM198" s="96" t="e">
        <f t="shared" si="314"/>
        <v>#N/A</v>
      </c>
      <c r="CN198" s="96" t="e">
        <f t="shared" si="315"/>
        <v>#N/A</v>
      </c>
      <c r="CO198" s="112">
        <f t="shared" si="316"/>
        <v>0</v>
      </c>
    </row>
    <row r="199" spans="1:93" x14ac:dyDescent="0.25">
      <c r="A199" s="111">
        <f>IF('3'!$AC$9="",B199,NA())</f>
        <v>0.3</v>
      </c>
      <c r="B199" s="111">
        <v>0.3</v>
      </c>
      <c r="C199" s="96">
        <v>30</v>
      </c>
      <c r="D199" s="112">
        <v>50000</v>
      </c>
      <c r="E199" s="96"/>
      <c r="F199" s="96"/>
      <c r="G199" s="96"/>
      <c r="H199" s="96"/>
      <c r="I199" s="96"/>
      <c r="J199" s="96"/>
      <c r="K199" s="96"/>
      <c r="L199" s="111"/>
      <c r="M199" s="96"/>
      <c r="N199" s="96"/>
      <c r="O199" s="96"/>
      <c r="P199" s="112"/>
      <c r="Q199" s="111"/>
      <c r="R199" s="96"/>
      <c r="S199" s="96"/>
      <c r="T199" s="96"/>
      <c r="U199" s="96"/>
      <c r="V199" s="112"/>
      <c r="W199" s="96"/>
      <c r="X199" s="96"/>
      <c r="Y199" s="96"/>
      <c r="Z199" s="96"/>
      <c r="AA199" s="96"/>
      <c r="AB199" s="96"/>
      <c r="AC199" s="96"/>
      <c r="AD199" s="111"/>
      <c r="AJ199" s="84"/>
      <c r="AK199" s="113"/>
      <c r="AN199" s="84"/>
      <c r="AT199" s="113"/>
      <c r="AX199" s="84"/>
      <c r="AY199" s="113"/>
      <c r="BD199" s="84"/>
      <c r="BE199" s="147" t="e">
        <f t="shared" si="287"/>
        <v>#DIV/0!</v>
      </c>
      <c r="BF199" s="157">
        <f t="shared" si="288"/>
        <v>0</v>
      </c>
      <c r="BG199" s="157">
        <f t="shared" si="289"/>
        <v>0</v>
      </c>
      <c r="BH199" s="157">
        <f t="shared" si="290"/>
        <v>0</v>
      </c>
      <c r="BI199" s="152">
        <f t="shared" si="291"/>
        <v>1</v>
      </c>
      <c r="BJ199" s="153">
        <f t="shared" si="292"/>
        <v>1</v>
      </c>
      <c r="BK199" s="116" t="e">
        <f t="shared" si="293"/>
        <v>#DIV/0!</v>
      </c>
      <c r="BL199" s="116">
        <f t="shared" si="294"/>
        <v>1</v>
      </c>
      <c r="BM199" s="154">
        <f t="shared" si="295"/>
        <v>1</v>
      </c>
      <c r="BN199" s="153">
        <f t="shared" si="296"/>
        <v>1</v>
      </c>
      <c r="BO199" s="116" t="e">
        <f t="shared" si="297"/>
        <v>#DIV/0!</v>
      </c>
      <c r="BP199" s="153">
        <f t="shared" si="298"/>
        <v>1</v>
      </c>
      <c r="BQ199" s="141" t="e">
        <f t="shared" si="299"/>
        <v>#DIV/0!</v>
      </c>
      <c r="BR199" s="111">
        <f t="shared" si="300"/>
        <v>0</v>
      </c>
      <c r="BS199" s="96" t="e">
        <f t="shared" si="301"/>
        <v>#DIV/0!</v>
      </c>
      <c r="BT199" s="96" t="e">
        <f t="shared" si="302"/>
        <v>#DIV/0!</v>
      </c>
      <c r="BU199" s="96">
        <f t="shared" si="303"/>
        <v>0</v>
      </c>
      <c r="BV199" s="96"/>
      <c r="BW199" s="96">
        <f t="shared" si="284"/>
        <v>0.93798193514099792</v>
      </c>
      <c r="BX199" s="96">
        <f t="shared" si="304"/>
        <v>0.93798193514099792</v>
      </c>
      <c r="BY199" s="96">
        <f t="shared" si="305"/>
        <v>0</v>
      </c>
      <c r="BZ199" s="96" t="e">
        <f t="shared" si="306"/>
        <v>#DIV/0!</v>
      </c>
      <c r="CA199" s="96" t="e">
        <f t="shared" si="307"/>
        <v>#DIV/0!</v>
      </c>
      <c r="CB199" s="112" t="e">
        <f t="shared" si="308"/>
        <v>#DIV/0!</v>
      </c>
      <c r="CC199" s="113" t="e">
        <f t="shared" si="309"/>
        <v>#DIV/0!</v>
      </c>
      <c r="CD199" s="13" t="e">
        <f t="shared" si="310"/>
        <v>#DIV/0!</v>
      </c>
      <c r="CE199" s="84" t="e">
        <f t="shared" si="311"/>
        <v>#DIV/0!</v>
      </c>
      <c r="CF199" s="112">
        <f t="shared" si="312"/>
        <v>0</v>
      </c>
      <c r="CG199" s="111"/>
      <c r="CH199" s="96"/>
      <c r="CI199" s="96"/>
      <c r="CJ199" s="96"/>
      <c r="CK199" s="96"/>
      <c r="CL199" s="96">
        <f t="shared" si="313"/>
        <v>0</v>
      </c>
      <c r="CM199" s="96" t="e">
        <f t="shared" si="314"/>
        <v>#N/A</v>
      </c>
      <c r="CN199" s="96" t="e">
        <f t="shared" si="315"/>
        <v>#N/A</v>
      </c>
      <c r="CO199" s="112">
        <f t="shared" si="316"/>
        <v>0</v>
      </c>
    </row>
    <row r="200" spans="1:93" x14ac:dyDescent="0.25">
      <c r="A200" s="111">
        <f>IF('3'!$AC$9="",B200,NA())</f>
        <v>0.2</v>
      </c>
      <c r="B200" s="111">
        <v>0.2</v>
      </c>
      <c r="C200" s="96">
        <v>30</v>
      </c>
      <c r="D200" s="112">
        <v>50000</v>
      </c>
      <c r="E200" s="96"/>
      <c r="F200" s="96"/>
      <c r="G200" s="96"/>
      <c r="H200" s="96"/>
      <c r="I200" s="96"/>
      <c r="J200" s="96"/>
      <c r="K200" s="96"/>
      <c r="L200" s="111"/>
      <c r="M200" s="96"/>
      <c r="N200" s="96"/>
      <c r="O200" s="96"/>
      <c r="P200" s="112"/>
      <c r="Q200" s="111"/>
      <c r="R200" s="96"/>
      <c r="S200" s="96"/>
      <c r="T200" s="96"/>
      <c r="U200" s="96"/>
      <c r="V200" s="112"/>
      <c r="W200" s="96"/>
      <c r="X200" s="96"/>
      <c r="Y200" s="96"/>
      <c r="Z200" s="96"/>
      <c r="AA200" s="96"/>
      <c r="AB200" s="96"/>
      <c r="AC200" s="96"/>
      <c r="AD200" s="111"/>
      <c r="AJ200" s="84"/>
      <c r="AK200" s="113"/>
      <c r="AN200" s="84"/>
      <c r="AT200" s="113"/>
      <c r="AX200" s="84"/>
      <c r="AY200" s="113"/>
      <c r="BD200" s="84"/>
      <c r="BE200" s="147" t="e">
        <f t="shared" si="287"/>
        <v>#DIV/0!</v>
      </c>
      <c r="BF200" s="157">
        <f t="shared" si="288"/>
        <v>0</v>
      </c>
      <c r="BG200" s="157">
        <f t="shared" si="289"/>
        <v>0</v>
      </c>
      <c r="BH200" s="157">
        <f t="shared" si="290"/>
        <v>0</v>
      </c>
      <c r="BI200" s="152">
        <f t="shared" si="291"/>
        <v>1</v>
      </c>
      <c r="BJ200" s="153">
        <f t="shared" si="292"/>
        <v>1</v>
      </c>
      <c r="BK200" s="116" t="e">
        <f t="shared" si="293"/>
        <v>#DIV/0!</v>
      </c>
      <c r="BL200" s="116">
        <f t="shared" si="294"/>
        <v>1</v>
      </c>
      <c r="BM200" s="154">
        <f t="shared" si="295"/>
        <v>1</v>
      </c>
      <c r="BN200" s="153">
        <f t="shared" si="296"/>
        <v>1</v>
      </c>
      <c r="BO200" s="116" t="e">
        <f t="shared" si="297"/>
        <v>#DIV/0!</v>
      </c>
      <c r="BP200" s="153">
        <f t="shared" si="298"/>
        <v>1</v>
      </c>
      <c r="BQ200" s="141" t="e">
        <f t="shared" si="299"/>
        <v>#DIV/0!</v>
      </c>
      <c r="BR200" s="111">
        <f t="shared" si="300"/>
        <v>0</v>
      </c>
      <c r="BS200" s="96" t="e">
        <f t="shared" si="301"/>
        <v>#DIV/0!</v>
      </c>
      <c r="BT200" s="96" t="e">
        <f t="shared" si="302"/>
        <v>#DIV/0!</v>
      </c>
      <c r="BU200" s="96">
        <f t="shared" si="303"/>
        <v>0</v>
      </c>
      <c r="BV200" s="96"/>
      <c r="BW200" s="96">
        <f t="shared" si="284"/>
        <v>0.95874001371920414</v>
      </c>
      <c r="BX200" s="96">
        <f t="shared" si="304"/>
        <v>0.95874001371920414</v>
      </c>
      <c r="BY200" s="96">
        <f t="shared" si="305"/>
        <v>0</v>
      </c>
      <c r="BZ200" s="96" t="e">
        <f t="shared" si="306"/>
        <v>#DIV/0!</v>
      </c>
      <c r="CA200" s="96" t="e">
        <f t="shared" si="307"/>
        <v>#DIV/0!</v>
      </c>
      <c r="CB200" s="112" t="e">
        <f t="shared" si="308"/>
        <v>#DIV/0!</v>
      </c>
      <c r="CC200" s="113" t="e">
        <f t="shared" si="309"/>
        <v>#DIV/0!</v>
      </c>
      <c r="CD200" s="13" t="e">
        <f t="shared" si="310"/>
        <v>#DIV/0!</v>
      </c>
      <c r="CE200" s="84" t="e">
        <f t="shared" si="311"/>
        <v>#DIV/0!</v>
      </c>
      <c r="CF200" s="112">
        <f t="shared" si="312"/>
        <v>0</v>
      </c>
      <c r="CG200" s="111"/>
      <c r="CH200" s="96"/>
      <c r="CI200" s="96"/>
      <c r="CJ200" s="96"/>
      <c r="CK200" s="96"/>
      <c r="CL200" s="96">
        <f t="shared" si="313"/>
        <v>0</v>
      </c>
      <c r="CM200" s="96" t="e">
        <f t="shared" si="314"/>
        <v>#N/A</v>
      </c>
      <c r="CN200" s="96" t="e">
        <f t="shared" si="315"/>
        <v>#N/A</v>
      </c>
      <c r="CO200" s="112">
        <f t="shared" si="316"/>
        <v>0</v>
      </c>
    </row>
    <row r="201" spans="1:93" ht="15.75" thickBot="1" x14ac:dyDescent="0.3">
      <c r="A201" s="111">
        <f>IF('3'!$AC$9="",B201,NA())</f>
        <v>0.1</v>
      </c>
      <c r="B201" s="111">
        <v>0.1</v>
      </c>
      <c r="C201" s="96">
        <v>30</v>
      </c>
      <c r="D201" s="112">
        <v>50000</v>
      </c>
      <c r="E201" s="96"/>
      <c r="F201" s="96"/>
      <c r="G201" s="96"/>
      <c r="H201" s="96"/>
      <c r="I201" s="96"/>
      <c r="J201" s="96"/>
      <c r="K201" s="96"/>
      <c r="L201" s="111"/>
      <c r="M201" s="96"/>
      <c r="N201" s="96"/>
      <c r="O201" s="96"/>
      <c r="P201" s="112"/>
      <c r="Q201" s="111"/>
      <c r="R201" s="96"/>
      <c r="S201" s="96"/>
      <c r="T201" s="96"/>
      <c r="U201" s="96"/>
      <c r="V201" s="112"/>
      <c r="W201" s="96"/>
      <c r="X201" s="96"/>
      <c r="Y201" s="96"/>
      <c r="Z201" s="96"/>
      <c r="AA201" s="96"/>
      <c r="AB201" s="96"/>
      <c r="AC201" s="96"/>
      <c r="AD201" s="111"/>
      <c r="AJ201" s="84"/>
      <c r="AK201" s="113"/>
      <c r="AN201" s="84"/>
      <c r="AT201" s="113"/>
      <c r="AX201" s="84"/>
      <c r="AY201" s="113"/>
      <c r="BD201" s="84"/>
      <c r="BE201" s="147" t="e">
        <f t="shared" si="287"/>
        <v>#DIV/0!</v>
      </c>
      <c r="BF201" s="157">
        <f t="shared" si="288"/>
        <v>0</v>
      </c>
      <c r="BG201" s="157">
        <f t="shared" si="289"/>
        <v>0</v>
      </c>
      <c r="BH201" s="157">
        <f t="shared" si="290"/>
        <v>0</v>
      </c>
      <c r="BI201" s="152">
        <f t="shared" si="291"/>
        <v>1</v>
      </c>
      <c r="BJ201" s="153">
        <f t="shared" si="292"/>
        <v>1</v>
      </c>
      <c r="BK201" s="116" t="e">
        <f t="shared" si="293"/>
        <v>#DIV/0!</v>
      </c>
      <c r="BL201" s="116">
        <f t="shared" si="294"/>
        <v>1</v>
      </c>
      <c r="BM201" s="154">
        <f t="shared" si="295"/>
        <v>1</v>
      </c>
      <c r="BN201" s="153">
        <f t="shared" si="296"/>
        <v>1</v>
      </c>
      <c r="BO201" s="116" t="e">
        <f t="shared" si="297"/>
        <v>#DIV/0!</v>
      </c>
      <c r="BP201" s="153">
        <f t="shared" si="298"/>
        <v>1</v>
      </c>
      <c r="BQ201" s="141" t="e">
        <f t="shared" si="299"/>
        <v>#DIV/0!</v>
      </c>
      <c r="BR201" s="111">
        <f t="shared" si="300"/>
        <v>0</v>
      </c>
      <c r="BS201" s="96" t="e">
        <f t="shared" si="301"/>
        <v>#DIV/0!</v>
      </c>
      <c r="BT201" s="96" t="e">
        <f t="shared" si="302"/>
        <v>#DIV/0!</v>
      </c>
      <c r="BU201" s="96">
        <f t="shared" si="303"/>
        <v>0</v>
      </c>
      <c r="BV201" s="96"/>
      <c r="BW201" s="96">
        <f t="shared" si="284"/>
        <v>0.97743092137960175</v>
      </c>
      <c r="BX201" s="96">
        <f t="shared" si="304"/>
        <v>0.97743092137960175</v>
      </c>
      <c r="BY201" s="96">
        <f t="shared" si="305"/>
        <v>0</v>
      </c>
      <c r="BZ201" s="96" t="e">
        <f t="shared" si="306"/>
        <v>#DIV/0!</v>
      </c>
      <c r="CA201" s="96" t="e">
        <f t="shared" si="307"/>
        <v>#DIV/0!</v>
      </c>
      <c r="CB201" s="112" t="e">
        <f t="shared" si="308"/>
        <v>#DIV/0!</v>
      </c>
      <c r="CC201" s="113" t="e">
        <f t="shared" si="309"/>
        <v>#DIV/0!</v>
      </c>
      <c r="CD201" s="13" t="e">
        <f t="shared" si="310"/>
        <v>#DIV/0!</v>
      </c>
      <c r="CE201" s="84" t="e">
        <f t="shared" si="311"/>
        <v>#DIV/0!</v>
      </c>
      <c r="CF201" s="115">
        <f t="shared" si="312"/>
        <v>0</v>
      </c>
      <c r="CG201" s="111"/>
      <c r="CH201" s="96"/>
      <c r="CI201" s="96"/>
      <c r="CJ201" s="96"/>
      <c r="CK201" s="96"/>
      <c r="CL201" s="96">
        <f t="shared" si="313"/>
        <v>0</v>
      </c>
      <c r="CM201" s="96" t="e">
        <f t="shared" si="314"/>
        <v>#N/A</v>
      </c>
      <c r="CN201" s="96" t="e">
        <f t="shared" si="315"/>
        <v>#N/A</v>
      </c>
      <c r="CO201" s="112">
        <f t="shared" si="316"/>
        <v>0</v>
      </c>
    </row>
    <row r="202" spans="1:93" ht="15.75" thickBot="1" x14ac:dyDescent="0.3">
      <c r="A202" s="111">
        <f>IF('3'!$AC$9="",B202,NA())</f>
        <v>0</v>
      </c>
      <c r="B202" s="117">
        <v>0</v>
      </c>
      <c r="C202" s="118">
        <v>30</v>
      </c>
      <c r="D202" s="144">
        <v>50000</v>
      </c>
      <c r="E202" s="118"/>
      <c r="F202" s="118"/>
      <c r="G202" s="118"/>
      <c r="H202" s="118"/>
      <c r="I202" s="118"/>
      <c r="J202" s="118"/>
      <c r="K202" s="118"/>
      <c r="L202" s="117"/>
      <c r="M202" s="118"/>
      <c r="N202" s="118"/>
      <c r="O202" s="118"/>
      <c r="P202" s="144"/>
      <c r="Q202" s="117"/>
      <c r="R202" s="118"/>
      <c r="S202" s="118"/>
      <c r="T202" s="118"/>
      <c r="U202" s="118"/>
      <c r="V202" s="144"/>
      <c r="W202" s="118"/>
      <c r="X202" s="118"/>
      <c r="Y202" s="118"/>
      <c r="Z202" s="118"/>
      <c r="AA202" s="118"/>
      <c r="AB202" s="118"/>
      <c r="AC202" s="118"/>
      <c r="AD202" s="117"/>
      <c r="AE202" s="145"/>
      <c r="AF202" s="145"/>
      <c r="AG202" s="145"/>
      <c r="AH202" s="145"/>
      <c r="AI202" s="145"/>
      <c r="AJ202" s="144"/>
      <c r="AK202" s="117"/>
      <c r="AL202" s="118"/>
      <c r="AM202" s="118"/>
      <c r="AN202" s="144"/>
      <c r="AO202" s="118"/>
      <c r="AP202" s="118"/>
      <c r="AQ202" s="118"/>
      <c r="AR202" s="118"/>
      <c r="AS202" s="118"/>
      <c r="AT202" s="117"/>
      <c r="AU202" s="145"/>
      <c r="AV202" s="145"/>
      <c r="AW202" s="145"/>
      <c r="AX202" s="146"/>
      <c r="AY202" s="88"/>
      <c r="AZ202" s="89"/>
      <c r="BA202" s="89"/>
      <c r="BB202" s="89"/>
      <c r="BC202" s="89"/>
      <c r="BD202" s="90"/>
      <c r="BE202" s="89"/>
      <c r="BF202" s="158">
        <f t="shared" si="288"/>
        <v>0</v>
      </c>
      <c r="BG202" s="159">
        <f t="shared" si="289"/>
        <v>0</v>
      </c>
      <c r="BH202" s="160">
        <f t="shared" si="290"/>
        <v>0</v>
      </c>
      <c r="BI202" s="117">
        <f t="shared" si="291"/>
        <v>1</v>
      </c>
      <c r="BJ202" s="118">
        <f t="shared" si="292"/>
        <v>1</v>
      </c>
      <c r="BK202" s="131" t="e">
        <f t="shared" si="293"/>
        <v>#DIV/0!</v>
      </c>
      <c r="BL202" s="131">
        <f t="shared" si="294"/>
        <v>1</v>
      </c>
      <c r="BM202" s="155">
        <f t="shared" si="295"/>
        <v>1</v>
      </c>
      <c r="BN202" s="118">
        <f t="shared" si="296"/>
        <v>1</v>
      </c>
      <c r="BO202" s="131" t="e">
        <f t="shared" si="297"/>
        <v>#DIV/0!</v>
      </c>
      <c r="BP202" s="156">
        <f t="shared" si="298"/>
        <v>1</v>
      </c>
      <c r="BQ202" s="143" t="e">
        <f t="shared" si="299"/>
        <v>#DIV/0!</v>
      </c>
      <c r="BR202" s="36">
        <f t="shared" si="300"/>
        <v>0</v>
      </c>
      <c r="BS202" s="37" t="e">
        <f t="shared" si="301"/>
        <v>#DIV/0!</v>
      </c>
      <c r="BT202" s="37" t="e">
        <f t="shared" si="302"/>
        <v>#DIV/0!</v>
      </c>
      <c r="BU202" s="37">
        <f t="shared" si="303"/>
        <v>0</v>
      </c>
      <c r="BV202" s="37"/>
      <c r="BW202" s="37">
        <f t="shared" si="284"/>
        <v>0.9944590615391693</v>
      </c>
      <c r="BX202" s="37">
        <f t="shared" si="304"/>
        <v>0.9944590615391693</v>
      </c>
      <c r="BY202" s="37">
        <f t="shared" si="305"/>
        <v>0</v>
      </c>
      <c r="BZ202" s="37" t="e">
        <f t="shared" si="306"/>
        <v>#DIV/0!</v>
      </c>
      <c r="CA202" s="37" t="e">
        <f t="shared" si="307"/>
        <v>#DIV/0!</v>
      </c>
      <c r="CB202" s="35" t="e">
        <f t="shared" si="308"/>
        <v>#DIV/0!</v>
      </c>
      <c r="CC202" s="88" t="e">
        <f t="shared" si="309"/>
        <v>#DIV/0!</v>
      </c>
      <c r="CD202" s="89" t="e">
        <f t="shared" si="310"/>
        <v>#DIV/0!</v>
      </c>
      <c r="CE202" s="90" t="e">
        <f t="shared" si="311"/>
        <v>#DIV/0!</v>
      </c>
      <c r="CF202" s="118">
        <f>CG202</f>
        <v>0</v>
      </c>
      <c r="CG202" s="117"/>
      <c r="CH202" s="118"/>
      <c r="CI202" s="118"/>
      <c r="CJ202" s="118"/>
      <c r="CK202" s="118"/>
      <c r="CL202" s="118">
        <f>SQRT(2*CONVERT(CJ202, "psi", "Pa") / $J$1)</f>
        <v>0</v>
      </c>
      <c r="CM202" s="118">
        <f t="shared" si="314"/>
        <v>0</v>
      </c>
      <c r="CN202" s="118">
        <f t="shared" si="315"/>
        <v>0</v>
      </c>
      <c r="CO202" s="118">
        <f t="shared" si="316"/>
        <v>0</v>
      </c>
    </row>
    <row r="203" spans="1:93" x14ac:dyDescent="0.25">
      <c r="A203" s="111">
        <f>IF('3'!$AC$9="",-B203,NA())</f>
        <v>-0.1</v>
      </c>
      <c r="B203" s="110">
        <v>0.1</v>
      </c>
      <c r="C203" s="110">
        <v>30</v>
      </c>
      <c r="D203" s="115">
        <v>50000</v>
      </c>
      <c r="E203" s="110"/>
      <c r="F203" s="110"/>
      <c r="G203" s="110"/>
      <c r="H203" s="110"/>
      <c r="I203" s="110"/>
      <c r="J203" s="110"/>
      <c r="K203" s="109"/>
      <c r="L203" s="114"/>
      <c r="M203" s="110"/>
      <c r="N203" s="110"/>
      <c r="O203" s="110"/>
      <c r="P203" s="115"/>
      <c r="Q203" s="114"/>
      <c r="R203" s="110"/>
      <c r="S203" s="110"/>
      <c r="T203" s="110"/>
      <c r="U203" s="110"/>
      <c r="V203" s="115"/>
      <c r="W203" s="110"/>
      <c r="X203" s="110"/>
      <c r="Y203" s="110"/>
      <c r="Z203" s="110"/>
      <c r="AA203" s="110"/>
      <c r="AB203" s="110"/>
      <c r="AC203" s="110"/>
      <c r="AD203" s="114"/>
      <c r="AE203" s="3"/>
      <c r="AF203" s="3"/>
      <c r="AG203" s="3"/>
      <c r="AH203" s="3"/>
      <c r="AI203" s="3"/>
      <c r="AJ203" s="115"/>
      <c r="AK203" s="114"/>
      <c r="AL203" s="110"/>
      <c r="AM203" s="110"/>
      <c r="AN203" s="115"/>
      <c r="AO203" s="110"/>
      <c r="AP203" s="110"/>
      <c r="AQ203" s="110"/>
      <c r="AR203" s="110"/>
      <c r="AS203" s="110"/>
      <c r="AT203" s="114"/>
      <c r="AU203" s="3"/>
      <c r="AV203" s="3"/>
      <c r="AW203" s="3"/>
      <c r="AX203" s="3"/>
      <c r="AY203" s="113"/>
      <c r="BD203" s="84"/>
      <c r="BF203" s="157">
        <f t="shared" si="288"/>
        <v>0</v>
      </c>
      <c r="BG203" s="157">
        <f t="shared" si="289"/>
        <v>0</v>
      </c>
      <c r="BH203" s="157">
        <f t="shared" si="290"/>
        <v>0</v>
      </c>
      <c r="BI203" s="114">
        <f t="shared" si="291"/>
        <v>1</v>
      </c>
      <c r="BJ203" s="110">
        <f t="shared" si="292"/>
        <v>1</v>
      </c>
      <c r="BK203" s="116" t="e">
        <f t="shared" si="293"/>
        <v>#DIV/0!</v>
      </c>
      <c r="BL203" s="116">
        <f t="shared" si="294"/>
        <v>1</v>
      </c>
      <c r="BM203" s="154">
        <f t="shared" si="295"/>
        <v>1</v>
      </c>
      <c r="BN203" s="110">
        <f t="shared" si="296"/>
        <v>1</v>
      </c>
      <c r="BO203" s="116" t="e">
        <f t="shared" si="297"/>
        <v>#DIV/0!</v>
      </c>
      <c r="BP203" s="153">
        <f t="shared" si="298"/>
        <v>1</v>
      </c>
      <c r="BQ203" s="141" t="e">
        <f t="shared" si="299"/>
        <v>#DIV/0!</v>
      </c>
      <c r="BR203" s="111">
        <f t="shared" si="300"/>
        <v>0</v>
      </c>
      <c r="BS203" s="96" t="e">
        <f t="shared" si="301"/>
        <v>#DIV/0!</v>
      </c>
      <c r="BT203" s="96" t="e">
        <f t="shared" si="302"/>
        <v>#DIV/0!</v>
      </c>
      <c r="BU203" s="96">
        <f t="shared" si="303"/>
        <v>0</v>
      </c>
      <c r="BV203" s="96"/>
      <c r="BW203" s="96">
        <f t="shared" si="284"/>
        <v>0.97743092137960175</v>
      </c>
      <c r="BX203" s="96">
        <f t="shared" si="304"/>
        <v>0.97743092137960175</v>
      </c>
      <c r="BY203" s="96">
        <f t="shared" si="305"/>
        <v>0</v>
      </c>
      <c r="BZ203" s="96" t="e">
        <f t="shared" si="306"/>
        <v>#DIV/0!</v>
      </c>
      <c r="CA203" s="96" t="e">
        <f t="shared" si="307"/>
        <v>#DIV/0!</v>
      </c>
      <c r="CB203" s="112" t="e">
        <f t="shared" si="308"/>
        <v>#DIV/0!</v>
      </c>
      <c r="CC203" s="113" t="e">
        <f t="shared" si="309"/>
        <v>#DIV/0!</v>
      </c>
      <c r="CD203" s="13" t="e">
        <f t="shared" si="310"/>
        <v>#DIV/0!</v>
      </c>
      <c r="CE203" s="84" t="e">
        <f t="shared" si="311"/>
        <v>#DIV/0!</v>
      </c>
      <c r="CF203" s="115">
        <f>-CG203</f>
        <v>0</v>
      </c>
      <c r="CG203" s="110"/>
      <c r="CH203" s="96"/>
      <c r="CI203" s="96"/>
      <c r="CJ203" s="110"/>
      <c r="CK203" s="110"/>
      <c r="CL203" s="96">
        <f t="shared" ref="CL203:CL212" si="317">SQRT(2*CONVERT(CJ203, "psi", "Pa") / $J$1)</f>
        <v>0</v>
      </c>
      <c r="CM203" s="96" t="e">
        <f t="shared" si="314"/>
        <v>#N/A</v>
      </c>
      <c r="CN203" s="110" t="e">
        <f t="shared" si="315"/>
        <v>#N/A</v>
      </c>
      <c r="CO203" s="112">
        <f t="shared" si="316"/>
        <v>0</v>
      </c>
    </row>
    <row r="204" spans="1:93" x14ac:dyDescent="0.25">
      <c r="A204" s="111">
        <f>IF('3'!$AC$9="",-B204,NA())</f>
        <v>-0.2</v>
      </c>
      <c r="B204" s="110">
        <v>0.2</v>
      </c>
      <c r="C204" s="110">
        <v>30</v>
      </c>
      <c r="D204" s="115">
        <v>50000</v>
      </c>
      <c r="E204" s="110"/>
      <c r="F204" s="110"/>
      <c r="G204" s="110"/>
      <c r="H204" s="110"/>
      <c r="I204" s="110"/>
      <c r="J204" s="110"/>
      <c r="K204" s="109"/>
      <c r="L204" s="114"/>
      <c r="M204" s="110"/>
      <c r="N204" s="110"/>
      <c r="O204" s="110"/>
      <c r="P204" s="115"/>
      <c r="Q204" s="114"/>
      <c r="R204" s="110"/>
      <c r="S204" s="110"/>
      <c r="T204" s="110"/>
      <c r="U204" s="110"/>
      <c r="V204" s="115"/>
      <c r="W204" s="110"/>
      <c r="X204" s="110"/>
      <c r="Y204" s="110"/>
      <c r="Z204" s="110"/>
      <c r="AA204" s="110"/>
      <c r="AB204" s="110"/>
      <c r="AC204" s="110"/>
      <c r="AD204" s="114"/>
      <c r="AE204" s="3"/>
      <c r="AF204" s="3"/>
      <c r="AG204" s="3"/>
      <c r="AH204" s="3"/>
      <c r="AI204" s="3"/>
      <c r="AJ204" s="115"/>
      <c r="AK204" s="114"/>
      <c r="AL204" s="110"/>
      <c r="AM204" s="110"/>
      <c r="AN204" s="115"/>
      <c r="AO204" s="110"/>
      <c r="AP204" s="110"/>
      <c r="AQ204" s="110"/>
      <c r="AR204" s="110"/>
      <c r="AS204" s="110"/>
      <c r="AT204" s="114"/>
      <c r="AU204" s="3"/>
      <c r="AV204" s="3"/>
      <c r="AW204" s="3"/>
      <c r="AX204" s="3"/>
      <c r="AY204" s="113"/>
      <c r="BD204" s="84"/>
      <c r="BF204" s="157">
        <f t="shared" si="288"/>
        <v>0</v>
      </c>
      <c r="BG204" s="157">
        <f t="shared" si="289"/>
        <v>0</v>
      </c>
      <c r="BH204" s="157">
        <f t="shared" si="290"/>
        <v>0</v>
      </c>
      <c r="BI204" s="114">
        <f t="shared" si="291"/>
        <v>1</v>
      </c>
      <c r="BJ204" s="110">
        <f t="shared" si="292"/>
        <v>1</v>
      </c>
      <c r="BK204" s="116" t="e">
        <f t="shared" si="293"/>
        <v>#DIV/0!</v>
      </c>
      <c r="BL204" s="116">
        <f t="shared" si="294"/>
        <v>1</v>
      </c>
      <c r="BM204" s="154">
        <f t="shared" si="295"/>
        <v>1</v>
      </c>
      <c r="BN204" s="110">
        <f t="shared" si="296"/>
        <v>1</v>
      </c>
      <c r="BO204" s="116" t="e">
        <f t="shared" si="297"/>
        <v>#DIV/0!</v>
      </c>
      <c r="BP204" s="153">
        <f t="shared" si="298"/>
        <v>1</v>
      </c>
      <c r="BQ204" s="141" t="e">
        <f t="shared" si="299"/>
        <v>#DIV/0!</v>
      </c>
      <c r="BR204" s="111">
        <f t="shared" si="300"/>
        <v>0</v>
      </c>
      <c r="BS204" s="96" t="e">
        <f t="shared" si="301"/>
        <v>#DIV/0!</v>
      </c>
      <c r="BT204" s="96" t="e">
        <f t="shared" si="302"/>
        <v>#DIV/0!</v>
      </c>
      <c r="BU204" s="96">
        <f t="shared" si="303"/>
        <v>0</v>
      </c>
      <c r="BV204" s="96"/>
      <c r="BW204" s="96">
        <f t="shared" si="284"/>
        <v>0.95874001371920414</v>
      </c>
      <c r="BX204" s="96">
        <f t="shared" si="304"/>
        <v>0.95874001371920414</v>
      </c>
      <c r="BY204" s="96">
        <f t="shared" si="305"/>
        <v>0</v>
      </c>
      <c r="BZ204" s="96" t="e">
        <f t="shared" si="306"/>
        <v>#DIV/0!</v>
      </c>
      <c r="CA204" s="96" t="e">
        <f t="shared" si="307"/>
        <v>#DIV/0!</v>
      </c>
      <c r="CB204" s="112" t="e">
        <f t="shared" si="308"/>
        <v>#DIV/0!</v>
      </c>
      <c r="CC204" s="113" t="e">
        <f t="shared" si="309"/>
        <v>#DIV/0!</v>
      </c>
      <c r="CD204" s="13" t="e">
        <f t="shared" si="310"/>
        <v>#DIV/0!</v>
      </c>
      <c r="CE204" s="84" t="e">
        <f t="shared" si="311"/>
        <v>#DIV/0!</v>
      </c>
      <c r="CF204" s="115">
        <f t="shared" ref="CF204:CF212" si="318">-CG204</f>
        <v>0</v>
      </c>
      <c r="CG204" s="110"/>
      <c r="CH204" s="96"/>
      <c r="CI204" s="96"/>
      <c r="CJ204" s="110"/>
      <c r="CK204" s="110"/>
      <c r="CL204" s="96">
        <f t="shared" si="317"/>
        <v>0</v>
      </c>
      <c r="CM204" s="96" t="e">
        <f t="shared" si="314"/>
        <v>#N/A</v>
      </c>
      <c r="CN204" s="110" t="e">
        <f t="shared" si="315"/>
        <v>#N/A</v>
      </c>
      <c r="CO204" s="112">
        <f t="shared" si="316"/>
        <v>0</v>
      </c>
    </row>
    <row r="205" spans="1:93" x14ac:dyDescent="0.25">
      <c r="A205" s="111">
        <f>IF('3'!$AC$9="",-B205,NA())</f>
        <v>-0.3</v>
      </c>
      <c r="B205" s="110">
        <v>0.3</v>
      </c>
      <c r="C205" s="110">
        <v>30</v>
      </c>
      <c r="D205" s="115">
        <v>50000</v>
      </c>
      <c r="E205" s="110"/>
      <c r="F205" s="110"/>
      <c r="G205" s="110"/>
      <c r="H205" s="110"/>
      <c r="I205" s="110"/>
      <c r="J205" s="110"/>
      <c r="K205" s="109"/>
      <c r="L205" s="114"/>
      <c r="M205" s="110"/>
      <c r="N205" s="110"/>
      <c r="O205" s="110"/>
      <c r="P205" s="115"/>
      <c r="Q205" s="114"/>
      <c r="R205" s="110"/>
      <c r="S205" s="110"/>
      <c r="T205" s="110"/>
      <c r="U205" s="110"/>
      <c r="V205" s="115"/>
      <c r="W205" s="110"/>
      <c r="X205" s="110"/>
      <c r="Y205" s="110"/>
      <c r="Z205" s="110"/>
      <c r="AA205" s="110"/>
      <c r="AB205" s="110"/>
      <c r="AC205" s="110"/>
      <c r="AD205" s="114"/>
      <c r="AE205" s="3"/>
      <c r="AF205" s="3"/>
      <c r="AG205" s="3"/>
      <c r="AH205" s="3"/>
      <c r="AI205" s="3"/>
      <c r="AJ205" s="115"/>
      <c r="AK205" s="114"/>
      <c r="AL205" s="110"/>
      <c r="AM205" s="110"/>
      <c r="AN205" s="115"/>
      <c r="AO205" s="110"/>
      <c r="AP205" s="110"/>
      <c r="AQ205" s="110"/>
      <c r="AR205" s="110"/>
      <c r="AS205" s="110"/>
      <c r="AT205" s="114"/>
      <c r="AU205" s="3"/>
      <c r="AV205" s="3"/>
      <c r="AW205" s="3"/>
      <c r="AX205" s="3"/>
      <c r="AY205" s="113"/>
      <c r="BD205" s="84"/>
      <c r="BF205" s="157">
        <f t="shared" si="288"/>
        <v>0</v>
      </c>
      <c r="BG205" s="157">
        <f t="shared" si="289"/>
        <v>0</v>
      </c>
      <c r="BH205" s="157">
        <f t="shared" si="290"/>
        <v>0</v>
      </c>
      <c r="BI205" s="114">
        <f t="shared" si="291"/>
        <v>1</v>
      </c>
      <c r="BJ205" s="110">
        <f t="shared" si="292"/>
        <v>1</v>
      </c>
      <c r="BK205" s="116" t="e">
        <f t="shared" si="293"/>
        <v>#DIV/0!</v>
      </c>
      <c r="BL205" s="116">
        <f t="shared" si="294"/>
        <v>1</v>
      </c>
      <c r="BM205" s="154">
        <f t="shared" si="295"/>
        <v>1</v>
      </c>
      <c r="BN205" s="110">
        <f t="shared" si="296"/>
        <v>1</v>
      </c>
      <c r="BO205" s="116" t="e">
        <f t="shared" si="297"/>
        <v>#DIV/0!</v>
      </c>
      <c r="BP205" s="153">
        <f t="shared" si="298"/>
        <v>1</v>
      </c>
      <c r="BQ205" s="141" t="e">
        <f t="shared" si="299"/>
        <v>#DIV/0!</v>
      </c>
      <c r="BR205" s="111">
        <f t="shared" si="300"/>
        <v>0</v>
      </c>
      <c r="BS205" s="96" t="e">
        <f t="shared" si="301"/>
        <v>#DIV/0!</v>
      </c>
      <c r="BT205" s="96" t="e">
        <f t="shared" si="302"/>
        <v>#DIV/0!</v>
      </c>
      <c r="BU205" s="96">
        <f t="shared" si="303"/>
        <v>0</v>
      </c>
      <c r="BV205" s="96"/>
      <c r="BW205" s="96">
        <f t="shared" si="284"/>
        <v>0.93798193514099792</v>
      </c>
      <c r="BX205" s="96">
        <f t="shared" si="304"/>
        <v>0.93798193514099792</v>
      </c>
      <c r="BY205" s="96">
        <f t="shared" si="305"/>
        <v>0</v>
      </c>
      <c r="BZ205" s="96" t="e">
        <f t="shared" si="306"/>
        <v>#DIV/0!</v>
      </c>
      <c r="CA205" s="96" t="e">
        <f t="shared" si="307"/>
        <v>#DIV/0!</v>
      </c>
      <c r="CB205" s="112" t="e">
        <f t="shared" si="308"/>
        <v>#DIV/0!</v>
      </c>
      <c r="CC205" s="113" t="e">
        <f t="shared" si="309"/>
        <v>#DIV/0!</v>
      </c>
      <c r="CD205" s="13" t="e">
        <f t="shared" si="310"/>
        <v>#DIV/0!</v>
      </c>
      <c r="CE205" s="84" t="e">
        <f t="shared" si="311"/>
        <v>#DIV/0!</v>
      </c>
      <c r="CF205" s="115">
        <f t="shared" si="318"/>
        <v>0</v>
      </c>
      <c r="CG205" s="110"/>
      <c r="CH205" s="96"/>
      <c r="CI205" s="96"/>
      <c r="CJ205" s="110"/>
      <c r="CK205" s="110"/>
      <c r="CL205" s="96">
        <f t="shared" si="317"/>
        <v>0</v>
      </c>
      <c r="CM205" s="96" t="e">
        <f t="shared" si="314"/>
        <v>#N/A</v>
      </c>
      <c r="CN205" s="110" t="e">
        <f t="shared" si="315"/>
        <v>#N/A</v>
      </c>
      <c r="CO205" s="112">
        <f t="shared" si="316"/>
        <v>0</v>
      </c>
    </row>
    <row r="206" spans="1:93" x14ac:dyDescent="0.25">
      <c r="A206" s="111">
        <f>IF('3'!$AC$9="",-B206,NA())</f>
        <v>-0.4</v>
      </c>
      <c r="B206" s="110">
        <v>0.4</v>
      </c>
      <c r="C206" s="110">
        <v>30</v>
      </c>
      <c r="D206" s="115">
        <v>50000</v>
      </c>
      <c r="E206" s="110"/>
      <c r="F206" s="110"/>
      <c r="G206" s="110"/>
      <c r="H206" s="110"/>
      <c r="I206" s="110"/>
      <c r="J206" s="110"/>
      <c r="K206" s="109"/>
      <c r="L206" s="114"/>
      <c r="M206" s="110"/>
      <c r="N206" s="110"/>
      <c r="O206" s="110"/>
      <c r="P206" s="115"/>
      <c r="Q206" s="114"/>
      <c r="R206" s="110"/>
      <c r="S206" s="110"/>
      <c r="T206" s="110"/>
      <c r="U206" s="110"/>
      <c r="V206" s="115"/>
      <c r="W206" s="110"/>
      <c r="X206" s="110"/>
      <c r="Y206" s="110"/>
      <c r="Z206" s="110"/>
      <c r="AA206" s="110"/>
      <c r="AB206" s="110"/>
      <c r="AC206" s="110"/>
      <c r="AD206" s="114"/>
      <c r="AE206" s="3"/>
      <c r="AF206" s="3"/>
      <c r="AG206" s="3"/>
      <c r="AH206" s="3"/>
      <c r="AI206" s="3"/>
      <c r="AJ206" s="115"/>
      <c r="AK206" s="114"/>
      <c r="AL206" s="110"/>
      <c r="AM206" s="110"/>
      <c r="AN206" s="115"/>
      <c r="AO206" s="110"/>
      <c r="AP206" s="110"/>
      <c r="AQ206" s="110"/>
      <c r="AR206" s="110"/>
      <c r="AS206" s="110"/>
      <c r="AT206" s="114"/>
      <c r="AU206" s="3"/>
      <c r="AV206" s="3"/>
      <c r="AW206" s="3"/>
      <c r="AX206" s="3"/>
      <c r="AY206" s="113"/>
      <c r="BD206" s="84"/>
      <c r="BF206" s="157">
        <f t="shared" si="288"/>
        <v>0</v>
      </c>
      <c r="BG206" s="157">
        <f t="shared" si="289"/>
        <v>0</v>
      </c>
      <c r="BH206" s="157">
        <f t="shared" si="290"/>
        <v>0</v>
      </c>
      <c r="BI206" s="114">
        <f t="shared" si="291"/>
        <v>1</v>
      </c>
      <c r="BJ206" s="110">
        <f t="shared" si="292"/>
        <v>1</v>
      </c>
      <c r="BK206" s="116" t="e">
        <f t="shared" si="293"/>
        <v>#DIV/0!</v>
      </c>
      <c r="BL206" s="116">
        <f t="shared" si="294"/>
        <v>1</v>
      </c>
      <c r="BM206" s="154">
        <f t="shared" si="295"/>
        <v>1</v>
      </c>
      <c r="BN206" s="110">
        <f t="shared" si="296"/>
        <v>1</v>
      </c>
      <c r="BO206" s="116" t="e">
        <f t="shared" si="297"/>
        <v>#DIV/0!</v>
      </c>
      <c r="BP206" s="153">
        <f t="shared" si="298"/>
        <v>1</v>
      </c>
      <c r="BQ206" s="141" t="e">
        <f t="shared" si="299"/>
        <v>#DIV/0!</v>
      </c>
      <c r="BR206" s="111">
        <f t="shared" si="300"/>
        <v>0</v>
      </c>
      <c r="BS206" s="96" t="e">
        <f t="shared" si="301"/>
        <v>#DIV/0!</v>
      </c>
      <c r="BT206" s="96" t="e">
        <f t="shared" si="302"/>
        <v>#DIV/0!</v>
      </c>
      <c r="BU206" s="96">
        <f t="shared" si="303"/>
        <v>0</v>
      </c>
      <c r="BV206" s="96"/>
      <c r="BW206" s="96">
        <f t="shared" si="284"/>
        <v>0.91457676741031746</v>
      </c>
      <c r="BX206" s="96">
        <f t="shared" si="304"/>
        <v>0.91457676741031746</v>
      </c>
      <c r="BY206" s="96">
        <f t="shared" si="305"/>
        <v>0</v>
      </c>
      <c r="BZ206" s="96" t="e">
        <f t="shared" si="306"/>
        <v>#DIV/0!</v>
      </c>
      <c r="CA206" s="96" t="e">
        <f t="shared" si="307"/>
        <v>#DIV/0!</v>
      </c>
      <c r="CB206" s="112" t="e">
        <f t="shared" si="308"/>
        <v>#DIV/0!</v>
      </c>
      <c r="CC206" s="113" t="e">
        <f t="shared" si="309"/>
        <v>#DIV/0!</v>
      </c>
      <c r="CD206" s="13" t="e">
        <f t="shared" si="310"/>
        <v>#DIV/0!</v>
      </c>
      <c r="CE206" s="84" t="e">
        <f t="shared" si="311"/>
        <v>#DIV/0!</v>
      </c>
      <c r="CF206" s="115">
        <f t="shared" si="318"/>
        <v>0</v>
      </c>
      <c r="CG206" s="110"/>
      <c r="CH206" s="96"/>
      <c r="CI206" s="96"/>
      <c r="CJ206" s="110"/>
      <c r="CK206" s="110"/>
      <c r="CL206" s="96">
        <f t="shared" si="317"/>
        <v>0</v>
      </c>
      <c r="CM206" s="96" t="e">
        <f t="shared" si="314"/>
        <v>#N/A</v>
      </c>
      <c r="CN206" s="110" t="e">
        <f t="shared" si="315"/>
        <v>#N/A</v>
      </c>
      <c r="CO206" s="112">
        <f t="shared" si="316"/>
        <v>0</v>
      </c>
    </row>
    <row r="207" spans="1:93" x14ac:dyDescent="0.25">
      <c r="A207" s="111">
        <f>IF('3'!$AC$9="",-B207,NA())</f>
        <v>-0.5</v>
      </c>
      <c r="B207" s="110">
        <v>0.5</v>
      </c>
      <c r="C207" s="110">
        <v>30</v>
      </c>
      <c r="D207" s="115">
        <v>50000</v>
      </c>
      <c r="E207" s="110"/>
      <c r="F207" s="110"/>
      <c r="G207" s="110"/>
      <c r="H207" s="110"/>
      <c r="I207" s="110"/>
      <c r="J207" s="110"/>
      <c r="K207" s="109"/>
      <c r="L207" s="114"/>
      <c r="M207" s="110"/>
      <c r="N207" s="110"/>
      <c r="O207" s="110"/>
      <c r="P207" s="115"/>
      <c r="Q207" s="114"/>
      <c r="R207" s="110"/>
      <c r="S207" s="110"/>
      <c r="T207" s="110"/>
      <c r="U207" s="110"/>
      <c r="V207" s="115"/>
      <c r="W207" s="110"/>
      <c r="X207" s="110"/>
      <c r="Y207" s="110"/>
      <c r="Z207" s="110"/>
      <c r="AA207" s="110"/>
      <c r="AB207" s="110"/>
      <c r="AC207" s="110"/>
      <c r="AD207" s="114"/>
      <c r="AE207" s="3"/>
      <c r="AF207" s="3"/>
      <c r="AG207" s="3"/>
      <c r="AH207" s="3"/>
      <c r="AI207" s="3"/>
      <c r="AJ207" s="115"/>
      <c r="AK207" s="114"/>
      <c r="AL207" s="110"/>
      <c r="AM207" s="110"/>
      <c r="AN207" s="115"/>
      <c r="AO207" s="110"/>
      <c r="AP207" s="110"/>
      <c r="AQ207" s="110"/>
      <c r="AR207" s="110"/>
      <c r="AS207" s="110"/>
      <c r="AT207" s="114"/>
      <c r="AU207" s="3"/>
      <c r="AV207" s="3"/>
      <c r="AW207" s="3"/>
      <c r="AX207" s="3"/>
      <c r="AY207" s="113"/>
      <c r="BD207" s="84"/>
      <c r="BF207" s="157">
        <f t="shared" si="288"/>
        <v>0</v>
      </c>
      <c r="BG207" s="157">
        <f t="shared" si="289"/>
        <v>0</v>
      </c>
      <c r="BH207" s="157">
        <f t="shared" si="290"/>
        <v>0</v>
      </c>
      <c r="BI207" s="114">
        <f t="shared" si="291"/>
        <v>1</v>
      </c>
      <c r="BJ207" s="110">
        <f t="shared" si="292"/>
        <v>1</v>
      </c>
      <c r="BK207" s="116" t="e">
        <f t="shared" si="293"/>
        <v>#DIV/0!</v>
      </c>
      <c r="BL207" s="116">
        <f t="shared" si="294"/>
        <v>1</v>
      </c>
      <c r="BM207" s="154">
        <f t="shared" si="295"/>
        <v>1</v>
      </c>
      <c r="BN207" s="110">
        <f t="shared" si="296"/>
        <v>1</v>
      </c>
      <c r="BO207" s="116" t="e">
        <f t="shared" si="297"/>
        <v>#DIV/0!</v>
      </c>
      <c r="BP207" s="153">
        <f t="shared" si="298"/>
        <v>1</v>
      </c>
      <c r="BQ207" s="141" t="e">
        <f t="shared" si="299"/>
        <v>#DIV/0!</v>
      </c>
      <c r="BR207" s="111">
        <f t="shared" si="300"/>
        <v>0</v>
      </c>
      <c r="BS207" s="96" t="e">
        <f t="shared" si="301"/>
        <v>#DIV/0!</v>
      </c>
      <c r="BT207" s="96" t="e">
        <f t="shared" si="302"/>
        <v>#DIV/0!</v>
      </c>
      <c r="BU207" s="96">
        <f t="shared" si="303"/>
        <v>0</v>
      </c>
      <c r="BV207" s="96"/>
      <c r="BW207" s="96">
        <f t="shared" si="284"/>
        <v>0.88764704592069232</v>
      </c>
      <c r="BX207" s="96">
        <f t="shared" si="304"/>
        <v>0.88764704592069232</v>
      </c>
      <c r="BY207" s="96">
        <f t="shared" si="305"/>
        <v>0</v>
      </c>
      <c r="BZ207" s="96" t="e">
        <f t="shared" si="306"/>
        <v>#DIV/0!</v>
      </c>
      <c r="CA207" s="96" t="e">
        <f t="shared" si="307"/>
        <v>#DIV/0!</v>
      </c>
      <c r="CB207" s="112" t="e">
        <f t="shared" si="308"/>
        <v>#DIV/0!</v>
      </c>
      <c r="CC207" s="113" t="e">
        <f t="shared" si="309"/>
        <v>#DIV/0!</v>
      </c>
      <c r="CD207" s="13" t="e">
        <f t="shared" si="310"/>
        <v>#DIV/0!</v>
      </c>
      <c r="CE207" s="84" t="e">
        <f t="shared" si="311"/>
        <v>#DIV/0!</v>
      </c>
      <c r="CF207" s="115">
        <f t="shared" si="318"/>
        <v>0</v>
      </c>
      <c r="CG207" s="110"/>
      <c r="CH207" s="96"/>
      <c r="CI207" s="96"/>
      <c r="CJ207" s="110"/>
      <c r="CK207" s="110"/>
      <c r="CL207" s="96">
        <f t="shared" si="317"/>
        <v>0</v>
      </c>
      <c r="CM207" s="96" t="e">
        <f t="shared" si="314"/>
        <v>#N/A</v>
      </c>
      <c r="CN207" s="110" t="e">
        <f t="shared" si="315"/>
        <v>#N/A</v>
      </c>
      <c r="CO207" s="112">
        <f t="shared" si="316"/>
        <v>0</v>
      </c>
    </row>
    <row r="208" spans="1:93" x14ac:dyDescent="0.25">
      <c r="A208" s="111">
        <f>IF('3'!$AC$9="",-B208,NA())</f>
        <v>-0.6</v>
      </c>
      <c r="B208" s="110">
        <v>0.6</v>
      </c>
      <c r="C208" s="110">
        <v>30</v>
      </c>
      <c r="D208" s="115">
        <v>50000</v>
      </c>
      <c r="E208" s="110"/>
      <c r="F208" s="110"/>
      <c r="G208" s="110"/>
      <c r="H208" s="110"/>
      <c r="I208" s="110"/>
      <c r="J208" s="110"/>
      <c r="K208" s="109"/>
      <c r="L208" s="114"/>
      <c r="M208" s="110"/>
      <c r="N208" s="110"/>
      <c r="O208" s="110"/>
      <c r="P208" s="115"/>
      <c r="Q208" s="114"/>
      <c r="R208" s="110"/>
      <c r="S208" s="110"/>
      <c r="T208" s="110"/>
      <c r="U208" s="110"/>
      <c r="V208" s="115"/>
      <c r="W208" s="110"/>
      <c r="X208" s="110"/>
      <c r="Y208" s="110"/>
      <c r="Z208" s="110"/>
      <c r="AA208" s="110"/>
      <c r="AB208" s="110"/>
      <c r="AC208" s="110"/>
      <c r="AD208" s="114"/>
      <c r="AE208" s="3"/>
      <c r="AF208" s="3"/>
      <c r="AG208" s="3"/>
      <c r="AH208" s="3"/>
      <c r="AI208" s="3"/>
      <c r="AJ208" s="115"/>
      <c r="AK208" s="114"/>
      <c r="AL208" s="110"/>
      <c r="AM208" s="110"/>
      <c r="AN208" s="115"/>
      <c r="AO208" s="110"/>
      <c r="AP208" s="110"/>
      <c r="AQ208" s="110"/>
      <c r="AR208" s="110"/>
      <c r="AS208" s="110"/>
      <c r="AT208" s="114"/>
      <c r="AU208" s="3"/>
      <c r="AV208" s="3"/>
      <c r="AW208" s="3"/>
      <c r="AX208" s="3"/>
      <c r="AY208" s="113"/>
      <c r="BD208" s="84"/>
      <c r="BF208" s="157">
        <f t="shared" si="288"/>
        <v>0</v>
      </c>
      <c r="BG208" s="157">
        <f t="shared" si="289"/>
        <v>0</v>
      </c>
      <c r="BH208" s="157">
        <f t="shared" si="290"/>
        <v>0</v>
      </c>
      <c r="BI208" s="114">
        <f t="shared" si="291"/>
        <v>1</v>
      </c>
      <c r="BJ208" s="110">
        <f t="shared" si="292"/>
        <v>1</v>
      </c>
      <c r="BK208" s="116" t="e">
        <f t="shared" si="293"/>
        <v>#DIV/0!</v>
      </c>
      <c r="BL208" s="116">
        <f t="shared" si="294"/>
        <v>1</v>
      </c>
      <c r="BM208" s="154">
        <f t="shared" si="295"/>
        <v>1</v>
      </c>
      <c r="BN208" s="110">
        <f t="shared" si="296"/>
        <v>1</v>
      </c>
      <c r="BO208" s="116" t="e">
        <f t="shared" si="297"/>
        <v>#DIV/0!</v>
      </c>
      <c r="BP208" s="153">
        <f t="shared" si="298"/>
        <v>1</v>
      </c>
      <c r="BQ208" s="141" t="e">
        <f t="shared" si="299"/>
        <v>#DIV/0!</v>
      </c>
      <c r="BR208" s="111">
        <f t="shared" si="300"/>
        <v>0</v>
      </c>
      <c r="BS208" s="96" t="e">
        <f t="shared" si="301"/>
        <v>#DIV/0!</v>
      </c>
      <c r="BT208" s="96" t="e">
        <f t="shared" si="302"/>
        <v>#DIV/0!</v>
      </c>
      <c r="BU208" s="96">
        <f t="shared" si="303"/>
        <v>0</v>
      </c>
      <c r="BV208" s="96"/>
      <c r="BW208" s="96">
        <f t="shared" si="284"/>
        <v>0.85576447930058497</v>
      </c>
      <c r="BX208" s="96">
        <f t="shared" si="304"/>
        <v>0.85576447930058497</v>
      </c>
      <c r="BY208" s="96">
        <f t="shared" si="305"/>
        <v>0</v>
      </c>
      <c r="BZ208" s="96" t="e">
        <f t="shared" si="306"/>
        <v>#DIV/0!</v>
      </c>
      <c r="CA208" s="96" t="e">
        <f t="shared" si="307"/>
        <v>#DIV/0!</v>
      </c>
      <c r="CB208" s="112" t="e">
        <f t="shared" si="308"/>
        <v>#DIV/0!</v>
      </c>
      <c r="CC208" s="113" t="e">
        <f t="shared" si="309"/>
        <v>#DIV/0!</v>
      </c>
      <c r="CD208" s="13" t="e">
        <f t="shared" si="310"/>
        <v>#DIV/0!</v>
      </c>
      <c r="CE208" s="84" t="e">
        <f t="shared" si="311"/>
        <v>#DIV/0!</v>
      </c>
      <c r="CF208" s="112">
        <f t="shared" si="318"/>
        <v>0</v>
      </c>
      <c r="CG208" s="110"/>
      <c r="CH208" s="96"/>
      <c r="CI208" s="96"/>
      <c r="CJ208" s="110"/>
      <c r="CK208" s="110"/>
      <c r="CL208" s="96">
        <f t="shared" si="317"/>
        <v>0</v>
      </c>
      <c r="CM208" s="96" t="e">
        <f t="shared" si="314"/>
        <v>#N/A</v>
      </c>
      <c r="CN208" s="110" t="e">
        <f t="shared" si="315"/>
        <v>#N/A</v>
      </c>
      <c r="CO208" s="112">
        <f t="shared" si="316"/>
        <v>0</v>
      </c>
    </row>
    <row r="209" spans="1:93" x14ac:dyDescent="0.25">
      <c r="A209" s="111">
        <f>IF('3'!$AC$9="",-B209,NA())</f>
        <v>-0.7</v>
      </c>
      <c r="B209" s="110">
        <v>0.7</v>
      </c>
      <c r="C209" s="110">
        <v>30</v>
      </c>
      <c r="D209" s="115">
        <v>50000</v>
      </c>
      <c r="E209" s="110"/>
      <c r="F209" s="110"/>
      <c r="G209" s="110"/>
      <c r="H209" s="110"/>
      <c r="I209" s="110"/>
      <c r="J209" s="110"/>
      <c r="K209" s="109"/>
      <c r="L209" s="114"/>
      <c r="M209" s="110"/>
      <c r="N209" s="110"/>
      <c r="O209" s="110"/>
      <c r="P209" s="115"/>
      <c r="Q209" s="114"/>
      <c r="R209" s="110"/>
      <c r="S209" s="110"/>
      <c r="T209" s="110"/>
      <c r="U209" s="110"/>
      <c r="V209" s="115"/>
      <c r="W209" s="110"/>
      <c r="X209" s="110"/>
      <c r="Y209" s="110"/>
      <c r="Z209" s="110"/>
      <c r="AA209" s="110"/>
      <c r="AB209" s="110"/>
      <c r="AC209" s="110"/>
      <c r="AD209" s="114"/>
      <c r="AE209" s="3"/>
      <c r="AF209" s="3"/>
      <c r="AG209" s="3"/>
      <c r="AH209" s="3"/>
      <c r="AI209" s="3"/>
      <c r="AJ209" s="115"/>
      <c r="AK209" s="114"/>
      <c r="AL209" s="110"/>
      <c r="AM209" s="110"/>
      <c r="AN209" s="115"/>
      <c r="AO209" s="110"/>
      <c r="AP209" s="110"/>
      <c r="AQ209" s="110"/>
      <c r="AR209" s="110"/>
      <c r="AS209" s="110"/>
      <c r="AT209" s="114"/>
      <c r="AU209" s="3"/>
      <c r="AV209" s="3"/>
      <c r="AW209" s="3"/>
      <c r="AX209" s="3"/>
      <c r="AY209" s="113"/>
      <c r="BD209" s="84"/>
      <c r="BF209" s="157">
        <f t="shared" si="288"/>
        <v>0</v>
      </c>
      <c r="BG209" s="157">
        <f t="shared" si="289"/>
        <v>0</v>
      </c>
      <c r="BH209" s="157">
        <f t="shared" si="290"/>
        <v>0</v>
      </c>
      <c r="BI209" s="114">
        <f t="shared" si="291"/>
        <v>1</v>
      </c>
      <c r="BJ209" s="110">
        <f t="shared" si="292"/>
        <v>1</v>
      </c>
      <c r="BK209" s="116" t="e">
        <f t="shared" si="293"/>
        <v>#DIV/0!</v>
      </c>
      <c r="BL209" s="116">
        <f t="shared" si="294"/>
        <v>1</v>
      </c>
      <c r="BM209" s="154">
        <f t="shared" si="295"/>
        <v>1</v>
      </c>
      <c r="BN209" s="110">
        <f t="shared" si="296"/>
        <v>1</v>
      </c>
      <c r="BO209" s="116" t="e">
        <f t="shared" si="297"/>
        <v>#DIV/0!</v>
      </c>
      <c r="BP209" s="153">
        <f t="shared" si="298"/>
        <v>1</v>
      </c>
      <c r="BQ209" s="141" t="e">
        <f t="shared" si="299"/>
        <v>#DIV/0!</v>
      </c>
      <c r="BR209" s="111">
        <f t="shared" si="300"/>
        <v>0</v>
      </c>
      <c r="BS209" s="96" t="e">
        <f t="shared" si="301"/>
        <v>#DIV/0!</v>
      </c>
      <c r="BT209" s="96" t="e">
        <f t="shared" si="302"/>
        <v>#DIV/0!</v>
      </c>
      <c r="BU209" s="96">
        <f t="shared" si="303"/>
        <v>0</v>
      </c>
      <c r="BV209" s="96"/>
      <c r="BW209" s="96">
        <f t="shared" si="284"/>
        <v>0.81634468150249617</v>
      </c>
      <c r="BX209" s="96">
        <f t="shared" si="304"/>
        <v>0.81634468150249617</v>
      </c>
      <c r="BY209" s="96">
        <f t="shared" si="305"/>
        <v>0</v>
      </c>
      <c r="BZ209" s="96" t="e">
        <f t="shared" si="306"/>
        <v>#DIV/0!</v>
      </c>
      <c r="CA209" s="96" t="e">
        <f t="shared" si="307"/>
        <v>#DIV/0!</v>
      </c>
      <c r="CB209" s="112" t="e">
        <f t="shared" si="308"/>
        <v>#DIV/0!</v>
      </c>
      <c r="CC209" s="113" t="e">
        <f t="shared" si="309"/>
        <v>#DIV/0!</v>
      </c>
      <c r="CD209" s="13" t="e">
        <f t="shared" si="310"/>
        <v>#DIV/0!</v>
      </c>
      <c r="CE209" s="84" t="e">
        <f t="shared" si="311"/>
        <v>#DIV/0!</v>
      </c>
      <c r="CF209" s="112">
        <f t="shared" si="318"/>
        <v>0</v>
      </c>
      <c r="CG209" s="110"/>
      <c r="CH209" s="96"/>
      <c r="CI209" s="96"/>
      <c r="CJ209" s="110"/>
      <c r="CK209" s="110"/>
      <c r="CL209" s="96">
        <f t="shared" si="317"/>
        <v>0</v>
      </c>
      <c r="CM209" s="96" t="e">
        <f t="shared" si="314"/>
        <v>#N/A</v>
      </c>
      <c r="CN209" s="110" t="e">
        <f t="shared" si="315"/>
        <v>#N/A</v>
      </c>
      <c r="CO209" s="112">
        <f t="shared" si="316"/>
        <v>0</v>
      </c>
    </row>
    <row r="210" spans="1:93" x14ac:dyDescent="0.25">
      <c r="A210" s="111">
        <f>IF('3'!$AC$9="",-B210,NA())</f>
        <v>-0.8</v>
      </c>
      <c r="B210" s="110">
        <v>0.8</v>
      </c>
      <c r="C210" s="110">
        <v>30</v>
      </c>
      <c r="D210" s="115">
        <v>50000</v>
      </c>
      <c r="E210" s="110"/>
      <c r="F210" s="110"/>
      <c r="G210" s="110"/>
      <c r="H210" s="110"/>
      <c r="I210" s="110"/>
      <c r="J210" s="110"/>
      <c r="K210" s="109"/>
      <c r="L210" s="114"/>
      <c r="M210" s="110"/>
      <c r="N210" s="110"/>
      <c r="O210" s="110"/>
      <c r="P210" s="115"/>
      <c r="Q210" s="114"/>
      <c r="R210" s="110"/>
      <c r="S210" s="110"/>
      <c r="T210" s="110"/>
      <c r="U210" s="110"/>
      <c r="V210" s="115"/>
      <c r="W210" s="110"/>
      <c r="X210" s="110"/>
      <c r="Y210" s="110"/>
      <c r="Z210" s="110"/>
      <c r="AA210" s="110"/>
      <c r="AB210" s="110"/>
      <c r="AC210" s="110"/>
      <c r="AD210" s="114"/>
      <c r="AE210" s="3"/>
      <c r="AF210" s="3"/>
      <c r="AG210" s="3"/>
      <c r="AH210" s="3"/>
      <c r="AI210" s="3"/>
      <c r="AJ210" s="115"/>
      <c r="AK210" s="114"/>
      <c r="AL210" s="110"/>
      <c r="AM210" s="110"/>
      <c r="AN210" s="115"/>
      <c r="AO210" s="110"/>
      <c r="AP210" s="110"/>
      <c r="AQ210" s="110"/>
      <c r="AR210" s="110"/>
      <c r="AS210" s="110"/>
      <c r="AT210" s="114"/>
      <c r="AU210" s="3"/>
      <c r="AV210" s="3"/>
      <c r="AW210" s="3"/>
      <c r="AX210" s="3"/>
      <c r="AY210" s="113"/>
      <c r="BD210" s="84"/>
      <c r="BF210" s="157">
        <f t="shared" si="288"/>
        <v>0</v>
      </c>
      <c r="BG210" s="157">
        <f t="shared" si="289"/>
        <v>0</v>
      </c>
      <c r="BH210" s="157">
        <f t="shared" si="290"/>
        <v>0</v>
      </c>
      <c r="BI210" s="114">
        <f t="shared" si="291"/>
        <v>1</v>
      </c>
      <c r="BJ210" s="110">
        <f t="shared" si="292"/>
        <v>1</v>
      </c>
      <c r="BK210" s="116" t="e">
        <f t="shared" si="293"/>
        <v>#DIV/0!</v>
      </c>
      <c r="BL210" s="116">
        <f t="shared" si="294"/>
        <v>1</v>
      </c>
      <c r="BM210" s="154">
        <f t="shared" si="295"/>
        <v>1</v>
      </c>
      <c r="BN210" s="110">
        <f t="shared" si="296"/>
        <v>1</v>
      </c>
      <c r="BO210" s="116" t="e">
        <f t="shared" si="297"/>
        <v>#DIV/0!</v>
      </c>
      <c r="BP210" s="153">
        <f t="shared" si="298"/>
        <v>1</v>
      </c>
      <c r="BQ210" s="141" t="e">
        <f t="shared" si="299"/>
        <v>#DIV/0!</v>
      </c>
      <c r="BR210" s="111">
        <f t="shared" si="300"/>
        <v>0</v>
      </c>
      <c r="BS210" s="96" t="e">
        <f t="shared" si="301"/>
        <v>#DIV/0!</v>
      </c>
      <c r="BT210" s="96" t="e">
        <f t="shared" si="302"/>
        <v>#DIV/0!</v>
      </c>
      <c r="BU210" s="96">
        <f t="shared" si="303"/>
        <v>0</v>
      </c>
      <c r="BV210" s="96"/>
      <c r="BW210" s="96">
        <f t="shared" si="284"/>
        <v>0.76384925376347856</v>
      </c>
      <c r="BX210" s="96">
        <f t="shared" si="304"/>
        <v>0.76384925376347856</v>
      </c>
      <c r="BY210" s="96">
        <f t="shared" si="305"/>
        <v>0</v>
      </c>
      <c r="BZ210" s="96" t="e">
        <f t="shared" si="306"/>
        <v>#DIV/0!</v>
      </c>
      <c r="CA210" s="96" t="e">
        <f t="shared" si="307"/>
        <v>#DIV/0!</v>
      </c>
      <c r="CB210" s="112" t="e">
        <f t="shared" si="308"/>
        <v>#DIV/0!</v>
      </c>
      <c r="CC210" s="113" t="e">
        <f t="shared" si="309"/>
        <v>#DIV/0!</v>
      </c>
      <c r="CD210" s="13" t="e">
        <f t="shared" si="310"/>
        <v>#DIV/0!</v>
      </c>
      <c r="CE210" s="84" t="e">
        <f t="shared" si="311"/>
        <v>#DIV/0!</v>
      </c>
      <c r="CF210" s="112">
        <f t="shared" si="318"/>
        <v>0</v>
      </c>
      <c r="CG210" s="111"/>
      <c r="CH210" s="96"/>
      <c r="CI210" s="96"/>
      <c r="CJ210" s="110"/>
      <c r="CK210" s="110"/>
      <c r="CL210" s="96">
        <f t="shared" si="317"/>
        <v>0</v>
      </c>
      <c r="CM210" s="96" t="e">
        <f t="shared" si="314"/>
        <v>#N/A</v>
      </c>
      <c r="CN210" s="110" t="e">
        <f t="shared" si="315"/>
        <v>#N/A</v>
      </c>
      <c r="CO210" s="112">
        <f t="shared" si="316"/>
        <v>0</v>
      </c>
    </row>
    <row r="211" spans="1:93" x14ac:dyDescent="0.25">
      <c r="A211" s="111">
        <f>IF('3'!$AC$9="",-B211,NA())</f>
        <v>-0.9</v>
      </c>
      <c r="B211" s="110">
        <v>0.9</v>
      </c>
      <c r="C211" s="110">
        <v>30</v>
      </c>
      <c r="D211" s="115">
        <v>50000</v>
      </c>
      <c r="E211" s="110"/>
      <c r="F211" s="110"/>
      <c r="G211" s="110"/>
      <c r="H211" s="110"/>
      <c r="I211" s="110"/>
      <c r="J211" s="110"/>
      <c r="K211" s="109"/>
      <c r="L211" s="114"/>
      <c r="M211" s="110"/>
      <c r="N211" s="110"/>
      <c r="O211" s="110"/>
      <c r="P211" s="115"/>
      <c r="Q211" s="114"/>
      <c r="R211" s="110"/>
      <c r="S211" s="110"/>
      <c r="T211" s="110"/>
      <c r="U211" s="110"/>
      <c r="V211" s="115"/>
      <c r="W211" s="110"/>
      <c r="X211" s="110"/>
      <c r="Y211" s="110"/>
      <c r="Z211" s="110"/>
      <c r="AA211" s="110"/>
      <c r="AB211" s="110"/>
      <c r="AC211" s="110"/>
      <c r="AD211" s="114"/>
      <c r="AE211" s="3"/>
      <c r="AF211" s="3"/>
      <c r="AG211" s="3"/>
      <c r="AH211" s="3"/>
      <c r="AI211" s="3"/>
      <c r="AJ211" s="115"/>
      <c r="AK211" s="114"/>
      <c r="AL211" s="110"/>
      <c r="AM211" s="110"/>
      <c r="AN211" s="115"/>
      <c r="AO211" s="110"/>
      <c r="AP211" s="110"/>
      <c r="AQ211" s="110"/>
      <c r="AR211" s="110"/>
      <c r="AS211" s="110"/>
      <c r="AT211" s="114"/>
      <c r="AU211" s="3"/>
      <c r="AV211" s="3"/>
      <c r="AW211" s="3"/>
      <c r="AX211" s="3"/>
      <c r="AY211" s="113"/>
      <c r="BD211" s="84"/>
      <c r="BF211" s="157">
        <f t="shared" si="288"/>
        <v>0</v>
      </c>
      <c r="BG211" s="157">
        <f t="shared" si="289"/>
        <v>0</v>
      </c>
      <c r="BH211" s="157">
        <f t="shared" si="290"/>
        <v>0</v>
      </c>
      <c r="BI211" s="114">
        <f t="shared" si="291"/>
        <v>1</v>
      </c>
      <c r="BJ211" s="110">
        <f t="shared" si="292"/>
        <v>1</v>
      </c>
      <c r="BK211" s="116" t="e">
        <f t="shared" si="293"/>
        <v>#DIV/0!</v>
      </c>
      <c r="BL211" s="116">
        <f t="shared" si="294"/>
        <v>1</v>
      </c>
      <c r="BM211" s="154">
        <f t="shared" si="295"/>
        <v>1</v>
      </c>
      <c r="BN211" s="110">
        <f t="shared" si="296"/>
        <v>1</v>
      </c>
      <c r="BO211" s="116" t="e">
        <f t="shared" si="297"/>
        <v>#DIV/0!</v>
      </c>
      <c r="BP211" s="153">
        <f t="shared" si="298"/>
        <v>1</v>
      </c>
      <c r="BQ211" s="141" t="e">
        <f t="shared" si="299"/>
        <v>#DIV/0!</v>
      </c>
      <c r="BR211" s="111">
        <f t="shared" si="300"/>
        <v>0</v>
      </c>
      <c r="BS211" s="96" t="e">
        <f t="shared" si="301"/>
        <v>#DIV/0!</v>
      </c>
      <c r="BT211" s="96" t="e">
        <f t="shared" si="302"/>
        <v>#DIV/0!</v>
      </c>
      <c r="BU211" s="96">
        <f t="shared" si="303"/>
        <v>0</v>
      </c>
      <c r="BV211" s="96"/>
      <c r="BW211" s="96">
        <f t="shared" si="284"/>
        <v>0.68180638083025913</v>
      </c>
      <c r="BX211" s="96">
        <f t="shared" si="304"/>
        <v>0.68180638083025913</v>
      </c>
      <c r="BY211" s="96">
        <f t="shared" si="305"/>
        <v>0</v>
      </c>
      <c r="BZ211" s="96" t="e">
        <f t="shared" si="306"/>
        <v>#DIV/0!</v>
      </c>
      <c r="CA211" s="96" t="e">
        <f t="shared" si="307"/>
        <v>#DIV/0!</v>
      </c>
      <c r="CB211" s="112" t="e">
        <f t="shared" si="308"/>
        <v>#DIV/0!</v>
      </c>
      <c r="CC211" s="113" t="e">
        <f t="shared" si="309"/>
        <v>#DIV/0!</v>
      </c>
      <c r="CD211" s="13" t="e">
        <f t="shared" si="310"/>
        <v>#DIV/0!</v>
      </c>
      <c r="CE211" s="84" t="e">
        <f t="shared" si="311"/>
        <v>#DIV/0!</v>
      </c>
      <c r="CF211" s="112">
        <f t="shared" si="318"/>
        <v>0</v>
      </c>
      <c r="CG211" s="96"/>
      <c r="CH211" s="96"/>
      <c r="CI211" s="96"/>
      <c r="CJ211" s="96"/>
      <c r="CK211" s="96"/>
      <c r="CL211" s="96">
        <f t="shared" si="317"/>
        <v>0</v>
      </c>
      <c r="CM211" s="96" t="e">
        <f t="shared" si="314"/>
        <v>#N/A</v>
      </c>
      <c r="CN211" s="96" t="e">
        <f t="shared" si="315"/>
        <v>#N/A</v>
      </c>
      <c r="CO211" s="112">
        <f t="shared" si="316"/>
        <v>0</v>
      </c>
    </row>
    <row r="212" spans="1:93" ht="15.75" thickBot="1" x14ac:dyDescent="0.3">
      <c r="A212" s="111">
        <f>IF('3'!$AC$9="",-B212,NA())</f>
        <v>-1</v>
      </c>
      <c r="B212" s="110">
        <v>1</v>
      </c>
      <c r="C212" s="110"/>
      <c r="D212" s="115"/>
      <c r="E212" s="110"/>
      <c r="F212" s="110"/>
      <c r="G212" s="110"/>
      <c r="H212" s="110"/>
      <c r="I212" s="110"/>
      <c r="J212" s="110"/>
      <c r="K212" s="109"/>
      <c r="L212" s="114"/>
      <c r="M212" s="110"/>
      <c r="N212" s="110"/>
      <c r="O212" s="110"/>
      <c r="P212" s="115"/>
      <c r="Q212" s="114"/>
      <c r="R212" s="110"/>
      <c r="S212" s="110"/>
      <c r="T212" s="110"/>
      <c r="U212" s="110"/>
      <c r="V212" s="115"/>
      <c r="W212" s="110"/>
      <c r="X212" s="110"/>
      <c r="Y212" s="110"/>
      <c r="Z212" s="110"/>
      <c r="AA212" s="110"/>
      <c r="AB212" s="110"/>
      <c r="AC212" s="110"/>
      <c r="AD212" s="114"/>
      <c r="AE212" s="3"/>
      <c r="AF212" s="3"/>
      <c r="AG212" s="3"/>
      <c r="AH212" s="3"/>
      <c r="AI212" s="3"/>
      <c r="AJ212" s="115"/>
      <c r="AK212" s="114"/>
      <c r="AL212" s="110"/>
      <c r="AM212" s="110"/>
      <c r="AN212" s="115"/>
      <c r="AO212" s="110"/>
      <c r="AP212" s="110"/>
      <c r="AQ212" s="110"/>
      <c r="AR212" s="110"/>
      <c r="AS212" s="110"/>
      <c r="AT212" s="114"/>
      <c r="AU212" s="3"/>
      <c r="AV212" s="3"/>
      <c r="AW212" s="3"/>
      <c r="AX212" s="3"/>
      <c r="AY212" s="113"/>
      <c r="BD212" s="84"/>
      <c r="BF212" s="110"/>
      <c r="BG212" s="110"/>
      <c r="BH212" s="110"/>
      <c r="BI212" s="133"/>
      <c r="BJ212" s="134"/>
      <c r="BK212" s="134"/>
      <c r="BL212" s="134"/>
      <c r="BM212" s="135"/>
      <c r="BN212" s="110"/>
      <c r="BO212" s="110"/>
      <c r="BP212" s="110"/>
      <c r="BQ212" s="142"/>
      <c r="BR212" s="111">
        <f t="shared" ref="BR212" si="319">AK212*P212</f>
        <v>0</v>
      </c>
      <c r="BS212" s="96"/>
      <c r="BT212" s="96"/>
      <c r="BU212" s="96">
        <f t="shared" ref="BU212" si="320">AB212*AN212</f>
        <v>0</v>
      </c>
      <c r="BV212" s="96"/>
      <c r="BW212" s="96">
        <f t="shared" si="284"/>
        <v>0</v>
      </c>
      <c r="BX212" s="96">
        <f t="shared" ref="BX212" si="321">SUM(W212:X212)*AO212+SUM(Y212:Z212)*AP212+(1-AC212)*BW212</f>
        <v>0</v>
      </c>
      <c r="BY212" s="96">
        <f t="shared" ref="BY212" si="322">AC212*BX212</f>
        <v>0</v>
      </c>
      <c r="BZ212" s="96"/>
      <c r="CA212" s="96"/>
      <c r="CB212" s="112"/>
      <c r="CC212" s="85"/>
      <c r="CD212" s="86"/>
      <c r="CE212" s="87"/>
      <c r="CF212" s="86">
        <f t="shared" si="318"/>
        <v>-1</v>
      </c>
      <c r="CG212" s="195">
        <v>1</v>
      </c>
      <c r="CH212" s="195"/>
      <c r="CI212" s="195"/>
      <c r="CJ212" s="195"/>
      <c r="CK212" s="195"/>
      <c r="CL212" s="96">
        <f t="shared" si="317"/>
        <v>0</v>
      </c>
      <c r="CM212" s="195">
        <f t="shared" si="314"/>
        <v>0</v>
      </c>
      <c r="CN212" s="195">
        <f>(1-AC211)*CM212</f>
        <v>0</v>
      </c>
      <c r="CO212" s="196">
        <f t="shared" si="316"/>
        <v>0</v>
      </c>
    </row>
    <row r="213" spans="1:93" ht="15.75" thickBot="1" x14ac:dyDescent="0.3">
      <c r="A213" s="233" t="s">
        <v>55</v>
      </c>
      <c r="B213" s="234"/>
      <c r="C213" s="235"/>
      <c r="D213" s="39" t="s">
        <v>54</v>
      </c>
      <c r="E213" s="38">
        <f t="shared" ref="E213:AJ213" si="323">0.1/3*($B192*E192+4*$B193*E193+2*$B194*E194+4*$B195*E195+2*$B196*E196+4*$B197*E197+2*$B198*E198+4*$B199*E199+2*$B200*E200+4*$B201*E201+2*$B202*E202+4*$B203*E203+1*$B204*E204)+0.2/3*($B204*E204+4*$B206*E206+2*$B208*E208+4*$B210*E210+$B212*E212)</f>
        <v>0</v>
      </c>
      <c r="F213" s="38">
        <f t="shared" si="323"/>
        <v>0</v>
      </c>
      <c r="G213" s="38">
        <f t="shared" si="323"/>
        <v>0</v>
      </c>
      <c r="H213" s="38">
        <f t="shared" si="323"/>
        <v>0</v>
      </c>
      <c r="I213" s="38">
        <f t="shared" si="323"/>
        <v>0</v>
      </c>
      <c r="J213" s="38">
        <f t="shared" si="323"/>
        <v>0</v>
      </c>
      <c r="K213" s="38">
        <f t="shared" si="323"/>
        <v>0</v>
      </c>
      <c r="L213" s="38">
        <f t="shared" si="323"/>
        <v>0</v>
      </c>
      <c r="M213" s="38">
        <f t="shared" si="323"/>
        <v>0</v>
      </c>
      <c r="N213" s="38">
        <f t="shared" si="323"/>
        <v>0</v>
      </c>
      <c r="O213" s="38">
        <f t="shared" si="323"/>
        <v>0</v>
      </c>
      <c r="P213" s="38">
        <f t="shared" si="323"/>
        <v>0</v>
      </c>
      <c r="Q213" s="38">
        <f t="shared" si="323"/>
        <v>0</v>
      </c>
      <c r="R213" s="38">
        <f t="shared" si="323"/>
        <v>0</v>
      </c>
      <c r="S213" s="38">
        <f t="shared" si="323"/>
        <v>0</v>
      </c>
      <c r="T213" s="38">
        <f t="shared" si="323"/>
        <v>0</v>
      </c>
      <c r="U213" s="38">
        <f t="shared" si="323"/>
        <v>0</v>
      </c>
      <c r="V213" s="38">
        <f t="shared" si="323"/>
        <v>0</v>
      </c>
      <c r="W213" s="38">
        <f t="shared" si="323"/>
        <v>0</v>
      </c>
      <c r="X213" s="38">
        <f t="shared" si="323"/>
        <v>0</v>
      </c>
      <c r="Y213" s="38">
        <f t="shared" si="323"/>
        <v>0</v>
      </c>
      <c r="Z213" s="38">
        <f t="shared" si="323"/>
        <v>0</v>
      </c>
      <c r="AA213" s="38">
        <f t="shared" si="323"/>
        <v>0</v>
      </c>
      <c r="AB213" s="38">
        <f t="shared" si="323"/>
        <v>0</v>
      </c>
      <c r="AC213" s="38">
        <f t="shared" si="323"/>
        <v>0</v>
      </c>
      <c r="AD213" s="38">
        <f t="shared" si="323"/>
        <v>0</v>
      </c>
      <c r="AE213" s="38">
        <f t="shared" si="323"/>
        <v>0</v>
      </c>
      <c r="AF213" s="38">
        <f t="shared" si="323"/>
        <v>0</v>
      </c>
      <c r="AG213" s="38">
        <f t="shared" si="323"/>
        <v>0</v>
      </c>
      <c r="AH213" s="38">
        <f t="shared" si="323"/>
        <v>0</v>
      </c>
      <c r="AI213" s="38">
        <f t="shared" si="323"/>
        <v>0</v>
      </c>
      <c r="AJ213" s="38">
        <f t="shared" si="323"/>
        <v>0</v>
      </c>
      <c r="AK213" s="38">
        <f t="shared" ref="AK213:BP213" si="324">0.1/3*($B192*AK192+4*$B193*AK193+2*$B194*AK194+4*$B195*AK195+2*$B196*AK196+4*$B197*AK197+2*$B198*AK198+4*$B199*AK199+2*$B200*AK200+4*$B201*AK201+2*$B202*AK202+4*$B203*AK203+1*$B204*AK204)+0.2/3*($B204*AK204+4*$B206*AK206+2*$B208*AK208+4*$B210*AK210+$B212*AK212)</f>
        <v>0</v>
      </c>
      <c r="AL213" s="38">
        <f t="shared" si="324"/>
        <v>0</v>
      </c>
      <c r="AM213" s="38">
        <f t="shared" si="324"/>
        <v>0</v>
      </c>
      <c r="AN213" s="38">
        <f t="shared" si="324"/>
        <v>0</v>
      </c>
      <c r="AO213" s="38">
        <f t="shared" si="324"/>
        <v>0</v>
      </c>
      <c r="AP213" s="38">
        <f t="shared" si="324"/>
        <v>0</v>
      </c>
      <c r="AQ213" s="38">
        <f t="shared" si="324"/>
        <v>0</v>
      </c>
      <c r="AR213" s="38">
        <f t="shared" si="324"/>
        <v>0</v>
      </c>
      <c r="AS213" s="38">
        <f t="shared" si="324"/>
        <v>0</v>
      </c>
      <c r="AT213" s="38">
        <f t="shared" si="324"/>
        <v>0</v>
      </c>
      <c r="AU213" s="38">
        <f t="shared" si="324"/>
        <v>0</v>
      </c>
      <c r="AV213" s="38">
        <f t="shared" si="324"/>
        <v>0</v>
      </c>
      <c r="AW213" s="38">
        <f t="shared" si="324"/>
        <v>0</v>
      </c>
      <c r="AX213" s="38">
        <f t="shared" si="324"/>
        <v>0</v>
      </c>
      <c r="AY213" s="38">
        <f t="shared" si="324"/>
        <v>0</v>
      </c>
      <c r="AZ213" s="38">
        <f t="shared" si="324"/>
        <v>0</v>
      </c>
      <c r="BA213" s="38">
        <f t="shared" si="324"/>
        <v>0</v>
      </c>
      <c r="BB213" s="38">
        <f t="shared" si="324"/>
        <v>0</v>
      </c>
      <c r="BC213" s="38">
        <f t="shared" si="324"/>
        <v>0</v>
      </c>
      <c r="BD213" s="38">
        <f t="shared" si="324"/>
        <v>0</v>
      </c>
      <c r="BE213" s="38" t="e">
        <f t="shared" si="324"/>
        <v>#DIV/0!</v>
      </c>
      <c r="BF213" s="38">
        <f t="shared" si="324"/>
        <v>0</v>
      </c>
      <c r="BG213" s="38">
        <f t="shared" si="324"/>
        <v>0</v>
      </c>
      <c r="BH213" s="38">
        <f t="shared" si="324"/>
        <v>0</v>
      </c>
      <c r="BI213" s="38">
        <f t="shared" si="324"/>
        <v>0.89999999999999991</v>
      </c>
      <c r="BJ213" s="38">
        <f t="shared" si="324"/>
        <v>0.89999999999999991</v>
      </c>
      <c r="BK213" s="38" t="e">
        <f t="shared" si="324"/>
        <v>#DIV/0!</v>
      </c>
      <c r="BL213" s="38">
        <f t="shared" si="324"/>
        <v>0.89999999999999991</v>
      </c>
      <c r="BM213" s="38">
        <f t="shared" si="324"/>
        <v>0.89999999999999991</v>
      </c>
      <c r="BN213" s="38">
        <f t="shared" si="324"/>
        <v>0.89999999999999991</v>
      </c>
      <c r="BO213" s="38" t="e">
        <f t="shared" si="324"/>
        <v>#DIV/0!</v>
      </c>
      <c r="BP213" s="38">
        <f t="shared" si="324"/>
        <v>0.89999999999999991</v>
      </c>
      <c r="BQ213" s="38" t="e">
        <f t="shared" ref="BQ213:CB213" si="325">0.1/3*($B192*BQ192+4*$B193*BQ193+2*$B194*BQ194+4*$B195*BQ195+2*$B196*BQ196+4*$B197*BQ197+2*$B198*BQ198+4*$B199*BQ199+2*$B200*BQ200+4*$B201*BQ201+2*$B202*BQ202+4*$B203*BQ203+1*$B204*BQ204)+0.2/3*($B204*BQ204+4*$B206*BQ206+2*$B208*BQ208+4*$B210*BQ210+$B212*BQ212)</f>
        <v>#DIV/0!</v>
      </c>
      <c r="BR213" s="38">
        <f t="shared" si="325"/>
        <v>0</v>
      </c>
      <c r="BS213" s="38" t="e">
        <f t="shared" si="325"/>
        <v>#DIV/0!</v>
      </c>
      <c r="BT213" s="38" t="e">
        <f t="shared" si="325"/>
        <v>#DIV/0!</v>
      </c>
      <c r="BU213" s="38">
        <f t="shared" si="325"/>
        <v>0</v>
      </c>
      <c r="BV213" s="38">
        <f t="shared" si="325"/>
        <v>0</v>
      </c>
      <c r="BW213" s="38">
        <f t="shared" si="325"/>
        <v>0.74105594897535321</v>
      </c>
      <c r="BX213" s="38">
        <f t="shared" si="325"/>
        <v>0.74105594897535321</v>
      </c>
      <c r="BY213" s="38">
        <f t="shared" si="325"/>
        <v>0</v>
      </c>
      <c r="BZ213" s="38" t="e">
        <f t="shared" si="325"/>
        <v>#DIV/0!</v>
      </c>
      <c r="CA213" s="38" t="e">
        <f t="shared" si="325"/>
        <v>#DIV/0!</v>
      </c>
      <c r="CB213" s="38" t="e">
        <f t="shared" si="325"/>
        <v>#DIV/0!</v>
      </c>
      <c r="CC213" s="96"/>
      <c r="CL213" s="38">
        <f t="shared" ref="CL213:CO213" si="326">0.1/3*($B192*CL192+4*$B193*CL193+2*$B194*CL194+4*$B195*CL195+2*$B196*CL196+4*$B197*CL197+2*$B198*CL198+4*$B199*CL199+2*$B200*CL200+4*$B201*CL201+2*$B202*CL202+4*$B203*CL203+1*$B204*CL204)+0.2/3*($B204*CL204+4*$B206*CL206+2*$B208*CL208+4*$B210*CL210+$B212*CL212)</f>
        <v>0</v>
      </c>
      <c r="CM213" s="38" t="e">
        <f t="shared" si="326"/>
        <v>#N/A</v>
      </c>
      <c r="CN213" s="38" t="e">
        <f t="shared" si="326"/>
        <v>#N/A</v>
      </c>
      <c r="CO213" s="38">
        <f t="shared" si="326"/>
        <v>0</v>
      </c>
    </row>
    <row r="232" spans="1:45" x14ac:dyDescent="0.25">
      <c r="A232" s="13" t="s">
        <v>241</v>
      </c>
      <c r="B232" s="180">
        <v>1</v>
      </c>
    </row>
    <row r="234" spans="1:45" x14ac:dyDescent="0.25">
      <c r="A234" s="249" t="s">
        <v>87</v>
      </c>
      <c r="B234" s="250"/>
      <c r="C234" s="250"/>
      <c r="D234" s="251"/>
      <c r="E234" s="56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7"/>
      <c r="R234" s="57"/>
    </row>
    <row r="235" spans="1:45" ht="19.5" x14ac:dyDescent="0.35">
      <c r="A235" s="137" t="s">
        <v>89</v>
      </c>
      <c r="B235" s="136" t="s">
        <v>191</v>
      </c>
      <c r="C235" s="136" t="s">
        <v>192</v>
      </c>
      <c r="D235" s="136" t="s">
        <v>193</v>
      </c>
      <c r="E235" s="137" t="s">
        <v>132</v>
      </c>
      <c r="F235" s="137" t="s">
        <v>133</v>
      </c>
      <c r="G235" s="137" t="s">
        <v>90</v>
      </c>
      <c r="H235" s="137" t="s">
        <v>154</v>
      </c>
      <c r="I235" s="137" t="s">
        <v>155</v>
      </c>
      <c r="J235" s="138" t="s">
        <v>91</v>
      </c>
      <c r="K235" s="136" t="s">
        <v>201</v>
      </c>
      <c r="L235" s="136" t="s">
        <v>202</v>
      </c>
      <c r="M235" s="136" t="s">
        <v>182</v>
      </c>
      <c r="N235" s="136" t="s">
        <v>203</v>
      </c>
      <c r="O235" s="136" t="s">
        <v>183</v>
      </c>
      <c r="P235" s="136" t="s">
        <v>184</v>
      </c>
      <c r="Q235" s="136" t="s">
        <v>185</v>
      </c>
      <c r="R235" s="136" t="s">
        <v>186</v>
      </c>
      <c r="S235" s="139" t="s">
        <v>92</v>
      </c>
      <c r="T235" s="136" t="s">
        <v>125</v>
      </c>
      <c r="U235" s="136" t="s">
        <v>145</v>
      </c>
      <c r="V235" s="136" t="s">
        <v>146</v>
      </c>
      <c r="W235" s="136" t="s">
        <v>93</v>
      </c>
      <c r="X235" s="136" t="s">
        <v>175</v>
      </c>
      <c r="Y235" s="136" t="s">
        <v>176</v>
      </c>
      <c r="Z235" s="136" t="s">
        <v>94</v>
      </c>
      <c r="AA235" s="136" t="s">
        <v>95</v>
      </c>
      <c r="AB235" s="136" t="s">
        <v>96</v>
      </c>
      <c r="AC235" s="136" t="s">
        <v>97</v>
      </c>
      <c r="AD235" s="137" t="s">
        <v>147</v>
      </c>
      <c r="AE235" s="137" t="s">
        <v>148</v>
      </c>
      <c r="AF235" s="137" t="s">
        <v>98</v>
      </c>
      <c r="AG235" s="138" t="s">
        <v>88</v>
      </c>
      <c r="AH235" s="136" t="s">
        <v>195</v>
      </c>
      <c r="AI235" s="137" t="s">
        <v>99</v>
      </c>
      <c r="AJ235" s="136" t="s">
        <v>130</v>
      </c>
      <c r="AK235" s="136" t="s">
        <v>197</v>
      </c>
      <c r="AL235" s="136" t="s">
        <v>200</v>
      </c>
      <c r="AM235" s="137" t="s">
        <v>57</v>
      </c>
      <c r="AN235" s="137" t="s">
        <v>76</v>
      </c>
      <c r="AO235" s="137" t="s">
        <v>100</v>
      </c>
      <c r="AP235" s="137" t="s">
        <v>101</v>
      </c>
      <c r="AQ235" s="137" t="s">
        <v>102</v>
      </c>
      <c r="AR235" s="183" t="s">
        <v>304</v>
      </c>
      <c r="AS235" s="183" t="s">
        <v>308</v>
      </c>
    </row>
    <row r="236" spans="1:45" x14ac:dyDescent="0.25">
      <c r="A236" s="60">
        <v>0</v>
      </c>
      <c r="B236" s="61">
        <f>BF213</f>
        <v>0</v>
      </c>
      <c r="C236" s="61">
        <f t="shared" ref="C236:D236" si="327">BG213</f>
        <v>0</v>
      </c>
      <c r="D236" s="61">
        <f t="shared" si="327"/>
        <v>0</v>
      </c>
      <c r="E236" s="61">
        <f>AA213</f>
        <v>0</v>
      </c>
      <c r="F236" s="61">
        <f t="shared" ref="F236:G236" si="328">AB213</f>
        <v>0</v>
      </c>
      <c r="G236" s="61">
        <f t="shared" si="328"/>
        <v>0</v>
      </c>
      <c r="H236" s="61">
        <f>AH213</f>
        <v>0</v>
      </c>
      <c r="I236" s="61">
        <f>AI213</f>
        <v>0</v>
      </c>
      <c r="J236" s="61">
        <f>AJ213</f>
        <v>0</v>
      </c>
      <c r="K236" s="61">
        <f>BI213</f>
        <v>0.89999999999999991</v>
      </c>
      <c r="L236" s="61">
        <f>BJ213</f>
        <v>0.89999999999999991</v>
      </c>
      <c r="M236" s="61" t="e">
        <f t="shared" ref="M236:R236" si="329">BK213</f>
        <v>#DIV/0!</v>
      </c>
      <c r="N236" s="61">
        <f t="shared" si="329"/>
        <v>0.89999999999999991</v>
      </c>
      <c r="O236" s="61">
        <f t="shared" si="329"/>
        <v>0.89999999999999991</v>
      </c>
      <c r="P236" s="61">
        <f t="shared" si="329"/>
        <v>0.89999999999999991</v>
      </c>
      <c r="Q236" s="61" t="e">
        <f t="shared" si="329"/>
        <v>#DIV/0!</v>
      </c>
      <c r="R236" s="61">
        <f t="shared" si="329"/>
        <v>0.89999999999999991</v>
      </c>
      <c r="S236" s="61">
        <f>AK213</f>
        <v>0</v>
      </c>
      <c r="T236" s="61">
        <f>AW213</f>
        <v>0</v>
      </c>
      <c r="U236" s="61">
        <f>AX213</f>
        <v>0</v>
      </c>
      <c r="V236" s="91">
        <f>T236+U236</f>
        <v>0</v>
      </c>
      <c r="W236" s="61">
        <f>AM213</f>
        <v>0</v>
      </c>
      <c r="X236" s="61">
        <f>AL213</f>
        <v>0</v>
      </c>
      <c r="Y236" s="61">
        <f>AN213</f>
        <v>0</v>
      </c>
      <c r="Z236" s="61">
        <f>AO213</f>
        <v>0</v>
      </c>
      <c r="AA236" s="61">
        <f>AQ213</f>
        <v>0</v>
      </c>
      <c r="AB236" s="61">
        <f>AR213</f>
        <v>0</v>
      </c>
      <c r="AC236" s="61">
        <f>AS213</f>
        <v>0</v>
      </c>
      <c r="AD236" s="61">
        <f t="shared" ref="AD236:AE236" si="330">AT213</f>
        <v>0</v>
      </c>
      <c r="AE236" s="61">
        <f t="shared" si="330"/>
        <v>0</v>
      </c>
      <c r="AF236" s="61">
        <f>AV213</f>
        <v>0</v>
      </c>
      <c r="AG236" s="61">
        <f>P213</f>
        <v>0</v>
      </c>
      <c r="AH236" s="61" t="e">
        <f>BQ213</f>
        <v>#DIV/0!</v>
      </c>
      <c r="AI236" s="61">
        <f>BR213</f>
        <v>0</v>
      </c>
      <c r="AJ236" s="61" t="e">
        <f>BT213</f>
        <v>#DIV/0!</v>
      </c>
      <c r="AK236" s="61">
        <f>BU213</f>
        <v>0</v>
      </c>
      <c r="AL236" s="61">
        <f>BV213</f>
        <v>0</v>
      </c>
      <c r="AM236" s="61">
        <f>BX213</f>
        <v>0.74105594897535321</v>
      </c>
      <c r="AN236" s="61">
        <f>BY213</f>
        <v>0</v>
      </c>
      <c r="AO236" s="61" t="e">
        <f>BZ213</f>
        <v>#DIV/0!</v>
      </c>
      <c r="AP236" s="61" t="e">
        <f t="shared" ref="AP236:AQ236" si="331">CA213</f>
        <v>#DIV/0!</v>
      </c>
      <c r="AQ236" s="61" t="e">
        <f t="shared" si="331"/>
        <v>#DIV/0!</v>
      </c>
      <c r="AR236" s="61" t="e">
        <f>CN213</f>
        <v>#N/A</v>
      </c>
      <c r="AS236" s="61">
        <f>CO213</f>
        <v>0</v>
      </c>
    </row>
    <row r="237" spans="1:45" x14ac:dyDescent="0.25">
      <c r="A237" s="60">
        <v>22.5</v>
      </c>
      <c r="B237" s="61">
        <f>BF166</f>
        <v>0</v>
      </c>
      <c r="C237" s="61">
        <f>BG166</f>
        <v>0</v>
      </c>
      <c r="D237" s="61">
        <f>BH166</f>
        <v>0</v>
      </c>
      <c r="E237" s="61">
        <f>AA166</f>
        <v>0</v>
      </c>
      <c r="F237" s="61">
        <f>AB166</f>
        <v>0</v>
      </c>
      <c r="G237" s="61">
        <f>AC166</f>
        <v>0</v>
      </c>
      <c r="H237" s="61">
        <f>AH166</f>
        <v>0</v>
      </c>
      <c r="I237" s="61">
        <f>AI166</f>
        <v>0</v>
      </c>
      <c r="J237" s="61">
        <f>AJ166</f>
        <v>0</v>
      </c>
      <c r="K237" s="61">
        <f t="shared" ref="K237:R237" si="332">BI166</f>
        <v>0.89999999999999991</v>
      </c>
      <c r="L237" s="61">
        <f t="shared" si="332"/>
        <v>0.89999999999999991</v>
      </c>
      <c r="M237" s="61" t="e">
        <f t="shared" si="332"/>
        <v>#DIV/0!</v>
      </c>
      <c r="N237" s="61">
        <f t="shared" si="332"/>
        <v>0.89999999999999991</v>
      </c>
      <c r="O237" s="61">
        <f t="shared" si="332"/>
        <v>0.89999999999999991</v>
      </c>
      <c r="P237" s="61">
        <f t="shared" si="332"/>
        <v>0.89999999999999991</v>
      </c>
      <c r="Q237" s="61" t="e">
        <f t="shared" si="332"/>
        <v>#DIV/0!</v>
      </c>
      <c r="R237" s="61">
        <f t="shared" si="332"/>
        <v>0.89999999999999991</v>
      </c>
      <c r="S237" s="61">
        <f>AK166</f>
        <v>0</v>
      </c>
      <c r="T237" s="61">
        <f>AW166</f>
        <v>0</v>
      </c>
      <c r="U237" s="61">
        <f>AX166</f>
        <v>0</v>
      </c>
      <c r="V237" s="91">
        <f t="shared" ref="V237:V240" si="333">T237+U237</f>
        <v>0</v>
      </c>
      <c r="W237" s="61">
        <f>AM166</f>
        <v>0</v>
      </c>
      <c r="X237" s="61">
        <f>AL166</f>
        <v>0</v>
      </c>
      <c r="Y237" s="61">
        <f>AN166</f>
        <v>0</v>
      </c>
      <c r="Z237" s="61">
        <f>AO166</f>
        <v>0</v>
      </c>
      <c r="AA237" s="61">
        <f t="shared" ref="AA237:AF237" si="334">AQ166</f>
        <v>0</v>
      </c>
      <c r="AB237" s="61">
        <f t="shared" si="334"/>
        <v>0</v>
      </c>
      <c r="AC237" s="61">
        <f t="shared" si="334"/>
        <v>0</v>
      </c>
      <c r="AD237" s="61">
        <f t="shared" si="334"/>
        <v>0</v>
      </c>
      <c r="AE237" s="61">
        <f t="shared" si="334"/>
        <v>0</v>
      </c>
      <c r="AF237" s="61">
        <f t="shared" si="334"/>
        <v>0</v>
      </c>
      <c r="AG237" s="61">
        <f>P166</f>
        <v>0</v>
      </c>
      <c r="AH237" s="61" t="e">
        <f>BQ166</f>
        <v>#DIV/0!</v>
      </c>
      <c r="AI237" s="61">
        <f>BR166</f>
        <v>0</v>
      </c>
      <c r="AJ237" s="61" t="e">
        <f>BT166</f>
        <v>#DIV/0!</v>
      </c>
      <c r="AK237" s="61">
        <f>BU166</f>
        <v>0</v>
      </c>
      <c r="AL237" s="61">
        <f>BV166</f>
        <v>0</v>
      </c>
      <c r="AM237" s="61">
        <f>BX166</f>
        <v>0.74105594897535321</v>
      </c>
      <c r="AN237" s="61">
        <f>BY166</f>
        <v>0</v>
      </c>
      <c r="AO237" s="61" t="e">
        <f>BZ166</f>
        <v>#DIV/0!</v>
      </c>
      <c r="AP237" s="61" t="e">
        <f>CA166</f>
        <v>#DIV/0!</v>
      </c>
      <c r="AQ237" s="61" t="e">
        <f>CB166</f>
        <v>#DIV/0!</v>
      </c>
      <c r="AR237" s="61" t="e">
        <f>CN166</f>
        <v>#N/A</v>
      </c>
      <c r="AS237" s="61">
        <f>CO166</f>
        <v>0</v>
      </c>
    </row>
    <row r="238" spans="1:45" x14ac:dyDescent="0.25">
      <c r="A238" s="60">
        <v>45</v>
      </c>
      <c r="B238" s="61">
        <f>BF121</f>
        <v>0</v>
      </c>
      <c r="C238" s="61">
        <f>BG121</f>
        <v>0</v>
      </c>
      <c r="D238" s="61">
        <f>BH121</f>
        <v>0</v>
      </c>
      <c r="E238" s="61">
        <f>AA121</f>
        <v>0</v>
      </c>
      <c r="F238" s="61">
        <f>AB121</f>
        <v>0</v>
      </c>
      <c r="G238" s="61">
        <f>AC121</f>
        <v>0</v>
      </c>
      <c r="H238" s="61">
        <f>AH121</f>
        <v>0</v>
      </c>
      <c r="I238" s="61">
        <f>AI121</f>
        <v>0</v>
      </c>
      <c r="J238" s="61">
        <f>AJ121</f>
        <v>0</v>
      </c>
      <c r="K238" s="61">
        <f t="shared" ref="K238:R238" si="335">BI121</f>
        <v>0.89999999999999991</v>
      </c>
      <c r="L238" s="61">
        <f t="shared" si="335"/>
        <v>0.89999999999999991</v>
      </c>
      <c r="M238" s="61" t="e">
        <f t="shared" si="335"/>
        <v>#DIV/0!</v>
      </c>
      <c r="N238" s="61">
        <f t="shared" si="335"/>
        <v>0.89999999999999991</v>
      </c>
      <c r="O238" s="61">
        <f t="shared" si="335"/>
        <v>0.89999999999999991</v>
      </c>
      <c r="P238" s="61">
        <f t="shared" si="335"/>
        <v>0.89999999999999991</v>
      </c>
      <c r="Q238" s="61" t="e">
        <f t="shared" si="335"/>
        <v>#DIV/0!</v>
      </c>
      <c r="R238" s="61">
        <f t="shared" si="335"/>
        <v>0.89999999999999991</v>
      </c>
      <c r="S238" s="61">
        <f>AK121</f>
        <v>0</v>
      </c>
      <c r="T238" s="61">
        <f>AW121</f>
        <v>0</v>
      </c>
      <c r="U238" s="61">
        <f>AX121</f>
        <v>0</v>
      </c>
      <c r="V238" s="91">
        <f t="shared" si="333"/>
        <v>0</v>
      </c>
      <c r="W238" s="61">
        <f>AM121</f>
        <v>0</v>
      </c>
      <c r="X238" s="61">
        <f>AL121</f>
        <v>0</v>
      </c>
      <c r="Y238" s="61">
        <f>AN121</f>
        <v>0</v>
      </c>
      <c r="Z238" s="61">
        <f>AO121</f>
        <v>0</v>
      </c>
      <c r="AA238" s="61">
        <f t="shared" ref="AA238:AF238" si="336">AQ121</f>
        <v>0</v>
      </c>
      <c r="AB238" s="61">
        <f t="shared" si="336"/>
        <v>0</v>
      </c>
      <c r="AC238" s="61">
        <f t="shared" si="336"/>
        <v>0</v>
      </c>
      <c r="AD238" s="61">
        <f t="shared" si="336"/>
        <v>0</v>
      </c>
      <c r="AE238" s="61">
        <f t="shared" si="336"/>
        <v>0</v>
      </c>
      <c r="AF238" s="61">
        <f t="shared" si="336"/>
        <v>0</v>
      </c>
      <c r="AG238" s="61">
        <f>P121</f>
        <v>0</v>
      </c>
      <c r="AH238" s="61" t="e">
        <f>BQ121</f>
        <v>#DIV/0!</v>
      </c>
      <c r="AI238" s="61">
        <f>BR121</f>
        <v>0</v>
      </c>
      <c r="AJ238" s="61" t="e">
        <f>BT121</f>
        <v>#DIV/0!</v>
      </c>
      <c r="AK238" s="61">
        <f>BU121</f>
        <v>0</v>
      </c>
      <c r="AL238" s="61">
        <f>BV121</f>
        <v>0</v>
      </c>
      <c r="AM238" s="61">
        <f>BX121</f>
        <v>0.74105594897535321</v>
      </c>
      <c r="AN238" s="61">
        <f>BY121</f>
        <v>0</v>
      </c>
      <c r="AO238" s="61" t="e">
        <f>BZ121</f>
        <v>#DIV/0!</v>
      </c>
      <c r="AP238" s="61" t="e">
        <f>CA121</f>
        <v>#DIV/0!</v>
      </c>
      <c r="AQ238" s="61" t="e">
        <f>CB121</f>
        <v>#DIV/0!</v>
      </c>
      <c r="AR238" s="61" t="e">
        <f>CN121</f>
        <v>#N/A</v>
      </c>
      <c r="AS238" s="61">
        <f>CO121</f>
        <v>0</v>
      </c>
    </row>
    <row r="239" spans="1:45" x14ac:dyDescent="0.25">
      <c r="A239" s="60">
        <v>67.5</v>
      </c>
      <c r="B239" s="61">
        <f>BF74</f>
        <v>0</v>
      </c>
      <c r="C239" s="61">
        <f>BG74</f>
        <v>0</v>
      </c>
      <c r="D239" s="61">
        <f>BH74</f>
        <v>0</v>
      </c>
      <c r="E239" s="61">
        <f>AA74</f>
        <v>0</v>
      </c>
      <c r="F239" s="61">
        <f>AB74</f>
        <v>0</v>
      </c>
      <c r="G239" s="61">
        <f>AC74</f>
        <v>0</v>
      </c>
      <c r="H239" s="61">
        <f>AH74</f>
        <v>0</v>
      </c>
      <c r="I239" s="61">
        <f>AI74</f>
        <v>0</v>
      </c>
      <c r="J239" s="61">
        <f>AJ74</f>
        <v>0</v>
      </c>
      <c r="K239" s="61">
        <f t="shared" ref="K239:R239" si="337">BI74</f>
        <v>0.89999999999999991</v>
      </c>
      <c r="L239" s="61">
        <f t="shared" si="337"/>
        <v>0.89999999999999991</v>
      </c>
      <c r="M239" s="61" t="e">
        <f t="shared" si="337"/>
        <v>#DIV/0!</v>
      </c>
      <c r="N239" s="61">
        <f t="shared" si="337"/>
        <v>0.89999999999999991</v>
      </c>
      <c r="O239" s="61">
        <f t="shared" si="337"/>
        <v>0.89999999999999991</v>
      </c>
      <c r="P239" s="61">
        <f t="shared" si="337"/>
        <v>0.89999999999999991</v>
      </c>
      <c r="Q239" s="61" t="e">
        <f t="shared" si="337"/>
        <v>#DIV/0!</v>
      </c>
      <c r="R239" s="61">
        <f t="shared" si="337"/>
        <v>0.89999999999999991</v>
      </c>
      <c r="S239" s="61">
        <f>AK74</f>
        <v>0</v>
      </c>
      <c r="T239" s="61">
        <f>AW74</f>
        <v>0</v>
      </c>
      <c r="U239" s="61">
        <f>AX74</f>
        <v>0</v>
      </c>
      <c r="V239" s="91">
        <f t="shared" si="333"/>
        <v>0</v>
      </c>
      <c r="W239" s="61">
        <f>AM74</f>
        <v>0</v>
      </c>
      <c r="X239" s="61">
        <f>AL74</f>
        <v>0</v>
      </c>
      <c r="Y239" s="61">
        <f>AN74</f>
        <v>0</v>
      </c>
      <c r="Z239" s="61">
        <f>AO74</f>
        <v>0</v>
      </c>
      <c r="AA239" s="61">
        <f t="shared" ref="AA239:AF239" si="338">AQ74</f>
        <v>0</v>
      </c>
      <c r="AB239" s="61">
        <f t="shared" si="338"/>
        <v>0</v>
      </c>
      <c r="AC239" s="61">
        <f t="shared" si="338"/>
        <v>0</v>
      </c>
      <c r="AD239" s="61">
        <f t="shared" si="338"/>
        <v>0</v>
      </c>
      <c r="AE239" s="61">
        <f t="shared" si="338"/>
        <v>0</v>
      </c>
      <c r="AF239" s="61">
        <f t="shared" si="338"/>
        <v>0</v>
      </c>
      <c r="AG239" s="61">
        <f>P74</f>
        <v>0</v>
      </c>
      <c r="AH239" s="61" t="e">
        <f>BQ74</f>
        <v>#DIV/0!</v>
      </c>
      <c r="AI239" s="61">
        <f>BR74</f>
        <v>0</v>
      </c>
      <c r="AJ239" s="61" t="e">
        <f>BT74</f>
        <v>#DIV/0!</v>
      </c>
      <c r="AK239" s="61">
        <f>BU74</f>
        <v>0</v>
      </c>
      <c r="AL239" s="61">
        <f>BV74</f>
        <v>0</v>
      </c>
      <c r="AM239" s="61">
        <f>BX74</f>
        <v>0.74105594897535321</v>
      </c>
      <c r="AN239" s="61">
        <f>BY74</f>
        <v>0</v>
      </c>
      <c r="AO239" s="61" t="e">
        <f>BZ74</f>
        <v>#DIV/0!</v>
      </c>
      <c r="AP239" s="61" t="e">
        <f>CA74</f>
        <v>#DIV/0!</v>
      </c>
      <c r="AQ239" s="61" t="e">
        <f>CB74</f>
        <v>#DIV/0!</v>
      </c>
      <c r="AR239" s="61" t="e">
        <f>CN121</f>
        <v>#N/A</v>
      </c>
      <c r="AS239" s="61">
        <f>CO121</f>
        <v>0</v>
      </c>
    </row>
    <row r="240" spans="1:45" x14ac:dyDescent="0.25">
      <c r="A240" s="60">
        <v>90</v>
      </c>
      <c r="B240" s="61">
        <f>BF29</f>
        <v>21.435999999999996</v>
      </c>
      <c r="C240" s="61">
        <f>BG29</f>
        <v>0</v>
      </c>
      <c r="D240" s="61">
        <f>BH29</f>
        <v>21.435999999999996</v>
      </c>
      <c r="E240" s="61">
        <f>AA29</f>
        <v>5.024399999999999E-2</v>
      </c>
      <c r="F240" s="61">
        <f>AB29</f>
        <v>0</v>
      </c>
      <c r="G240" s="61">
        <f>AC29</f>
        <v>5.024399999999999E-2</v>
      </c>
      <c r="H240" s="61">
        <f>AH29</f>
        <v>77.814133333333331</v>
      </c>
      <c r="I240" s="61">
        <f>AI29</f>
        <v>0</v>
      </c>
      <c r="J240" s="61">
        <f>AJ29</f>
        <v>77.814133333333331</v>
      </c>
      <c r="K240" s="61">
        <f t="shared" ref="K240:R240" si="339">BI29</f>
        <v>1.1079841066358584</v>
      </c>
      <c r="L240" s="61">
        <f t="shared" si="339"/>
        <v>1.1079841066358584</v>
      </c>
      <c r="M240" s="61" t="e">
        <f t="shared" si="339"/>
        <v>#DIV/0!</v>
      </c>
      <c r="N240" s="61">
        <f t="shared" si="339"/>
        <v>0.89999999999999991</v>
      </c>
      <c r="O240" s="61">
        <f t="shared" si="339"/>
        <v>1.1079841066358584</v>
      </c>
      <c r="P240" s="61">
        <f t="shared" si="339"/>
        <v>1.0800581000588849</v>
      </c>
      <c r="Q240" s="61" t="e">
        <f t="shared" si="339"/>
        <v>#DIV/0!</v>
      </c>
      <c r="R240" s="61">
        <f t="shared" si="339"/>
        <v>1.0800581000588849</v>
      </c>
      <c r="S240" s="61">
        <f>AK29</f>
        <v>1.8</v>
      </c>
      <c r="T240" s="61">
        <f>AW29</f>
        <v>0.19525333333333339</v>
      </c>
      <c r="U240" s="61">
        <f>AX29</f>
        <v>0</v>
      </c>
      <c r="V240" s="91">
        <f t="shared" si="333"/>
        <v>0.19525333333333339</v>
      </c>
      <c r="W240" s="61">
        <f>AM29</f>
        <v>0</v>
      </c>
      <c r="X240" s="61">
        <f>AL29</f>
        <v>1.1415999999999999</v>
      </c>
      <c r="Y240" s="61">
        <f>AN29</f>
        <v>0</v>
      </c>
      <c r="Z240" s="61">
        <f>AO29</f>
        <v>0.49022666666666664</v>
      </c>
      <c r="AA240" s="61">
        <f t="shared" ref="AA240:AF240" si="340">AQ29</f>
        <v>9.2733333333333334E-2</v>
      </c>
      <c r="AB240" s="61">
        <f t="shared" si="340"/>
        <v>0</v>
      </c>
      <c r="AC240" s="61">
        <f t="shared" si="340"/>
        <v>0.10660000000000001</v>
      </c>
      <c r="AD240" s="61">
        <f t="shared" si="340"/>
        <v>5.2639999999999999E-2</v>
      </c>
      <c r="AE240" s="61">
        <f t="shared" si="340"/>
        <v>0</v>
      </c>
      <c r="AF240" s="61">
        <f t="shared" si="340"/>
        <v>5.2639999999999999E-2</v>
      </c>
      <c r="AG240" s="61">
        <f>P29</f>
        <v>21.437333333333335</v>
      </c>
      <c r="AH240" s="61" t="e">
        <f>BQ29</f>
        <v>#DIV/0!</v>
      </c>
      <c r="AI240" s="61">
        <f>BR29</f>
        <v>83.121559999999988</v>
      </c>
      <c r="AJ240" s="61" t="e">
        <f>BT29</f>
        <v>#DIV/0!</v>
      </c>
      <c r="AK240" s="61">
        <f>BU29</f>
        <v>0</v>
      </c>
      <c r="AL240" s="61">
        <f>BV29</f>
        <v>0</v>
      </c>
      <c r="AM240" s="61">
        <f>BX29</f>
        <v>0.7527639838848208</v>
      </c>
      <c r="AN240" s="61">
        <f>BY29</f>
        <v>4.2200341430518228E-2</v>
      </c>
      <c r="AO240" s="61" t="e">
        <f>BZ29</f>
        <v>#DIV/0!</v>
      </c>
      <c r="AP240" s="61" t="e">
        <f>CA29</f>
        <v>#DIV/0!</v>
      </c>
      <c r="AQ240" s="61" t="e">
        <f>CB29</f>
        <v>#DIV/0!</v>
      </c>
      <c r="AR240" s="61" t="e">
        <f>CN29</f>
        <v>#N/A</v>
      </c>
      <c r="AS240" s="61">
        <f>CO29</f>
        <v>6.9986459598004661E-2</v>
      </c>
    </row>
    <row r="241" spans="1:51" x14ac:dyDescent="0.25">
      <c r="A241" s="60">
        <v>112.5</v>
      </c>
      <c r="B241" s="61" t="e">
        <f>EV74</f>
        <v>#DIV/0!</v>
      </c>
      <c r="C241" s="61" t="e">
        <f>EW74</f>
        <v>#DIV/0!</v>
      </c>
      <c r="D241" s="61" t="e">
        <f>EX74</f>
        <v>#DIV/0!</v>
      </c>
      <c r="E241" s="61">
        <f>DQ74</f>
        <v>0</v>
      </c>
      <c r="F241" s="61">
        <f>DR74</f>
        <v>0</v>
      </c>
      <c r="G241" s="61">
        <f>DS74</f>
        <v>0</v>
      </c>
      <c r="H241" s="61">
        <f>DX74</f>
        <v>0</v>
      </c>
      <c r="I241" s="61">
        <f>DY74</f>
        <v>0</v>
      </c>
      <c r="J241" s="61">
        <f>DZ74</f>
        <v>0</v>
      </c>
      <c r="K241" s="61">
        <f t="shared" ref="K241:R241" si="341">EY74</f>
        <v>0.85333333333333339</v>
      </c>
      <c r="L241" s="61">
        <f t="shared" si="341"/>
        <v>0.85333333333333339</v>
      </c>
      <c r="M241" s="61" t="e">
        <f t="shared" si="341"/>
        <v>#DIV/0!</v>
      </c>
      <c r="N241" s="61">
        <f t="shared" si="341"/>
        <v>0.85333333333333339</v>
      </c>
      <c r="O241" s="61">
        <f t="shared" si="341"/>
        <v>0.85333333333333339</v>
      </c>
      <c r="P241" s="61">
        <f t="shared" si="341"/>
        <v>0.85333333333333339</v>
      </c>
      <c r="Q241" s="61" t="e">
        <f t="shared" si="341"/>
        <v>#DIV/0!</v>
      </c>
      <c r="R241" s="61">
        <f t="shared" si="341"/>
        <v>0.85333333333333339</v>
      </c>
      <c r="S241" s="61">
        <f>EA74</f>
        <v>0</v>
      </c>
      <c r="T241" s="61">
        <f>EM74</f>
        <v>0</v>
      </c>
      <c r="U241" s="61">
        <f>EN74</f>
        <v>0</v>
      </c>
      <c r="V241" s="91">
        <f t="shared" ref="V241:V243" si="342">T241+U241</f>
        <v>0</v>
      </c>
      <c r="W241" s="61">
        <f>EC74</f>
        <v>0</v>
      </c>
      <c r="X241" s="61">
        <f>EB74</f>
        <v>0</v>
      </c>
      <c r="Y241" s="61">
        <f>ED74</f>
        <v>0</v>
      </c>
      <c r="Z241" s="61">
        <f>EE74</f>
        <v>0</v>
      </c>
      <c r="AA241" s="61">
        <f t="shared" ref="AA241:AF241" si="343">EG74</f>
        <v>0</v>
      </c>
      <c r="AB241" s="61">
        <f t="shared" si="343"/>
        <v>0</v>
      </c>
      <c r="AC241" s="61">
        <f t="shared" si="343"/>
        <v>0</v>
      </c>
      <c r="AD241" s="61">
        <f t="shared" si="343"/>
        <v>0</v>
      </c>
      <c r="AE241" s="61">
        <f t="shared" si="343"/>
        <v>0</v>
      </c>
      <c r="AF241" s="61">
        <f t="shared" si="343"/>
        <v>0</v>
      </c>
      <c r="AG241" s="61">
        <f>DF74</f>
        <v>0</v>
      </c>
      <c r="AH241" s="61" t="e">
        <f>FG74</f>
        <v>#DIV/0!</v>
      </c>
      <c r="AI241" s="61">
        <f>FH74</f>
        <v>0</v>
      </c>
      <c r="AJ241" s="61" t="e">
        <f>FJ74</f>
        <v>#DIV/0!</v>
      </c>
      <c r="AK241" s="61">
        <f>FK74</f>
        <v>0</v>
      </c>
      <c r="AL241" s="61">
        <f>FL74</f>
        <v>0</v>
      </c>
      <c r="AM241" s="61" t="e">
        <f t="shared" ref="AM241:AQ241" si="344">FN74</f>
        <v>#N/A</v>
      </c>
      <c r="AN241" s="61" t="e">
        <f t="shared" si="344"/>
        <v>#N/A</v>
      </c>
      <c r="AO241" s="61" t="e">
        <f t="shared" si="344"/>
        <v>#DIV/0!</v>
      </c>
      <c r="AP241" s="61" t="e">
        <f t="shared" si="344"/>
        <v>#DIV/0!</v>
      </c>
      <c r="AQ241" s="61" t="e">
        <f t="shared" si="344"/>
        <v>#DIV/0!</v>
      </c>
      <c r="AR241" s="61" t="e">
        <f>GD74</f>
        <v>#N/A</v>
      </c>
      <c r="AS241" s="61">
        <f>GE74</f>
        <v>0</v>
      </c>
    </row>
    <row r="242" spans="1:51" x14ac:dyDescent="0.25">
      <c r="A242" s="60">
        <v>135</v>
      </c>
      <c r="B242" s="61" t="e">
        <f>EV121</f>
        <v>#DIV/0!</v>
      </c>
      <c r="C242" s="61" t="e">
        <f>EW121</f>
        <v>#DIV/0!</v>
      </c>
      <c r="D242" s="61" t="e">
        <f>EX121</f>
        <v>#DIV/0!</v>
      </c>
      <c r="E242" s="61">
        <f>DQ121</f>
        <v>0</v>
      </c>
      <c r="F242" s="61">
        <f>DR121</f>
        <v>0</v>
      </c>
      <c r="G242" s="61">
        <f>DS121</f>
        <v>0</v>
      </c>
      <c r="H242" s="61">
        <f>DX121</f>
        <v>0</v>
      </c>
      <c r="I242" s="61">
        <f>DY121</f>
        <v>0</v>
      </c>
      <c r="J242" s="61">
        <f>DZ121</f>
        <v>0</v>
      </c>
      <c r="K242" s="61">
        <f t="shared" ref="K242:R242" si="345">EY121</f>
        <v>0.85333333333333339</v>
      </c>
      <c r="L242" s="61">
        <f t="shared" si="345"/>
        <v>0.85333333333333339</v>
      </c>
      <c r="M242" s="61" t="e">
        <f t="shared" si="345"/>
        <v>#DIV/0!</v>
      </c>
      <c r="N242" s="61">
        <f t="shared" si="345"/>
        <v>0.85333333333333339</v>
      </c>
      <c r="O242" s="61">
        <f t="shared" si="345"/>
        <v>0.85333333333333339</v>
      </c>
      <c r="P242" s="61">
        <f t="shared" si="345"/>
        <v>0.85333333333333339</v>
      </c>
      <c r="Q242" s="61" t="e">
        <f t="shared" si="345"/>
        <v>#DIV/0!</v>
      </c>
      <c r="R242" s="61">
        <f t="shared" si="345"/>
        <v>0.85333333333333339</v>
      </c>
      <c r="S242" s="61">
        <f>EA121</f>
        <v>0</v>
      </c>
      <c r="T242" s="61">
        <f>EM121</f>
        <v>0</v>
      </c>
      <c r="U242" s="61">
        <f>EN121</f>
        <v>0</v>
      </c>
      <c r="V242" s="91">
        <f t="shared" si="342"/>
        <v>0</v>
      </c>
      <c r="W242" s="61">
        <f>EC121</f>
        <v>0</v>
      </c>
      <c r="X242" s="61">
        <f>EB121</f>
        <v>0</v>
      </c>
      <c r="Y242" s="61">
        <f>ED121</f>
        <v>0</v>
      </c>
      <c r="Z242" s="61">
        <f>EE121</f>
        <v>0</v>
      </c>
      <c r="AA242" s="61">
        <f t="shared" ref="AA242:AF242" si="346">EG121</f>
        <v>0</v>
      </c>
      <c r="AB242" s="61">
        <f t="shared" si="346"/>
        <v>0</v>
      </c>
      <c r="AC242" s="61">
        <f t="shared" si="346"/>
        <v>0</v>
      </c>
      <c r="AD242" s="61">
        <f t="shared" si="346"/>
        <v>0</v>
      </c>
      <c r="AE242" s="61">
        <f t="shared" si="346"/>
        <v>0</v>
      </c>
      <c r="AF242" s="61">
        <f t="shared" si="346"/>
        <v>0</v>
      </c>
      <c r="AG242" s="61">
        <f>DF121</f>
        <v>0</v>
      </c>
      <c r="AH242" s="61" t="e">
        <f>FG121</f>
        <v>#DIV/0!</v>
      </c>
      <c r="AI242" s="61">
        <f>FH121</f>
        <v>0</v>
      </c>
      <c r="AJ242" s="61" t="e">
        <f>FJ121</f>
        <v>#DIV/0!</v>
      </c>
      <c r="AK242" s="61">
        <f>FK121</f>
        <v>0</v>
      </c>
      <c r="AL242" s="61">
        <f>FL121</f>
        <v>0</v>
      </c>
      <c r="AM242" s="61" t="e">
        <f t="shared" ref="AM242:AQ242" si="347">FN121</f>
        <v>#N/A</v>
      </c>
      <c r="AN242" s="61" t="e">
        <f t="shared" si="347"/>
        <v>#N/A</v>
      </c>
      <c r="AO242" s="61" t="e">
        <f t="shared" si="347"/>
        <v>#DIV/0!</v>
      </c>
      <c r="AP242" s="61" t="e">
        <f t="shared" si="347"/>
        <v>#DIV/0!</v>
      </c>
      <c r="AQ242" s="61" t="e">
        <f t="shared" si="347"/>
        <v>#DIV/0!</v>
      </c>
      <c r="AR242" s="61" t="e">
        <f>GD121</f>
        <v>#N/A</v>
      </c>
      <c r="AS242" s="61">
        <f>GE121</f>
        <v>0</v>
      </c>
    </row>
    <row r="243" spans="1:51" x14ac:dyDescent="0.25">
      <c r="A243" s="60">
        <v>157.5</v>
      </c>
      <c r="B243" s="61" t="e">
        <f>EV166</f>
        <v>#DIV/0!</v>
      </c>
      <c r="C243" s="61" t="e">
        <f t="shared" ref="C243:D243" si="348">EW166</f>
        <v>#DIV/0!</v>
      </c>
      <c r="D243" s="61" t="e">
        <f t="shared" si="348"/>
        <v>#DIV/0!</v>
      </c>
      <c r="E243" s="61">
        <f>DQ166</f>
        <v>0</v>
      </c>
      <c r="F243" s="61">
        <f t="shared" ref="F243:G243" si="349">DR166</f>
        <v>0</v>
      </c>
      <c r="G243" s="61">
        <f t="shared" si="349"/>
        <v>0</v>
      </c>
      <c r="H243" s="61">
        <f>DX166</f>
        <v>0</v>
      </c>
      <c r="I243" s="61">
        <f t="shared" ref="I243:J243" si="350">DY166</f>
        <v>0</v>
      </c>
      <c r="J243" s="61">
        <f t="shared" si="350"/>
        <v>0</v>
      </c>
      <c r="K243" s="61">
        <f>EY166</f>
        <v>0.85333333333333339</v>
      </c>
      <c r="L243" s="61">
        <f t="shared" ref="L243:R243" si="351">EZ166</f>
        <v>0.85333333333333339</v>
      </c>
      <c r="M243" s="61" t="e">
        <f t="shared" si="351"/>
        <v>#DIV/0!</v>
      </c>
      <c r="N243" s="61">
        <f t="shared" si="351"/>
        <v>0.85333333333333339</v>
      </c>
      <c r="O243" s="61">
        <f t="shared" si="351"/>
        <v>0.85333333333333339</v>
      </c>
      <c r="P243" s="61">
        <f t="shared" si="351"/>
        <v>0.85333333333333339</v>
      </c>
      <c r="Q243" s="61" t="e">
        <f t="shared" si="351"/>
        <v>#DIV/0!</v>
      </c>
      <c r="R243" s="61">
        <f t="shared" si="351"/>
        <v>0.85333333333333339</v>
      </c>
      <c r="S243" s="61">
        <f>EA166</f>
        <v>0</v>
      </c>
      <c r="T243" s="61">
        <f>EM166</f>
        <v>0</v>
      </c>
      <c r="U243" s="61">
        <f>EN166</f>
        <v>0</v>
      </c>
      <c r="V243" s="91">
        <f t="shared" si="342"/>
        <v>0</v>
      </c>
      <c r="W243" s="61">
        <f>EC166</f>
        <v>0</v>
      </c>
      <c r="X243" s="61">
        <f>EB166</f>
        <v>0</v>
      </c>
      <c r="Y243" s="61">
        <f>ED166</f>
        <v>0</v>
      </c>
      <c r="Z243" s="61">
        <f>EE166</f>
        <v>0</v>
      </c>
      <c r="AA243" s="61">
        <f>EG166</f>
        <v>0</v>
      </c>
      <c r="AB243" s="61">
        <f t="shared" ref="AB243:AC243" si="352">EH166</f>
        <v>0</v>
      </c>
      <c r="AC243" s="61">
        <f t="shared" si="352"/>
        <v>0</v>
      </c>
      <c r="AD243" s="61">
        <f>EJ166</f>
        <v>0</v>
      </c>
      <c r="AE243" s="61">
        <f t="shared" ref="AE243" si="353">EK166</f>
        <v>0</v>
      </c>
      <c r="AF243" s="61">
        <f>EL166</f>
        <v>0</v>
      </c>
      <c r="AG243" s="61">
        <f>DF166</f>
        <v>0</v>
      </c>
      <c r="AH243" s="61" t="e">
        <f>FG166</f>
        <v>#DIV/0!</v>
      </c>
      <c r="AI243" s="61">
        <f t="shared" ref="AI243" si="354">FH166</f>
        <v>0</v>
      </c>
      <c r="AJ243" s="61" t="e">
        <f>FJ166</f>
        <v>#DIV/0!</v>
      </c>
      <c r="AK243" s="61">
        <f t="shared" ref="AK243:AL243" si="355">FK166</f>
        <v>0</v>
      </c>
      <c r="AL243" s="61">
        <f t="shared" si="355"/>
        <v>0</v>
      </c>
      <c r="AM243" s="61" t="e">
        <f>FN166</f>
        <v>#N/A</v>
      </c>
      <c r="AN243" s="61" t="e">
        <f t="shared" ref="AN243:AQ243" si="356">FO166</f>
        <v>#N/A</v>
      </c>
      <c r="AO243" s="61" t="e">
        <f t="shared" si="356"/>
        <v>#DIV/0!</v>
      </c>
      <c r="AP243" s="61" t="e">
        <f t="shared" si="356"/>
        <v>#DIV/0!</v>
      </c>
      <c r="AQ243" s="61" t="e">
        <f t="shared" si="356"/>
        <v>#DIV/0!</v>
      </c>
      <c r="AR243" s="61" t="e">
        <f>GD166</f>
        <v>#N/A</v>
      </c>
      <c r="AS243" s="61">
        <f>GE166</f>
        <v>0</v>
      </c>
    </row>
    <row r="245" spans="1:51" ht="19.5" x14ac:dyDescent="0.35">
      <c r="B245" s="136" t="s">
        <v>191</v>
      </c>
      <c r="C245" s="136" t="s">
        <v>192</v>
      </c>
      <c r="D245" s="136" t="s">
        <v>193</v>
      </c>
      <c r="E245" s="137" t="s">
        <v>132</v>
      </c>
      <c r="F245" s="137" t="s">
        <v>133</v>
      </c>
      <c r="G245" s="137" t="s">
        <v>90</v>
      </c>
      <c r="H245" s="137" t="s">
        <v>154</v>
      </c>
      <c r="I245" s="137" t="s">
        <v>155</v>
      </c>
      <c r="J245" s="137" t="s">
        <v>91</v>
      </c>
      <c r="K245" s="136" t="s">
        <v>201</v>
      </c>
      <c r="L245" s="136" t="s">
        <v>202</v>
      </c>
      <c r="M245" s="136" t="s">
        <v>182</v>
      </c>
      <c r="N245" s="136" t="s">
        <v>203</v>
      </c>
      <c r="O245" s="136" t="s">
        <v>183</v>
      </c>
      <c r="P245" s="136" t="s">
        <v>184</v>
      </c>
      <c r="Q245" s="136" t="s">
        <v>185</v>
      </c>
      <c r="R245" s="136" t="s">
        <v>186</v>
      </c>
      <c r="S245" s="136" t="s">
        <v>92</v>
      </c>
      <c r="T245" s="136" t="s">
        <v>125</v>
      </c>
      <c r="U245" s="136" t="s">
        <v>145</v>
      </c>
      <c r="V245" s="136" t="s">
        <v>146</v>
      </c>
      <c r="W245" s="136" t="s">
        <v>93</v>
      </c>
      <c r="X245" s="136" t="s">
        <v>175</v>
      </c>
      <c r="Y245" s="136" t="s">
        <v>176</v>
      </c>
      <c r="Z245" s="136" t="s">
        <v>94</v>
      </c>
      <c r="AA245" s="136" t="s">
        <v>138</v>
      </c>
      <c r="AB245" s="136" t="s">
        <v>96</v>
      </c>
      <c r="AC245" s="136" t="s">
        <v>97</v>
      </c>
      <c r="AD245" s="137" t="s">
        <v>147</v>
      </c>
      <c r="AE245" s="137" t="s">
        <v>148</v>
      </c>
      <c r="AF245" s="137" t="s">
        <v>98</v>
      </c>
      <c r="AG245" s="137" t="s">
        <v>139</v>
      </c>
      <c r="AH245" s="136" t="s">
        <v>195</v>
      </c>
      <c r="AI245" s="137" t="s">
        <v>140</v>
      </c>
      <c r="AJ245" s="136" t="s">
        <v>131</v>
      </c>
      <c r="AK245" s="136" t="s">
        <v>197</v>
      </c>
      <c r="AL245" s="136" t="s">
        <v>200</v>
      </c>
      <c r="AM245" s="137" t="s">
        <v>57</v>
      </c>
      <c r="AN245" s="137" t="s">
        <v>76</v>
      </c>
      <c r="AO245" s="137" t="s">
        <v>262</v>
      </c>
      <c r="AP245" s="136" t="s">
        <v>141</v>
      </c>
      <c r="AQ245" s="137" t="s">
        <v>100</v>
      </c>
      <c r="AR245" s="137" t="s">
        <v>305</v>
      </c>
      <c r="AS245" s="137" t="s">
        <v>309</v>
      </c>
      <c r="AU245" s="137" t="s">
        <v>102</v>
      </c>
      <c r="AV245" s="137" t="s">
        <v>142</v>
      </c>
      <c r="AW245" s="137" t="s">
        <v>143</v>
      </c>
      <c r="AX245" s="137" t="s">
        <v>144</v>
      </c>
      <c r="AY245" s="137" t="s">
        <v>242</v>
      </c>
    </row>
    <row r="246" spans="1:51" x14ac:dyDescent="0.25">
      <c r="B246" s="61">
        <f>IF('1'!$B$6=90, B240, (B236+2*B237+2*B238+2*B239+B240)/8)</f>
        <v>21.435999999999996</v>
      </c>
      <c r="C246" s="61">
        <f>IF('1'!$B$6=90, C240, (C236+2*C237+2*C238+2*C239+C240)/8)</f>
        <v>0</v>
      </c>
      <c r="D246" s="61">
        <f>IF('1'!$B$6=90, D240, (D236+2*D237+2*D238+2*D239+D240)/8)</f>
        <v>21.435999999999996</v>
      </c>
      <c r="E246" s="61">
        <f>IF('1'!$B$6=90, E240, (E236+2*E237+2*E238+2*E239+E240)/8)</f>
        <v>5.024399999999999E-2</v>
      </c>
      <c r="F246" s="61">
        <f>IF('1'!$B$6=90, F240, (F236+2*F237+2*F238+2*F239+F240)/8)</f>
        <v>0</v>
      </c>
      <c r="G246" s="61">
        <f>IF('1'!$B$6=90, G240, (G236+2*G237+2*G238+2*G239+G240)/8)</f>
        <v>5.024399999999999E-2</v>
      </c>
      <c r="H246" s="61">
        <f>IF('1'!$B$6=90, H240, (H236+2*H237+2*H238+2*H239+H240)/8)</f>
        <v>77.814133333333331</v>
      </c>
      <c r="I246" s="61">
        <f>IF('1'!$B$6=90, I240, (I236+2*I237+2*I238+2*I239+I240)/8)</f>
        <v>0</v>
      </c>
      <c r="J246" s="61">
        <f>IF('1'!$B$6=90, J240, (J236+2*J237+2*J238+2*J239+J240)/8)</f>
        <v>77.814133333333331</v>
      </c>
      <c r="K246" s="61">
        <f>IF('1'!$B$6=90, K240, (K236+2*K237+2*K238+2*K239+K240)/8)</f>
        <v>1.1079841066358584</v>
      </c>
      <c r="L246" s="61">
        <f>IF('1'!$B$6=90, L240, (L236+2*L237+2*L238+2*L239+L240)/8)</f>
        <v>1.1079841066358584</v>
      </c>
      <c r="M246" s="61" t="e">
        <f>IF('1'!$B$6=90, M240, (M236+2*M237+2*M238+2*M239+M240)/8)</f>
        <v>#DIV/0!</v>
      </c>
      <c r="N246" s="61">
        <f>IF('1'!$B$6=90, N240, (N236+2*N237+2*N238+2*N239+N240)/8)</f>
        <v>0.89999999999999991</v>
      </c>
      <c r="O246" s="61">
        <f>IF('1'!$B$6=90, O240, (O236+2*O237+2*O238+2*O239+O240)/8)</f>
        <v>1.1079841066358584</v>
      </c>
      <c r="P246" s="61">
        <f>IF('1'!$B$6=90, P240, (P236+2*P237+2*P238+2*P239+P240)/8)</f>
        <v>1.0800581000588849</v>
      </c>
      <c r="Q246" s="61" t="e">
        <f>IF('1'!$B$6=90, Q240, (Q236+2*Q237+2*Q238+2*Q239+Q240)/8)</f>
        <v>#DIV/0!</v>
      </c>
      <c r="R246" s="61">
        <f>IF('1'!$B$6=90, R240, (R236+2*R237+2*R238+2*R239+R240)/8)</f>
        <v>1.0800581000588849</v>
      </c>
      <c r="S246" s="61">
        <f>IF('1'!$B$6=90, S240, (S236+2*S237+2*S238+2*S239+S240)/8)</f>
        <v>1.8</v>
      </c>
      <c r="T246" s="61">
        <f>IF('1'!$B$6=90, T240, (T236+2*T237+2*T238+2*T239+T240)/8)</f>
        <v>0.19525333333333339</v>
      </c>
      <c r="U246" s="61">
        <f>IF('1'!$B$6=90, U240, (U236+2*U237+2*U238+2*U239+U240)/8)</f>
        <v>0</v>
      </c>
      <c r="V246" s="61">
        <f>IF('1'!$B$6=90, V240, (V236+2*V237+2*V238+2*V239+V240)/8)</f>
        <v>0.19525333333333339</v>
      </c>
      <c r="W246" s="61">
        <f>IF('1'!$B$6=90, W240, (W236+2*W237+2*W238+2*W239+W240)/8)</f>
        <v>0</v>
      </c>
      <c r="X246" s="61">
        <f>IF('1'!$B$6=90, X240, (X236+2*X237+2*X238+2*X239+X240)/8)</f>
        <v>1.1415999999999999</v>
      </c>
      <c r="Y246" s="61">
        <f>IF('1'!$B$6=90, Y240, (Y236+2*Y237+2*Y238+2*Y239+Y240)/8)</f>
        <v>0</v>
      </c>
      <c r="Z246" s="61">
        <f>IF('1'!$B$6=90, Z240, (Z236+2*Z237+2*Z238+2*Z239+Z240)/8)</f>
        <v>0.49022666666666664</v>
      </c>
      <c r="AA246" s="61">
        <f>IF('1'!$B$6=90, AA240, (AA236+2*AA237+2*AA238+2*AA239+AA240)/8)</f>
        <v>9.2733333333333334E-2</v>
      </c>
      <c r="AB246" s="61">
        <f>IF('1'!$B$6=90, AB240, (AB236+2*AB237+2*AB238+2*AB239+AB240)/8)</f>
        <v>0</v>
      </c>
      <c r="AC246" s="61">
        <f>IF('1'!$B$6=90, AC240, (AC236+2*AC237+2*AC238+2*AC239+AC240)/8)</f>
        <v>0.10660000000000001</v>
      </c>
      <c r="AD246" s="61">
        <f>IF('1'!$B$6=90, AD240, (AD236+2*AD237+2*AD238+2*AD239+AD240)/8)</f>
        <v>5.2639999999999999E-2</v>
      </c>
      <c r="AE246" s="61">
        <f>IF('1'!$B$6=90, AE240, (AE236+2*AE237+2*AE238+2*AE239+AE240)/8)</f>
        <v>0</v>
      </c>
      <c r="AF246" s="61">
        <f>IF('1'!$B$6=90, AF240, (AF236+2*AF237+2*AF238+2*AF239+AF240)/8)</f>
        <v>5.2639999999999999E-2</v>
      </c>
      <c r="AG246" s="61">
        <f>AF246/G246</f>
        <v>1.0476872860441049</v>
      </c>
      <c r="AH246" s="61" t="e">
        <f>IF('1'!$B$6=90, AH240, (AH236+2*AH237+2*AH238+2*AH239+AH240)/8)</f>
        <v>#DIV/0!</v>
      </c>
      <c r="AI246" s="61">
        <f>IF('1'!$B$6=90, AI240, (AI236+2*AI237+2*AI238+2*AI239+AI240)/8)/D246</f>
        <v>3.8776618772158984</v>
      </c>
      <c r="AJ246" s="61" t="e">
        <f>IF('1'!$B$6=90, AJ240, (AJ236+2*AJ237+2*AJ238+2*AJ239+AJ240)/8)/G246</f>
        <v>#DIV/0!</v>
      </c>
      <c r="AK246" s="61">
        <f>IF('1'!$B$6=90, AK240, (AK236+2*AK237+2*AK238+2*AK239+AK240)/8)</f>
        <v>0</v>
      </c>
      <c r="AL246" s="61">
        <f>IF('1'!$B$6=90, AL240, (AL236+2*AL237+2*AL238+2*AL239+AL240)/8)</f>
        <v>0</v>
      </c>
      <c r="AM246" s="61">
        <f>IF('1'!$B$6=90, AM240, (AM236+2*AM237+2*AM238+2*AM239+AM240)/8)</f>
        <v>0.7527639838848208</v>
      </c>
      <c r="AN246" s="61">
        <f>IF('1'!$B$6=90, AN240, (AN236+2*AN237+2*AN238+2*AN239+AN240)/8)</f>
        <v>4.2200341430518228E-2</v>
      </c>
      <c r="AO246" s="61">
        <f>AN246/(AM246*G246)</f>
        <v>1.1157654924709743</v>
      </c>
      <c r="AP246" s="61" t="e">
        <f>IF('1'!$B$6=90, AP240, (AP236+AP237+AP238+AP239+AP240+AP241+AP242+AP243)/8)</f>
        <v>#DIV/0!</v>
      </c>
      <c r="AQ246" s="61" t="e">
        <f>IF('1'!$B$6=90, AQ240, (AQ236+AQ237+AQ238+AQ239+AQ240+AQ241+AQ242+AQ243)/8)</f>
        <v>#DIV/0!</v>
      </c>
      <c r="AR246" s="61" t="e">
        <f>IF('1'!$B$6=90, AR240, (AR236+2*AR237+2*AR238+2*AR239+AR240)/8)</f>
        <v>#N/A</v>
      </c>
      <c r="AS246" s="61">
        <f>IF('1'!$B$6=90, AS240, (AS236+2*AS237+2*AS238+2*AS239+AS240)/8)</f>
        <v>6.9986459598004661E-2</v>
      </c>
      <c r="AU246" s="187">
        <f>IF('1'!$B$6=90, AS240, (AS236+AS237+AS238+AS239+AS240+AS241+AS242+AS243)/8)</f>
        <v>6.9986459598004661E-2</v>
      </c>
      <c r="AV246" s="187">
        <f>IF('1'!$B$6=90, AT240, (AT236+AT237+AT238+AT239+AT240+AT241+AT242+AT243)/8)</f>
        <v>0</v>
      </c>
      <c r="AW246" s="187">
        <f>IF('1'!$B$6=90, AU240, (AU236+AU237+AU238+AU239+AU240+AU241+AU242+AU243)/8)</f>
        <v>0</v>
      </c>
      <c r="AX246" s="187">
        <f>IF('1'!$B$6=90, AV240, (AV236+AV237+AV238+AV239+AV240+AV241+AV242+AV243)/8)</f>
        <v>0</v>
      </c>
      <c r="AY246" s="61" t="e">
        <f>AR246/G246</f>
        <v>#N/A</v>
      </c>
    </row>
    <row r="247" spans="1:51" x14ac:dyDescent="0.25">
      <c r="F247" s="137" t="s">
        <v>265</v>
      </c>
      <c r="AM247" s="151"/>
    </row>
    <row r="248" spans="1:51" ht="16.5" x14ac:dyDescent="0.3">
      <c r="F248" s="13" t="e">
        <f>G246/F250</f>
        <v>#DIV/0!</v>
      </c>
      <c r="T248" s="59" t="s">
        <v>149</v>
      </c>
      <c r="U248" s="59" t="s">
        <v>150</v>
      </c>
      <c r="AB248" s="58" t="s">
        <v>151</v>
      </c>
      <c r="AC248" s="58" t="s">
        <v>152</v>
      </c>
      <c r="AK248" s="59" t="s">
        <v>198</v>
      </c>
      <c r="AM248" s="137" t="s">
        <v>264</v>
      </c>
      <c r="AO248" s="137" t="s">
        <v>263</v>
      </c>
    </row>
    <row r="249" spans="1:51" x14ac:dyDescent="0.25">
      <c r="F249" s="183" t="s">
        <v>266</v>
      </c>
      <c r="T249" s="96">
        <f>T246/E246</f>
        <v>3.8861024865323905</v>
      </c>
      <c r="U249" s="96" t="e">
        <f>U246/F246</f>
        <v>#DIV/0!</v>
      </c>
      <c r="AB249" s="96">
        <f>AD246/E246</f>
        <v>1.0476872860441049</v>
      </c>
      <c r="AC249" s="96" t="e">
        <f>AE246/F246</f>
        <v>#DIV/0!</v>
      </c>
      <c r="AK249" s="13" t="e">
        <f>AK246/F246</f>
        <v>#DIV/0!</v>
      </c>
      <c r="AM249" s="61">
        <f>AF246+C1</f>
        <v>0.80264000000000002</v>
      </c>
      <c r="AO249" s="13">
        <f>AN246/(AM249*G246)</f>
        <v>1.0464318713167293</v>
      </c>
      <c r="AP249" s="13">
        <f>1.2-0.2*(1.46/998)^0.5</f>
        <v>1.1923503572587906</v>
      </c>
      <c r="AQ249" s="13">
        <v>1.4602999999999999</v>
      </c>
    </row>
    <row r="250" spans="1:51" x14ac:dyDescent="0.25">
      <c r="F250" s="13">
        <f>'1'!W23/('1'!F5+'1'!W23)</f>
        <v>0</v>
      </c>
      <c r="G250" s="151"/>
      <c r="AF250" s="151"/>
    </row>
    <row r="251" spans="1:51" ht="16.5" x14ac:dyDescent="0.25">
      <c r="T251" s="59" t="s">
        <v>153</v>
      </c>
      <c r="AO251" s="13" t="s">
        <v>240</v>
      </c>
    </row>
    <row r="252" spans="1:51" x14ac:dyDescent="0.25">
      <c r="T252" s="96">
        <f>V246/G246</f>
        <v>3.8861024865323905</v>
      </c>
    </row>
  </sheetData>
  <mergeCells count="233">
    <mergeCell ref="FV51:FV52"/>
    <mergeCell ref="FW51:FW52"/>
    <mergeCell ref="FX51:FX52"/>
    <mergeCell ref="FY51:FY52"/>
    <mergeCell ref="FZ51:FZ52"/>
    <mergeCell ref="GA51:GA52"/>
    <mergeCell ref="GB51:GB52"/>
    <mergeCell ref="GC51:GC52"/>
    <mergeCell ref="FW143:FW144"/>
    <mergeCell ref="FX143:FX144"/>
    <mergeCell ref="FY143:FY144"/>
    <mergeCell ref="FZ143:FZ144"/>
    <mergeCell ref="GA143:GA144"/>
    <mergeCell ref="GB143:GB144"/>
    <mergeCell ref="GC143:GC144"/>
    <mergeCell ref="FV98:FV99"/>
    <mergeCell ref="FW98:FW99"/>
    <mergeCell ref="FX98:FX99"/>
    <mergeCell ref="FY98:FY99"/>
    <mergeCell ref="FZ98:FZ99"/>
    <mergeCell ref="GA98:GA99"/>
    <mergeCell ref="GB98:GB99"/>
    <mergeCell ref="GC98:GC99"/>
    <mergeCell ref="CF190:CF191"/>
    <mergeCell ref="CG190:CG191"/>
    <mergeCell ref="CH190:CH191"/>
    <mergeCell ref="CI190:CI191"/>
    <mergeCell ref="CJ190:CJ191"/>
    <mergeCell ref="CK190:CK191"/>
    <mergeCell ref="CL190:CL191"/>
    <mergeCell ref="CM190:CM191"/>
    <mergeCell ref="FV143:FV144"/>
    <mergeCell ref="FS143:FU143"/>
    <mergeCell ref="CQ166:CS166"/>
    <mergeCell ref="EA143:ED143"/>
    <mergeCell ref="EE143:EI143"/>
    <mergeCell ref="EJ143:EL143"/>
    <mergeCell ref="EM143:EN143"/>
    <mergeCell ref="EO143:ET143"/>
    <mergeCell ref="FD143:FF143"/>
    <mergeCell ref="EV143:EX143"/>
    <mergeCell ref="EY143:FC143"/>
    <mergeCell ref="CQ143:CQ144"/>
    <mergeCell ref="CR143:CR144"/>
    <mergeCell ref="CS143:CS144"/>
    <mergeCell ref="CT143:CT144"/>
    <mergeCell ref="CU143:DA143"/>
    <mergeCell ref="EV51:EX51"/>
    <mergeCell ref="FS98:FU98"/>
    <mergeCell ref="CQ121:CS121"/>
    <mergeCell ref="FD98:FF98"/>
    <mergeCell ref="CF6:CF7"/>
    <mergeCell ref="CG6:CG7"/>
    <mergeCell ref="CH6:CH7"/>
    <mergeCell ref="CI6:CI7"/>
    <mergeCell ref="CJ6:CJ7"/>
    <mergeCell ref="CK6:CK7"/>
    <mergeCell ref="CL6:CL7"/>
    <mergeCell ref="CM6:CM7"/>
    <mergeCell ref="CF51:CF52"/>
    <mergeCell ref="CG51:CG52"/>
    <mergeCell ref="CH51:CH52"/>
    <mergeCell ref="CI51:CI52"/>
    <mergeCell ref="CJ51:CJ52"/>
    <mergeCell ref="CK51:CK52"/>
    <mergeCell ref="CL51:CL52"/>
    <mergeCell ref="CM51:CM52"/>
    <mergeCell ref="CF98:CF99"/>
    <mergeCell ref="CG98:CG99"/>
    <mergeCell ref="CH98:CH99"/>
    <mergeCell ref="CI98:CI99"/>
    <mergeCell ref="EA98:ED98"/>
    <mergeCell ref="EE98:EI98"/>
    <mergeCell ref="EJ98:EL98"/>
    <mergeCell ref="EE51:EI51"/>
    <mergeCell ref="EJ51:EL51"/>
    <mergeCell ref="EM51:EN51"/>
    <mergeCell ref="EO51:ET51"/>
    <mergeCell ref="EM98:EN98"/>
    <mergeCell ref="EO98:ET98"/>
    <mergeCell ref="A234:D234"/>
    <mergeCell ref="B98:B99"/>
    <mergeCell ref="C98:C99"/>
    <mergeCell ref="D98:D99"/>
    <mergeCell ref="A143:A144"/>
    <mergeCell ref="B143:B144"/>
    <mergeCell ref="C143:C144"/>
    <mergeCell ref="D143:D144"/>
    <mergeCell ref="C190:C191"/>
    <mergeCell ref="D190:D191"/>
    <mergeCell ref="B190:B191"/>
    <mergeCell ref="A166:C166"/>
    <mergeCell ref="A213:C213"/>
    <mergeCell ref="A190:A191"/>
    <mergeCell ref="A121:C121"/>
    <mergeCell ref="A98:A99"/>
    <mergeCell ref="L6:P6"/>
    <mergeCell ref="A6:A7"/>
    <mergeCell ref="B6:B7"/>
    <mergeCell ref="C6:C7"/>
    <mergeCell ref="D6:D7"/>
    <mergeCell ref="E6:K6"/>
    <mergeCell ref="A29:C29"/>
    <mergeCell ref="CC6:CE6"/>
    <mergeCell ref="Q6:V6"/>
    <mergeCell ref="W6:AC6"/>
    <mergeCell ref="AD6:AJ6"/>
    <mergeCell ref="AK6:AN6"/>
    <mergeCell ref="AO6:AS6"/>
    <mergeCell ref="AT6:AV6"/>
    <mergeCell ref="AW6:AX6"/>
    <mergeCell ref="AY6:BD6"/>
    <mergeCell ref="BF6:BH6"/>
    <mergeCell ref="BI6:BM6"/>
    <mergeCell ref="BN6:BP6"/>
    <mergeCell ref="AY98:BD98"/>
    <mergeCell ref="BI51:BM51"/>
    <mergeCell ref="BN51:BP51"/>
    <mergeCell ref="CC51:CE51"/>
    <mergeCell ref="AO51:AS51"/>
    <mergeCell ref="A51:A52"/>
    <mergeCell ref="B51:B52"/>
    <mergeCell ref="C51:C52"/>
    <mergeCell ref="D51:D52"/>
    <mergeCell ref="E51:K51"/>
    <mergeCell ref="E98:K98"/>
    <mergeCell ref="A74:C74"/>
    <mergeCell ref="BF98:BH98"/>
    <mergeCell ref="BI98:BM98"/>
    <mergeCell ref="AT51:AV51"/>
    <mergeCell ref="AW51:AX51"/>
    <mergeCell ref="AY51:BD51"/>
    <mergeCell ref="BF51:BH51"/>
    <mergeCell ref="L51:P51"/>
    <mergeCell ref="Q51:V51"/>
    <mergeCell ref="W51:AC51"/>
    <mergeCell ref="AD51:AJ51"/>
    <mergeCell ref="AK51:AN51"/>
    <mergeCell ref="BN98:BP98"/>
    <mergeCell ref="E190:K190"/>
    <mergeCell ref="AO190:AS190"/>
    <mergeCell ref="AT190:AV190"/>
    <mergeCell ref="AW190:AX190"/>
    <mergeCell ref="L190:P190"/>
    <mergeCell ref="Q190:V190"/>
    <mergeCell ref="L98:P98"/>
    <mergeCell ref="Q98:V98"/>
    <mergeCell ref="W98:AC98"/>
    <mergeCell ref="AD98:AJ98"/>
    <mergeCell ref="AT143:AV143"/>
    <mergeCell ref="AW143:AX143"/>
    <mergeCell ref="E143:K143"/>
    <mergeCell ref="L143:P143"/>
    <mergeCell ref="Q143:V143"/>
    <mergeCell ref="W143:AC143"/>
    <mergeCell ref="AD143:AJ143"/>
    <mergeCell ref="AK98:AN98"/>
    <mergeCell ref="AO98:AS98"/>
    <mergeCell ref="AT98:AV98"/>
    <mergeCell ref="AW98:AX98"/>
    <mergeCell ref="BF190:BH190"/>
    <mergeCell ref="CC143:CE143"/>
    <mergeCell ref="AY143:BD143"/>
    <mergeCell ref="BF143:BH143"/>
    <mergeCell ref="BI143:BM143"/>
    <mergeCell ref="AY190:BD190"/>
    <mergeCell ref="W190:AC190"/>
    <mergeCell ref="AD190:AJ190"/>
    <mergeCell ref="AK190:AN190"/>
    <mergeCell ref="AK143:AN143"/>
    <mergeCell ref="AO143:AS143"/>
    <mergeCell ref="BI190:BM190"/>
    <mergeCell ref="BN190:BP190"/>
    <mergeCell ref="BN143:BP143"/>
    <mergeCell ref="CC190:CE190"/>
    <mergeCell ref="DB51:DF51"/>
    <mergeCell ref="DG51:DL51"/>
    <mergeCell ref="DM51:DS51"/>
    <mergeCell ref="DT51:DZ51"/>
    <mergeCell ref="EA51:ED51"/>
    <mergeCell ref="CQ51:CQ52"/>
    <mergeCell ref="CR51:CR52"/>
    <mergeCell ref="CS51:CS52"/>
    <mergeCell ref="CT51:CT52"/>
    <mergeCell ref="CU51:DA51"/>
    <mergeCell ref="CC98:CE98"/>
    <mergeCell ref="DB143:DF143"/>
    <mergeCell ref="DG143:DL143"/>
    <mergeCell ref="DM143:DS143"/>
    <mergeCell ref="DT143:DZ143"/>
    <mergeCell ref="CQ74:CS74"/>
    <mergeCell ref="CQ98:CQ99"/>
    <mergeCell ref="CR98:CR99"/>
    <mergeCell ref="CS98:CS99"/>
    <mergeCell ref="CT98:CT99"/>
    <mergeCell ref="DM98:DS98"/>
    <mergeCell ref="DT98:DZ98"/>
    <mergeCell ref="CJ98:CJ99"/>
    <mergeCell ref="CK98:CK99"/>
    <mergeCell ref="CL98:CL99"/>
    <mergeCell ref="CM98:CM99"/>
    <mergeCell ref="CF143:CF144"/>
    <mergeCell ref="CG143:CG144"/>
    <mergeCell ref="CH143:CH144"/>
    <mergeCell ref="CI143:CI144"/>
    <mergeCell ref="CJ143:CJ144"/>
    <mergeCell ref="CK143:CK144"/>
    <mergeCell ref="CL143:CL144"/>
    <mergeCell ref="CM143:CM144"/>
    <mergeCell ref="CO6:CO7"/>
    <mergeCell ref="CO51:CO52"/>
    <mergeCell ref="CO98:CO99"/>
    <mergeCell ref="CO143:CO144"/>
    <mergeCell ref="CO190:CO191"/>
    <mergeCell ref="GE143:GE144"/>
    <mergeCell ref="GE98:GE99"/>
    <mergeCell ref="GE51:GE52"/>
    <mergeCell ref="CN6:CN7"/>
    <mergeCell ref="CN51:CN52"/>
    <mergeCell ref="CN98:CN99"/>
    <mergeCell ref="CN143:CN144"/>
    <mergeCell ref="CN190:CN191"/>
    <mergeCell ref="GD143:GD144"/>
    <mergeCell ref="GD98:GD99"/>
    <mergeCell ref="GD51:GD52"/>
    <mergeCell ref="EY51:FC51"/>
    <mergeCell ref="FD51:FF51"/>
    <mergeCell ref="EV98:EX98"/>
    <mergeCell ref="EY98:FC98"/>
    <mergeCell ref="FS51:FU51"/>
    <mergeCell ref="CU98:DA98"/>
    <mergeCell ref="DB98:DF98"/>
    <mergeCell ref="DG98:DL98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36" r:id="rId4" name="Button 36">
              <controlPr defaultSize="0" print="0" autoFill="0" autoPict="0" macro="[0]!delete_90">
                <anchor moveWithCells="1" sizeWithCells="1">
                  <from>
                    <xdr:col>2</xdr:col>
                    <xdr:colOff>9525</xdr:colOff>
                    <xdr:row>3</xdr:row>
                    <xdr:rowOff>9525</xdr:rowOff>
                  </from>
                  <to>
                    <xdr:col>2</xdr:col>
                    <xdr:colOff>981075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7" r:id="rId5" name="Button 37">
              <controlPr defaultSize="0" print="0" autoFill="0" autoPict="0" macro="[0]!delete_675">
                <anchor moveWithCells="1" sizeWithCells="1">
                  <from>
                    <xdr:col>2</xdr:col>
                    <xdr:colOff>9525</xdr:colOff>
                    <xdr:row>47</xdr:row>
                    <xdr:rowOff>180975</xdr:rowOff>
                  </from>
                  <to>
                    <xdr:col>2</xdr:col>
                    <xdr:colOff>971550</xdr:colOff>
                    <xdr:row>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8" r:id="rId6" name="Button 38">
              <controlPr defaultSize="0" print="0" autoFill="0" autoPict="0" macro="[0]!delete_45">
                <anchor moveWithCells="1" sizeWithCells="1">
                  <from>
                    <xdr:col>2</xdr:col>
                    <xdr:colOff>9525</xdr:colOff>
                    <xdr:row>95</xdr:row>
                    <xdr:rowOff>9525</xdr:rowOff>
                  </from>
                  <to>
                    <xdr:col>2</xdr:col>
                    <xdr:colOff>971550</xdr:colOff>
                    <xdr:row>96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9" r:id="rId7" name="Button 39">
              <controlPr defaultSize="0" print="0" autoFill="0" autoPict="0" macro="[0]!delete_225">
                <anchor moveWithCells="1" sizeWithCells="1">
                  <from>
                    <xdr:col>2</xdr:col>
                    <xdr:colOff>9525</xdr:colOff>
                    <xdr:row>140</xdr:row>
                    <xdr:rowOff>9525</xdr:rowOff>
                  </from>
                  <to>
                    <xdr:col>2</xdr:col>
                    <xdr:colOff>971550</xdr:colOff>
                    <xdr:row>141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0" r:id="rId8" name="Button 40">
              <controlPr defaultSize="0" print="0" autoFill="0" autoPict="0" macro="[0]!delete_0">
                <anchor moveWithCells="1" sizeWithCells="1">
                  <from>
                    <xdr:col>2</xdr:col>
                    <xdr:colOff>9525</xdr:colOff>
                    <xdr:row>187</xdr:row>
                    <xdr:rowOff>9525</xdr:rowOff>
                  </from>
                  <to>
                    <xdr:col>2</xdr:col>
                    <xdr:colOff>981075</xdr:colOff>
                    <xdr:row>188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C106"/>
  <sheetViews>
    <sheetView zoomScale="90" zoomScaleNormal="90" workbookViewId="0">
      <selection activeCell="AL41" sqref="AL41"/>
    </sheetView>
  </sheetViews>
  <sheetFormatPr defaultRowHeight="15" x14ac:dyDescent="0.25"/>
  <sheetData>
    <row r="1" spans="28:29" x14ac:dyDescent="0.25">
      <c r="AC1" t="s">
        <v>296</v>
      </c>
    </row>
    <row r="2" spans="28:29" x14ac:dyDescent="0.25">
      <c r="AB2" t="str">
        <f>'2'!CR142</f>
        <v>157.5 deg</v>
      </c>
      <c r="AC2" t="s">
        <v>295</v>
      </c>
    </row>
    <row r="3" spans="28:29" x14ac:dyDescent="0.25">
      <c r="AB3" t="str">
        <f>'2'!CR97</f>
        <v>135 deg</v>
      </c>
      <c r="AC3" t="s">
        <v>295</v>
      </c>
    </row>
    <row r="4" spans="28:29" x14ac:dyDescent="0.25">
      <c r="AB4" t="str">
        <f>'2'!CR50</f>
        <v>112.5 deg</v>
      </c>
      <c r="AC4" t="s">
        <v>295</v>
      </c>
    </row>
    <row r="5" spans="28:29" x14ac:dyDescent="0.25">
      <c r="AB5" t="str">
        <f>'2'!B5</f>
        <v>90 deg</v>
      </c>
    </row>
    <row r="6" spans="28:29" x14ac:dyDescent="0.25">
      <c r="AB6" t="str">
        <f>'2'!B50</f>
        <v>67.5 deg</v>
      </c>
    </row>
    <row r="7" spans="28:29" x14ac:dyDescent="0.25">
      <c r="AB7" t="str">
        <f>'2'!B97</f>
        <v>45 deg</v>
      </c>
    </row>
    <row r="8" spans="28:29" x14ac:dyDescent="0.25">
      <c r="AB8" t="str">
        <f>'2'!B142</f>
        <v>22.5 deg</v>
      </c>
    </row>
    <row r="9" spans="28:29" x14ac:dyDescent="0.25">
      <c r="AB9" t="str">
        <f>'2'!B189</f>
        <v>0 deg</v>
      </c>
    </row>
    <row r="10" spans="28:29" x14ac:dyDescent="0.25">
      <c r="AB10" t="str">
        <f>'6'!B5</f>
        <v>comp 1</v>
      </c>
      <c r="AC10" t="s">
        <v>295</v>
      </c>
    </row>
    <row r="11" spans="28:29" x14ac:dyDescent="0.25">
      <c r="AB11" t="str">
        <f>'6'!B50</f>
        <v>comp 2</v>
      </c>
      <c r="AC11" t="s">
        <v>295</v>
      </c>
    </row>
    <row r="12" spans="28:29" x14ac:dyDescent="0.25">
      <c r="AB12" t="str">
        <f>'6'!B97</f>
        <v>comp 3</v>
      </c>
      <c r="AC12" t="s">
        <v>295</v>
      </c>
    </row>
    <row r="13" spans="28:29" x14ac:dyDescent="0.25">
      <c r="AB13" t="str">
        <f>'6'!B142</f>
        <v>comp 4</v>
      </c>
      <c r="AC13" t="s">
        <v>295</v>
      </c>
    </row>
    <row r="14" spans="28:29" x14ac:dyDescent="0.25">
      <c r="AB14" t="str">
        <f>'6'!B189</f>
        <v>comp 5</v>
      </c>
      <c r="AC14" t="s">
        <v>295</v>
      </c>
    </row>
    <row r="16" spans="28:29" x14ac:dyDescent="0.25">
      <c r="AB16" t="s">
        <v>310</v>
      </c>
      <c r="AC16">
        <v>0</v>
      </c>
    </row>
    <row r="17" spans="7:24" x14ac:dyDescent="0.25">
      <c r="X17" s="192"/>
    </row>
    <row r="23" spans="7:24" x14ac:dyDescent="0.25">
      <c r="G23" t="s">
        <v>277</v>
      </c>
      <c r="H23" t="s">
        <v>282</v>
      </c>
    </row>
    <row r="48" ht="15.75" thickBot="1" x14ac:dyDescent="0.3"/>
    <row r="49" spans="20:29" ht="18.75" thickBot="1" x14ac:dyDescent="0.3">
      <c r="T49" s="55"/>
      <c r="U49" s="48" t="s">
        <v>82</v>
      </c>
      <c r="V49" s="49" t="s">
        <v>83</v>
      </c>
      <c r="W49" s="49" t="s">
        <v>84</v>
      </c>
      <c r="X49" s="50" t="s">
        <v>85</v>
      </c>
      <c r="Y49" s="47"/>
      <c r="Z49" s="252" t="s">
        <v>86</v>
      </c>
      <c r="AA49" s="253"/>
      <c r="AB49" s="253"/>
      <c r="AC49" s="254"/>
    </row>
    <row r="50" spans="20:29" x14ac:dyDescent="0.25">
      <c r="T50" s="53">
        <v>90</v>
      </c>
      <c r="U50" s="41">
        <f>'2'!AC18</f>
        <v>0.1143</v>
      </c>
      <c r="V50" s="41">
        <f>'2'!AJ18</f>
        <v>177.49</v>
      </c>
      <c r="W50" s="41">
        <f>'2'!AO18</f>
        <v>1.1379999999999999</v>
      </c>
      <c r="X50" s="54">
        <f>'2'!AK18</f>
        <v>3.86</v>
      </c>
      <c r="Y50" s="41"/>
      <c r="Z50" s="40">
        <f>ABS(U50-$U$55)/$U$55*100</f>
        <v>400</v>
      </c>
      <c r="AA50" s="41">
        <f>ABS(V50-$V$55)/$V$55*100</f>
        <v>400</v>
      </c>
      <c r="AB50" s="41">
        <f>ABS(W50-$W$55)/$W$55*100</f>
        <v>400</v>
      </c>
      <c r="AC50" s="54">
        <f>ABS(X50-$X$55)/$X$55*100</f>
        <v>400</v>
      </c>
    </row>
    <row r="51" spans="20:29" x14ac:dyDescent="0.25">
      <c r="T51" s="51">
        <v>67.5</v>
      </c>
      <c r="U51">
        <f>'2'!AC63</f>
        <v>0</v>
      </c>
      <c r="V51">
        <f>'2'!AJ63</f>
        <v>0</v>
      </c>
      <c r="W51">
        <f>'2'!AO63</f>
        <v>0</v>
      </c>
      <c r="X51" s="43">
        <f>'2'!AK63</f>
        <v>0</v>
      </c>
      <c r="Z51" s="42">
        <f>ABS(U51-$U$55)/$U$55*100</f>
        <v>100</v>
      </c>
      <c r="AA51">
        <f>ABS(V51-$V$55)/$V$55*100</f>
        <v>100</v>
      </c>
      <c r="AB51">
        <f>ABS(W51-$W$55)/$W$55*100</f>
        <v>100</v>
      </c>
      <c r="AC51" s="43">
        <f>ABS(X51-$X$55)/$X$55*100</f>
        <v>100</v>
      </c>
    </row>
    <row r="52" spans="20:29" x14ac:dyDescent="0.25">
      <c r="T52" s="51">
        <v>45</v>
      </c>
      <c r="U52">
        <f>'2'!AC110</f>
        <v>0</v>
      </c>
      <c r="V52">
        <f>'2'!AJ110</f>
        <v>0</v>
      </c>
      <c r="W52">
        <f>'2'!AO110</f>
        <v>0</v>
      </c>
      <c r="X52" s="43">
        <f>'2'!AK110</f>
        <v>0</v>
      </c>
      <c r="Z52" s="42">
        <f>ABS(U52-$U$55)/$U$55*100</f>
        <v>100</v>
      </c>
      <c r="AA52">
        <f>ABS(V52-$V$55)/$V$55*100</f>
        <v>100</v>
      </c>
      <c r="AB52">
        <f>ABS(W52-$W$55)/$W$55*100</f>
        <v>100</v>
      </c>
      <c r="AC52" s="43">
        <f>ABS(X52-$X$55)/$X$55*100</f>
        <v>100</v>
      </c>
    </row>
    <row r="53" spans="20:29" x14ac:dyDescent="0.25">
      <c r="T53" s="51">
        <v>22.5</v>
      </c>
      <c r="U53">
        <f>'2'!AC155</f>
        <v>0</v>
      </c>
      <c r="V53">
        <f>'2'!AJ155</f>
        <v>0</v>
      </c>
      <c r="W53">
        <f>'2'!AO155</f>
        <v>0</v>
      </c>
      <c r="X53" s="43">
        <f>'2'!AK155</f>
        <v>0</v>
      </c>
      <c r="Z53" s="42">
        <f>ABS(U53-$U$55)/$U$55*100</f>
        <v>100</v>
      </c>
      <c r="AA53">
        <f>ABS(V53-$V$55)/$V$55*100</f>
        <v>100</v>
      </c>
      <c r="AB53">
        <f>ABS(W53-$W$55)/$W$55*100</f>
        <v>100</v>
      </c>
      <c r="AC53" s="43">
        <f>ABS(X53-$X$55)/$X$55*100</f>
        <v>100</v>
      </c>
    </row>
    <row r="54" spans="20:29" ht="15.75" thickBot="1" x14ac:dyDescent="0.3">
      <c r="T54" s="52">
        <v>0</v>
      </c>
      <c r="U54" s="45">
        <f>'2'!AC202</f>
        <v>0</v>
      </c>
      <c r="V54" s="45">
        <f>'2'!AJ202</f>
        <v>0</v>
      </c>
      <c r="W54" s="45">
        <f>'2'!AO202</f>
        <v>0</v>
      </c>
      <c r="X54" s="46">
        <f>'2'!AK202</f>
        <v>0</v>
      </c>
      <c r="Y54" s="45"/>
      <c r="Z54" s="44">
        <f>ABS(U54-$U$55)/$U$55*100</f>
        <v>100</v>
      </c>
      <c r="AA54" s="45">
        <f>ABS(V54-$V$55)/$V$55*100</f>
        <v>100</v>
      </c>
      <c r="AB54" s="45">
        <f>ABS(W54-$W$55)/$W$55*100</f>
        <v>100</v>
      </c>
      <c r="AC54" s="46">
        <f>ABS(X54-$X$55)/$X$55*100</f>
        <v>100</v>
      </c>
    </row>
    <row r="55" spans="20:29" ht="15.75" thickBot="1" x14ac:dyDescent="0.3">
      <c r="T55" s="52" t="s">
        <v>127</v>
      </c>
      <c r="U55" s="45">
        <f>AVERAGE(U50:U54)</f>
        <v>2.2859999999999998E-2</v>
      </c>
      <c r="V55" s="45">
        <f t="shared" ref="V55:X55" si="0">AVERAGE(V50:V54)</f>
        <v>35.498000000000005</v>
      </c>
      <c r="W55" s="45">
        <f t="shared" si="0"/>
        <v>0.22759999999999997</v>
      </c>
      <c r="X55" s="46">
        <f t="shared" si="0"/>
        <v>0.77200000000000002</v>
      </c>
      <c r="Y55" s="45"/>
      <c r="Z55" s="44">
        <f>AVERAGE(Z50:Z54)</f>
        <v>160</v>
      </c>
      <c r="AA55" s="45">
        <f t="shared" ref="AA55:AC55" si="1">AVERAGE(AA50:AA54)</f>
        <v>160</v>
      </c>
      <c r="AB55" s="45">
        <f t="shared" si="1"/>
        <v>160</v>
      </c>
      <c r="AC55" s="46">
        <f t="shared" si="1"/>
        <v>160</v>
      </c>
    </row>
    <row r="72" spans="1:17" x14ac:dyDescent="0.25">
      <c r="A72" t="s">
        <v>278</v>
      </c>
      <c r="B72" t="s">
        <v>283</v>
      </c>
    </row>
    <row r="74" spans="1:17" x14ac:dyDescent="0.25">
      <c r="P74" t="s">
        <v>279</v>
      </c>
      <c r="Q74" t="s">
        <v>284</v>
      </c>
    </row>
    <row r="106" spans="6:13" x14ac:dyDescent="0.25">
      <c r="F106" t="s">
        <v>280</v>
      </c>
      <c r="G106" t="s">
        <v>286</v>
      </c>
      <c r="L106" t="s">
        <v>281</v>
      </c>
      <c r="M106" t="s">
        <v>285</v>
      </c>
    </row>
  </sheetData>
  <mergeCells count="1">
    <mergeCell ref="Z49:AC4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toggle_legends">
                <anchor moveWithCells="1" sizeWithCells="1">
                  <from>
                    <xdr:col>29</xdr:col>
                    <xdr:colOff>19050</xdr:colOff>
                    <xdr:row>1</xdr:row>
                    <xdr:rowOff>28575</xdr:rowOff>
                  </from>
                  <to>
                    <xdr:col>31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error_bars">
                <anchor moveWithCells="1" sizeWithCells="1">
                  <from>
                    <xdr:col>29</xdr:col>
                    <xdr:colOff>19050</xdr:colOff>
                    <xdr:row>15</xdr:row>
                    <xdr:rowOff>19050</xdr:rowOff>
                  </from>
                  <to>
                    <xdr:col>31</xdr:col>
                    <xdr:colOff>590550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CF55"/>
  <sheetViews>
    <sheetView zoomScaleNormal="100" workbookViewId="0">
      <selection activeCell="D41" sqref="D41"/>
    </sheetView>
  </sheetViews>
  <sheetFormatPr defaultColWidth="9.140625" defaultRowHeight="12.75" x14ac:dyDescent="0.25"/>
  <cols>
    <col min="1" max="18" width="9.140625" style="119"/>
    <col min="19" max="19" width="12.140625" style="119" bestFit="1" customWidth="1"/>
    <col min="20" max="16384" width="9.140625" style="119"/>
  </cols>
  <sheetData>
    <row r="2" spans="1:84" ht="15" customHeight="1" x14ac:dyDescent="0.25">
      <c r="E2" s="258" t="s">
        <v>156</v>
      </c>
      <c r="F2" s="258"/>
      <c r="O2" s="258" t="s">
        <v>157</v>
      </c>
      <c r="P2" s="258"/>
      <c r="Y2" s="258" t="s">
        <v>158</v>
      </c>
      <c r="Z2" s="258"/>
      <c r="AI2" s="255" t="s">
        <v>165</v>
      </c>
      <c r="AJ2" s="256"/>
      <c r="AK2" s="256"/>
      <c r="AL2" s="257"/>
      <c r="AT2" s="255" t="s">
        <v>166</v>
      </c>
      <c r="AU2" s="256"/>
      <c r="AV2" s="256"/>
      <c r="AW2" s="257"/>
      <c r="BE2" s="255" t="s">
        <v>167</v>
      </c>
      <c r="BF2" s="256"/>
      <c r="BG2" s="256"/>
      <c r="BH2" s="257"/>
      <c r="BP2" s="255" t="s">
        <v>168</v>
      </c>
      <c r="BQ2" s="256"/>
      <c r="BR2" s="256"/>
      <c r="BS2" s="257"/>
      <c r="CA2" s="255" t="s">
        <v>159</v>
      </c>
      <c r="CB2" s="256"/>
      <c r="CC2" s="256"/>
      <c r="CD2" s="257"/>
    </row>
    <row r="4" spans="1:84" x14ac:dyDescent="0.25">
      <c r="B4" s="258" t="s">
        <v>126</v>
      </c>
      <c r="C4" s="258"/>
      <c r="D4" s="258"/>
      <c r="E4" s="258"/>
      <c r="F4" s="258"/>
      <c r="G4" s="258"/>
      <c r="H4" s="258"/>
      <c r="I4" s="258"/>
      <c r="L4" s="258" t="s">
        <v>126</v>
      </c>
      <c r="M4" s="258"/>
      <c r="N4" s="258"/>
      <c r="O4" s="258"/>
      <c r="P4" s="258"/>
      <c r="Q4" s="258"/>
      <c r="R4" s="258"/>
      <c r="S4" s="258"/>
      <c r="V4" s="258" t="s">
        <v>126</v>
      </c>
      <c r="W4" s="258"/>
      <c r="X4" s="258"/>
      <c r="Y4" s="258"/>
      <c r="Z4" s="258"/>
      <c r="AA4" s="258"/>
      <c r="AB4" s="258"/>
      <c r="AC4" s="258"/>
      <c r="AG4" s="258" t="s">
        <v>126</v>
      </c>
      <c r="AH4" s="258"/>
      <c r="AI4" s="258"/>
      <c r="AJ4" s="258"/>
      <c r="AK4" s="258"/>
      <c r="AL4" s="258"/>
      <c r="AM4" s="258"/>
      <c r="AN4" s="258"/>
      <c r="AR4" s="258" t="s">
        <v>126</v>
      </c>
      <c r="AS4" s="258"/>
      <c r="AT4" s="258"/>
      <c r="AU4" s="258"/>
      <c r="AV4" s="258"/>
      <c r="AW4" s="258"/>
      <c r="AX4" s="258"/>
      <c r="AY4" s="258"/>
      <c r="BC4" s="258" t="s">
        <v>126</v>
      </c>
      <c r="BD4" s="258"/>
      <c r="BE4" s="258"/>
      <c r="BF4" s="258"/>
      <c r="BG4" s="258"/>
      <c r="BH4" s="258"/>
      <c r="BI4" s="258"/>
      <c r="BJ4" s="258"/>
      <c r="BN4" s="258" t="s">
        <v>126</v>
      </c>
      <c r="BO4" s="258"/>
      <c r="BP4" s="258"/>
      <c r="BQ4" s="258"/>
      <c r="BR4" s="258"/>
      <c r="BS4" s="258"/>
      <c r="BT4" s="258"/>
      <c r="BU4" s="258"/>
      <c r="BY4" s="258" t="s">
        <v>126</v>
      </c>
      <c r="BZ4" s="258"/>
      <c r="CA4" s="258"/>
      <c r="CB4" s="258"/>
      <c r="CC4" s="258"/>
      <c r="CD4" s="258"/>
      <c r="CE4" s="258"/>
      <c r="CF4" s="258"/>
    </row>
    <row r="5" spans="1:84" x14ac:dyDescent="0.25">
      <c r="A5" s="120" t="s">
        <v>14</v>
      </c>
      <c r="B5" s="121">
        <v>0</v>
      </c>
      <c r="C5" s="121">
        <v>22.5</v>
      </c>
      <c r="D5" s="121">
        <v>45</v>
      </c>
      <c r="E5" s="121">
        <v>67.5</v>
      </c>
      <c r="F5" s="120">
        <v>90</v>
      </c>
      <c r="G5" s="120">
        <v>112.5</v>
      </c>
      <c r="H5" s="120">
        <v>135</v>
      </c>
      <c r="I5" s="120">
        <v>157.5</v>
      </c>
      <c r="K5" s="120" t="s">
        <v>14</v>
      </c>
      <c r="L5" s="121">
        <v>0</v>
      </c>
      <c r="M5" s="121">
        <v>22.5</v>
      </c>
      <c r="N5" s="121">
        <v>45</v>
      </c>
      <c r="O5" s="121">
        <v>67.5</v>
      </c>
      <c r="P5" s="120">
        <v>90</v>
      </c>
      <c r="Q5" s="120">
        <v>112.5</v>
      </c>
      <c r="R5" s="120">
        <v>135</v>
      </c>
      <c r="S5" s="120">
        <v>157.5</v>
      </c>
      <c r="U5" s="120" t="s">
        <v>14</v>
      </c>
      <c r="V5" s="121">
        <v>0</v>
      </c>
      <c r="W5" s="121">
        <v>22.5</v>
      </c>
      <c r="X5" s="121">
        <v>45</v>
      </c>
      <c r="Y5" s="121">
        <v>67.5</v>
      </c>
      <c r="Z5" s="120">
        <v>90</v>
      </c>
      <c r="AA5" s="120">
        <v>112.5</v>
      </c>
      <c r="AB5" s="120">
        <v>135</v>
      </c>
      <c r="AC5" s="120">
        <v>157.5</v>
      </c>
      <c r="AF5" s="120" t="s">
        <v>14</v>
      </c>
      <c r="AG5" s="121">
        <v>0</v>
      </c>
      <c r="AH5" s="121">
        <v>22.5</v>
      </c>
      <c r="AI5" s="121">
        <v>45</v>
      </c>
      <c r="AJ5" s="121">
        <v>67.5</v>
      </c>
      <c r="AK5" s="120">
        <v>90</v>
      </c>
      <c r="AL5" s="120">
        <v>112.5</v>
      </c>
      <c r="AM5" s="120">
        <v>135</v>
      </c>
      <c r="AN5" s="120">
        <v>157.5</v>
      </c>
      <c r="AQ5" s="120" t="s">
        <v>14</v>
      </c>
      <c r="AR5" s="121">
        <v>0</v>
      </c>
      <c r="AS5" s="121">
        <v>22.5</v>
      </c>
      <c r="AT5" s="121">
        <v>45</v>
      </c>
      <c r="AU5" s="121">
        <v>67.5</v>
      </c>
      <c r="AV5" s="120">
        <v>90</v>
      </c>
      <c r="AW5" s="120">
        <v>112.5</v>
      </c>
      <c r="AX5" s="120">
        <v>135</v>
      </c>
      <c r="AY5" s="120">
        <v>157.5</v>
      </c>
      <c r="BB5" s="120" t="s">
        <v>14</v>
      </c>
      <c r="BC5" s="121">
        <v>0</v>
      </c>
      <c r="BD5" s="121">
        <v>22.5</v>
      </c>
      <c r="BE5" s="121">
        <v>45</v>
      </c>
      <c r="BF5" s="121">
        <v>67.5</v>
      </c>
      <c r="BG5" s="120">
        <v>90</v>
      </c>
      <c r="BH5" s="120">
        <v>112.5</v>
      </c>
      <c r="BI5" s="120">
        <v>135</v>
      </c>
      <c r="BJ5" s="120">
        <v>157.5</v>
      </c>
      <c r="BM5" s="120" t="s">
        <v>14</v>
      </c>
      <c r="BN5" s="121">
        <v>0</v>
      </c>
      <c r="BO5" s="121">
        <v>22.5</v>
      </c>
      <c r="BP5" s="121">
        <v>45</v>
      </c>
      <c r="BQ5" s="121">
        <v>67.5</v>
      </c>
      <c r="BR5" s="120">
        <v>90</v>
      </c>
      <c r="BS5" s="120">
        <v>112.5</v>
      </c>
      <c r="BT5" s="120">
        <v>135</v>
      </c>
      <c r="BU5" s="120">
        <v>157.5</v>
      </c>
      <c r="BX5" s="120" t="s">
        <v>14</v>
      </c>
      <c r="BY5" s="121">
        <v>0</v>
      </c>
      <c r="BZ5" s="121">
        <v>22.5</v>
      </c>
      <c r="CA5" s="121">
        <v>45</v>
      </c>
      <c r="CB5" s="121">
        <v>67.5</v>
      </c>
      <c r="CC5" s="120">
        <v>90</v>
      </c>
      <c r="CD5" s="120">
        <v>112.5</v>
      </c>
      <c r="CE5" s="120">
        <v>135</v>
      </c>
      <c r="CF5" s="120">
        <v>157.5</v>
      </c>
    </row>
    <row r="6" spans="1:84" x14ac:dyDescent="0.25">
      <c r="A6" s="122">
        <v>1</v>
      </c>
      <c r="B6" s="123">
        <v>0</v>
      </c>
      <c r="C6" s="123">
        <v>0</v>
      </c>
      <c r="D6" s="123">
        <v>0</v>
      </c>
      <c r="E6" s="123">
        <v>0</v>
      </c>
      <c r="F6" s="123">
        <v>0</v>
      </c>
      <c r="G6" s="123">
        <v>0</v>
      </c>
      <c r="H6" s="123">
        <v>0</v>
      </c>
      <c r="I6" s="123">
        <v>0</v>
      </c>
      <c r="J6" s="124"/>
      <c r="K6" s="122">
        <v>1</v>
      </c>
      <c r="L6" s="123">
        <v>0</v>
      </c>
      <c r="M6" s="123">
        <v>0</v>
      </c>
      <c r="N6" s="123">
        <v>0</v>
      </c>
      <c r="O6" s="123">
        <v>0</v>
      </c>
      <c r="P6" s="123">
        <v>0</v>
      </c>
      <c r="Q6" s="123">
        <v>0</v>
      </c>
      <c r="R6" s="123">
        <v>0</v>
      </c>
      <c r="S6" s="123">
        <v>0</v>
      </c>
      <c r="U6" s="122">
        <v>1</v>
      </c>
      <c r="V6" s="123">
        <f>'2'!AC192</f>
        <v>0</v>
      </c>
      <c r="W6" s="123">
        <f>'2'!AC145</f>
        <v>0</v>
      </c>
      <c r="X6" s="123">
        <f>'2'!AC100</f>
        <v>0</v>
      </c>
      <c r="Y6" s="123">
        <f>'2'!AC53</f>
        <v>0</v>
      </c>
      <c r="Z6" s="123">
        <f>'2'!AC8</f>
        <v>0</v>
      </c>
      <c r="AA6" s="123">
        <v>0</v>
      </c>
      <c r="AB6" s="123">
        <v>0</v>
      </c>
      <c r="AC6" s="123">
        <v>0</v>
      </c>
      <c r="AD6" s="124"/>
      <c r="AE6" s="124"/>
      <c r="AF6" s="122">
        <v>1</v>
      </c>
      <c r="AG6" s="125">
        <v>0</v>
      </c>
      <c r="AH6" s="125">
        <v>0</v>
      </c>
      <c r="AI6" s="125">
        <v>0</v>
      </c>
      <c r="AJ6" s="125">
        <v>0</v>
      </c>
      <c r="AK6" s="125">
        <v>0</v>
      </c>
      <c r="AL6" s="125">
        <v>0</v>
      </c>
      <c r="AM6" s="125">
        <v>0</v>
      </c>
      <c r="AN6" s="125">
        <v>0</v>
      </c>
      <c r="AQ6" s="122">
        <v>1</v>
      </c>
      <c r="AR6" s="125">
        <v>0</v>
      </c>
      <c r="AS6" s="125">
        <v>0</v>
      </c>
      <c r="AT6" s="125">
        <v>0</v>
      </c>
      <c r="AU6" s="125">
        <v>0</v>
      </c>
      <c r="AV6" s="125">
        <v>0</v>
      </c>
      <c r="AW6" s="125">
        <v>0</v>
      </c>
      <c r="AX6" s="125">
        <v>0</v>
      </c>
      <c r="AY6" s="125">
        <v>0</v>
      </c>
      <c r="BB6" s="122">
        <v>1</v>
      </c>
      <c r="BC6" s="125">
        <v>0</v>
      </c>
      <c r="BD6" s="125">
        <v>0</v>
      </c>
      <c r="BE6" s="125">
        <v>0</v>
      </c>
      <c r="BF6" s="125">
        <v>0</v>
      </c>
      <c r="BG6" s="125">
        <v>0</v>
      </c>
      <c r="BH6" s="125">
        <v>0</v>
      </c>
      <c r="BI6" s="125">
        <v>0</v>
      </c>
      <c r="BJ6" s="125">
        <v>0</v>
      </c>
      <c r="BM6" s="122">
        <v>1</v>
      </c>
      <c r="BN6" s="125">
        <v>0</v>
      </c>
      <c r="BO6" s="125">
        <v>0</v>
      </c>
      <c r="BP6" s="125">
        <v>0</v>
      </c>
      <c r="BQ6" s="125">
        <v>0</v>
      </c>
      <c r="BR6" s="125">
        <v>0</v>
      </c>
      <c r="BS6" s="125">
        <v>0</v>
      </c>
      <c r="BT6" s="125">
        <v>0</v>
      </c>
      <c r="BU6" s="125">
        <v>0</v>
      </c>
      <c r="BX6" s="122">
        <v>1</v>
      </c>
      <c r="BY6" s="125">
        <v>0</v>
      </c>
      <c r="BZ6" s="125">
        <v>0</v>
      </c>
      <c r="CA6" s="125">
        <v>0</v>
      </c>
      <c r="CB6" s="125">
        <v>0</v>
      </c>
      <c r="CC6" s="125">
        <v>0</v>
      </c>
      <c r="CD6" s="125">
        <v>0</v>
      </c>
      <c r="CE6" s="125">
        <v>0</v>
      </c>
      <c r="CF6" s="125">
        <v>0</v>
      </c>
    </row>
    <row r="7" spans="1:84" x14ac:dyDescent="0.25">
      <c r="A7" s="122">
        <v>0.9</v>
      </c>
      <c r="B7" s="123">
        <f>'2'!AA193</f>
        <v>0</v>
      </c>
      <c r="C7" s="123">
        <f>'2'!AA146</f>
        <v>0</v>
      </c>
      <c r="D7" s="123">
        <f>'2'!AA101</f>
        <v>0</v>
      </c>
      <c r="E7" s="123">
        <f>'2'!AA54</f>
        <v>0</v>
      </c>
      <c r="F7" s="123">
        <f>'2'!AA9</f>
        <v>9.1600000000000001E-2</v>
      </c>
      <c r="G7" s="123">
        <f>'2'!DQ54</f>
        <v>0</v>
      </c>
      <c r="H7" s="123">
        <f>'2'!DQ101</f>
        <v>0</v>
      </c>
      <c r="I7" s="123">
        <f>'2'!DQ146</f>
        <v>0</v>
      </c>
      <c r="J7" s="124"/>
      <c r="K7" s="122">
        <v>0.9</v>
      </c>
      <c r="L7" s="123">
        <f>'2'!AB193</f>
        <v>0</v>
      </c>
      <c r="M7" s="123">
        <f>'2'!AB146</f>
        <v>0</v>
      </c>
      <c r="N7" s="123">
        <f>'2'!AB101</f>
        <v>0</v>
      </c>
      <c r="O7" s="123">
        <f>'2'!AB54</f>
        <v>0</v>
      </c>
      <c r="P7" s="123">
        <f>'2'!AB9</f>
        <v>0</v>
      </c>
      <c r="Q7" s="123">
        <f>'2'!DR54</f>
        <v>0</v>
      </c>
      <c r="R7" s="123">
        <f>'2'!DR101</f>
        <v>0</v>
      </c>
      <c r="S7" s="123">
        <f>'2'!DR146</f>
        <v>0</v>
      </c>
      <c r="U7" s="122">
        <v>0.9</v>
      </c>
      <c r="V7" s="123">
        <f>'2'!AC193</f>
        <v>0</v>
      </c>
      <c r="W7" s="123">
        <f>'2'!AC146</f>
        <v>0</v>
      </c>
      <c r="X7" s="123">
        <f>'2'!AC101</f>
        <v>0</v>
      </c>
      <c r="Y7" s="123">
        <f>'2'!AC54</f>
        <v>0</v>
      </c>
      <c r="Z7" s="123">
        <f>'2'!AC9</f>
        <v>9.1600000000000001E-2</v>
      </c>
      <c r="AA7" s="123">
        <f>'2'!DS54</f>
        <v>0</v>
      </c>
      <c r="AB7" s="123">
        <f>'2'!DS101</f>
        <v>0</v>
      </c>
      <c r="AC7" s="123">
        <f>'2'!DS146</f>
        <v>0</v>
      </c>
      <c r="AD7" s="124"/>
      <c r="AE7" s="124"/>
      <c r="AF7" s="122">
        <v>0.9</v>
      </c>
      <c r="AG7" s="123">
        <f>'2'!AK193</f>
        <v>0</v>
      </c>
      <c r="AH7" s="123">
        <f>'2'!AK146</f>
        <v>0</v>
      </c>
      <c r="AI7" s="123">
        <f>'2'!AK101</f>
        <v>0</v>
      </c>
      <c r="AJ7" s="123">
        <f>'2'!AK54</f>
        <v>0</v>
      </c>
      <c r="AK7" s="123">
        <f>'2'!AK9</f>
        <v>3.66</v>
      </c>
      <c r="AL7" s="125">
        <f>'2'!EA54</f>
        <v>0</v>
      </c>
      <c r="AM7" s="125">
        <f>'2'!EA101</f>
        <v>0</v>
      </c>
      <c r="AN7" s="125">
        <f>'2'!EA146</f>
        <v>0</v>
      </c>
      <c r="AO7" s="127"/>
      <c r="AP7" s="127"/>
      <c r="AQ7" s="122">
        <v>0.9</v>
      </c>
      <c r="AR7" s="123">
        <f>'2'!AM193</f>
        <v>0</v>
      </c>
      <c r="AS7" s="123">
        <f>'2'!AM146</f>
        <v>0</v>
      </c>
      <c r="AT7" s="123">
        <f>'2'!AM101</f>
        <v>0</v>
      </c>
      <c r="AU7" s="123">
        <f>'2'!AM54</f>
        <v>0</v>
      </c>
      <c r="AV7" s="123">
        <f>'2'!AM9</f>
        <v>0</v>
      </c>
      <c r="AW7" s="125">
        <f>'2'!EC54</f>
        <v>0</v>
      </c>
      <c r="AX7" s="125">
        <f>'2'!EC101</f>
        <v>0</v>
      </c>
      <c r="AY7" s="125">
        <f>'2'!EC146</f>
        <v>0</v>
      </c>
      <c r="AZ7" s="127"/>
      <c r="BA7" s="127"/>
      <c r="BB7" s="122">
        <v>0.9</v>
      </c>
      <c r="BC7" s="123">
        <f>'2'!BF193</f>
        <v>0</v>
      </c>
      <c r="BD7" s="123">
        <f>'2'!BF146</f>
        <v>0</v>
      </c>
      <c r="BE7" s="123">
        <f>'2'!BF101</f>
        <v>0</v>
      </c>
      <c r="BF7" s="123">
        <f>'2'!BF54</f>
        <v>0</v>
      </c>
      <c r="BG7" s="123">
        <f>'2'!BF9</f>
        <v>37.233333333333334</v>
      </c>
      <c r="BH7" s="125">
        <f>'2'!EV54</f>
        <v>0</v>
      </c>
      <c r="BI7" s="125">
        <f>'2'!EV101</f>
        <v>0</v>
      </c>
      <c r="BJ7" s="125">
        <f>'2'!EV146</f>
        <v>0</v>
      </c>
      <c r="BK7" s="128"/>
      <c r="BL7" s="128"/>
      <c r="BM7" s="122">
        <v>0.9</v>
      </c>
      <c r="BN7" s="123">
        <f>'2'!BG193</f>
        <v>0</v>
      </c>
      <c r="BO7" s="123">
        <f>'2'!BG146</f>
        <v>0</v>
      </c>
      <c r="BP7" s="123">
        <f>'2'!BG101</f>
        <v>0</v>
      </c>
      <c r="BQ7" s="123">
        <f>'2'!BG54</f>
        <v>0</v>
      </c>
      <c r="BR7" s="123">
        <f>'2'!BG9</f>
        <v>0</v>
      </c>
      <c r="BS7" s="125">
        <f>'2'!EW54</f>
        <v>0</v>
      </c>
      <c r="BT7" s="125">
        <f>'2'!EW101</f>
        <v>0</v>
      </c>
      <c r="BU7" s="125">
        <f>'2'!EW146</f>
        <v>0</v>
      </c>
      <c r="BV7" s="128"/>
      <c r="BW7" s="128"/>
      <c r="BX7" s="122">
        <v>0.9</v>
      </c>
      <c r="BY7" s="123">
        <f>'2'!BH193</f>
        <v>0</v>
      </c>
      <c r="BZ7" s="123">
        <f>'2'!BH146</f>
        <v>0</v>
      </c>
      <c r="CA7" s="123">
        <f>'2'!BH101</f>
        <v>0</v>
      </c>
      <c r="CB7" s="123">
        <f>'2'!BH54</f>
        <v>0</v>
      </c>
      <c r="CC7" s="123">
        <f>'2'!BH9</f>
        <v>37.233333333333334</v>
      </c>
      <c r="CD7" s="125">
        <f>'2'!EX54</f>
        <v>0</v>
      </c>
      <c r="CE7" s="125">
        <f>'2'!EX101</f>
        <v>0</v>
      </c>
      <c r="CF7" s="125">
        <f>'2'!EX146</f>
        <v>0</v>
      </c>
    </row>
    <row r="8" spans="1:84" x14ac:dyDescent="0.25">
      <c r="A8" s="122">
        <v>0.8</v>
      </c>
      <c r="B8" s="123">
        <f>'2'!AA194</f>
        <v>0</v>
      </c>
      <c r="C8" s="123">
        <f>'2'!AA147</f>
        <v>0</v>
      </c>
      <c r="D8" s="123">
        <f>'2'!AA102</f>
        <v>0</v>
      </c>
      <c r="E8" s="123">
        <f>'2'!AA55</f>
        <v>0</v>
      </c>
      <c r="F8" s="123">
        <f>'2'!AA10</f>
        <v>0.14549999999999999</v>
      </c>
      <c r="G8" s="123">
        <f>'2'!DQ55</f>
        <v>0</v>
      </c>
      <c r="H8" s="123">
        <f>'2'!DQ102</f>
        <v>0</v>
      </c>
      <c r="I8" s="123">
        <f>'2'!DQ147</f>
        <v>0</v>
      </c>
      <c r="J8" s="124"/>
      <c r="K8" s="122">
        <v>0.8</v>
      </c>
      <c r="L8" s="123">
        <f>'2'!AB194</f>
        <v>0</v>
      </c>
      <c r="M8" s="123">
        <f>'2'!AB147</f>
        <v>0</v>
      </c>
      <c r="N8" s="123">
        <f>'2'!AB102</f>
        <v>0</v>
      </c>
      <c r="O8" s="123">
        <f>'2'!AB55</f>
        <v>0</v>
      </c>
      <c r="P8" s="123">
        <f>'2'!AB10</f>
        <v>0</v>
      </c>
      <c r="Q8" s="123">
        <f>'2'!DR55</f>
        <v>0</v>
      </c>
      <c r="R8" s="123">
        <f>'2'!DR102</f>
        <v>0</v>
      </c>
      <c r="S8" s="123">
        <f>'2'!DR147</f>
        <v>0</v>
      </c>
      <c r="U8" s="122">
        <v>0.8</v>
      </c>
      <c r="V8" s="123">
        <f>'2'!AC194</f>
        <v>0</v>
      </c>
      <c r="W8" s="123">
        <f>'2'!AC147</f>
        <v>0</v>
      </c>
      <c r="X8" s="123">
        <f>'2'!AC102</f>
        <v>0</v>
      </c>
      <c r="Y8" s="123">
        <f>'2'!AC55</f>
        <v>0</v>
      </c>
      <c r="Z8" s="123">
        <f>'2'!AC10</f>
        <v>0.14549999999999999</v>
      </c>
      <c r="AA8" s="123">
        <f>'2'!DS55</f>
        <v>0</v>
      </c>
      <c r="AB8" s="123">
        <f>'2'!DS102</f>
        <v>0</v>
      </c>
      <c r="AC8" s="123">
        <f>'2'!DS147</f>
        <v>0</v>
      </c>
      <c r="AD8" s="124"/>
      <c r="AE8" s="124"/>
      <c r="AF8" s="122">
        <v>0.8</v>
      </c>
      <c r="AG8" s="123">
        <f>'2'!AK194</f>
        <v>0</v>
      </c>
      <c r="AH8" s="123">
        <f>'2'!AK147</f>
        <v>0</v>
      </c>
      <c r="AI8" s="123">
        <f>'2'!AK102</f>
        <v>0</v>
      </c>
      <c r="AJ8" s="123">
        <f>'2'!AK55</f>
        <v>0</v>
      </c>
      <c r="AK8" s="123">
        <f>'2'!AK10</f>
        <v>4.4000000000000004</v>
      </c>
      <c r="AL8" s="125">
        <f>'2'!EA55</f>
        <v>0</v>
      </c>
      <c r="AM8" s="125">
        <f>'2'!EA102</f>
        <v>0</v>
      </c>
      <c r="AN8" s="125">
        <f>'2'!EA147</f>
        <v>0</v>
      </c>
      <c r="AO8" s="127"/>
      <c r="AP8" s="127"/>
      <c r="AQ8" s="122">
        <v>0.8</v>
      </c>
      <c r="AR8" s="123">
        <f>'2'!AM194</f>
        <v>0</v>
      </c>
      <c r="AS8" s="123">
        <f>'2'!AM147</f>
        <v>0</v>
      </c>
      <c r="AT8" s="123">
        <f>'2'!AM102</f>
        <v>0</v>
      </c>
      <c r="AU8" s="123">
        <f>'2'!AM55</f>
        <v>0</v>
      </c>
      <c r="AV8" s="123">
        <f>'2'!AM10</f>
        <v>0</v>
      </c>
      <c r="AW8" s="125">
        <f>'2'!EC55</f>
        <v>0</v>
      </c>
      <c r="AX8" s="125">
        <f>'2'!EC102</f>
        <v>0</v>
      </c>
      <c r="AY8" s="125">
        <f>'2'!EC147</f>
        <v>0</v>
      </c>
      <c r="AZ8" s="127"/>
      <c r="BA8" s="127"/>
      <c r="BB8" s="122">
        <v>0.8</v>
      </c>
      <c r="BC8" s="123">
        <f>'2'!BF194</f>
        <v>0</v>
      </c>
      <c r="BD8" s="123">
        <f>'2'!BF147</f>
        <v>0</v>
      </c>
      <c r="BE8" s="123">
        <f>'2'!BF102</f>
        <v>0</v>
      </c>
      <c r="BF8" s="123">
        <f>'2'!BF55</f>
        <v>0</v>
      </c>
      <c r="BG8" s="123">
        <f>'2'!BF10</f>
        <v>53.666666666666664</v>
      </c>
      <c r="BH8" s="125">
        <f>'2'!EV55</f>
        <v>0</v>
      </c>
      <c r="BI8" s="125">
        <f>'2'!EV102</f>
        <v>0</v>
      </c>
      <c r="BJ8" s="125">
        <f>'2'!EV147</f>
        <v>0</v>
      </c>
      <c r="BK8" s="128"/>
      <c r="BL8" s="128"/>
      <c r="BM8" s="122">
        <v>0.8</v>
      </c>
      <c r="BN8" s="123">
        <f>'2'!BG194</f>
        <v>0</v>
      </c>
      <c r="BO8" s="123">
        <f>'2'!BG147</f>
        <v>0</v>
      </c>
      <c r="BP8" s="123">
        <f>'2'!BG102</f>
        <v>0</v>
      </c>
      <c r="BQ8" s="123">
        <f>'2'!BG55</f>
        <v>0</v>
      </c>
      <c r="BR8" s="123">
        <f>'2'!BG10</f>
        <v>0</v>
      </c>
      <c r="BS8" s="125">
        <f>'2'!EW55</f>
        <v>0</v>
      </c>
      <c r="BT8" s="125">
        <f>'2'!EW102</f>
        <v>0</v>
      </c>
      <c r="BU8" s="125">
        <f>'2'!EW147</f>
        <v>0</v>
      </c>
      <c r="BV8" s="128"/>
      <c r="BW8" s="128"/>
      <c r="BX8" s="122">
        <v>0.8</v>
      </c>
      <c r="BY8" s="123">
        <f>'2'!BH194</f>
        <v>0</v>
      </c>
      <c r="BZ8" s="123">
        <f>'2'!BH147</f>
        <v>0</v>
      </c>
      <c r="CA8" s="123">
        <f>'2'!BH102</f>
        <v>0</v>
      </c>
      <c r="CB8" s="123">
        <f>'2'!BH55</f>
        <v>0</v>
      </c>
      <c r="CC8" s="123">
        <f>'2'!BH10</f>
        <v>53.666666666666664</v>
      </c>
      <c r="CD8" s="125">
        <f>'2'!EX55</f>
        <v>0</v>
      </c>
      <c r="CE8" s="125">
        <f>'2'!EX102</f>
        <v>0</v>
      </c>
      <c r="CF8" s="125">
        <f>'2'!EX147</f>
        <v>0</v>
      </c>
    </row>
    <row r="9" spans="1:84" x14ac:dyDescent="0.25">
      <c r="A9" s="122">
        <v>0.7</v>
      </c>
      <c r="B9" s="123">
        <f>'2'!AA195</f>
        <v>0</v>
      </c>
      <c r="C9" s="123">
        <f>'2'!AA148</f>
        <v>0</v>
      </c>
      <c r="D9" s="123">
        <f>'2'!AA103</f>
        <v>0</v>
      </c>
      <c r="E9" s="123">
        <f>'2'!AA56</f>
        <v>0</v>
      </c>
      <c r="F9" s="123">
        <f>'2'!AA11</f>
        <v>0.1265</v>
      </c>
      <c r="G9" s="123">
        <f>'2'!DQ56</f>
        <v>0</v>
      </c>
      <c r="H9" s="123">
        <f>'2'!DQ103</f>
        <v>0</v>
      </c>
      <c r="I9" s="123">
        <f>'2'!DQ148</f>
        <v>0</v>
      </c>
      <c r="J9" s="124"/>
      <c r="K9" s="122">
        <v>0.7</v>
      </c>
      <c r="L9" s="123">
        <f>'2'!AB195</f>
        <v>0</v>
      </c>
      <c r="M9" s="123">
        <f>'2'!AB148</f>
        <v>0</v>
      </c>
      <c r="N9" s="123">
        <f>'2'!AB103</f>
        <v>0</v>
      </c>
      <c r="O9" s="123">
        <f>'2'!AB56</f>
        <v>0</v>
      </c>
      <c r="P9" s="123">
        <f>'2'!AB11</f>
        <v>0</v>
      </c>
      <c r="Q9" s="123">
        <f>'2'!DR56</f>
        <v>0</v>
      </c>
      <c r="R9" s="123">
        <f>'2'!DR103</f>
        <v>0</v>
      </c>
      <c r="S9" s="123">
        <f>'2'!DR148</f>
        <v>0</v>
      </c>
      <c r="U9" s="122">
        <v>0.7</v>
      </c>
      <c r="V9" s="123">
        <f>'2'!AC195</f>
        <v>0</v>
      </c>
      <c r="W9" s="123">
        <f>'2'!AC148</f>
        <v>0</v>
      </c>
      <c r="X9" s="123">
        <f>'2'!AC103</f>
        <v>0</v>
      </c>
      <c r="Y9" s="123">
        <f>'2'!AC56</f>
        <v>0</v>
      </c>
      <c r="Z9" s="123">
        <f>'2'!AC11</f>
        <v>0.1265</v>
      </c>
      <c r="AA9" s="123">
        <f>'2'!DS56</f>
        <v>0</v>
      </c>
      <c r="AB9" s="123">
        <f>'2'!DS103</f>
        <v>0</v>
      </c>
      <c r="AC9" s="123">
        <f>'2'!DS148</f>
        <v>0</v>
      </c>
      <c r="AD9" s="124"/>
      <c r="AE9" s="124"/>
      <c r="AF9" s="122">
        <v>0.7</v>
      </c>
      <c r="AG9" s="123">
        <f>'2'!AK195</f>
        <v>0</v>
      </c>
      <c r="AH9" s="123">
        <f>'2'!AK148</f>
        <v>0</v>
      </c>
      <c r="AI9" s="123">
        <f>'2'!AK103</f>
        <v>0</v>
      </c>
      <c r="AJ9" s="123">
        <f>'2'!AK56</f>
        <v>0</v>
      </c>
      <c r="AK9" s="123">
        <f>'2'!AK11</f>
        <v>3.84</v>
      </c>
      <c r="AL9" s="125">
        <f>'2'!EA56</f>
        <v>0</v>
      </c>
      <c r="AM9" s="125">
        <f>'2'!EA103</f>
        <v>0</v>
      </c>
      <c r="AN9" s="125">
        <f>'2'!EA148</f>
        <v>0</v>
      </c>
      <c r="AO9" s="127"/>
      <c r="AP9" s="127"/>
      <c r="AQ9" s="122">
        <v>0.7</v>
      </c>
      <c r="AR9" s="123">
        <f>'2'!AM195</f>
        <v>0</v>
      </c>
      <c r="AS9" s="123">
        <f>'2'!AM148</f>
        <v>0</v>
      </c>
      <c r="AT9" s="123">
        <f>'2'!AM103</f>
        <v>0</v>
      </c>
      <c r="AU9" s="123">
        <f>'2'!AM56</f>
        <v>0</v>
      </c>
      <c r="AV9" s="123">
        <f>'2'!AM11</f>
        <v>0</v>
      </c>
      <c r="AW9" s="125">
        <f>'2'!EC56</f>
        <v>0</v>
      </c>
      <c r="AX9" s="125">
        <f>'2'!EC103</f>
        <v>0</v>
      </c>
      <c r="AY9" s="125">
        <f>'2'!EC148</f>
        <v>0</v>
      </c>
      <c r="AZ9" s="127"/>
      <c r="BA9" s="127"/>
      <c r="BB9" s="122">
        <v>0.7</v>
      </c>
      <c r="BC9" s="123">
        <f>'2'!BF195</f>
        <v>0</v>
      </c>
      <c r="BD9" s="123">
        <f>'2'!BF148</f>
        <v>0</v>
      </c>
      <c r="BE9" s="123">
        <f>'2'!BF103</f>
        <v>0</v>
      </c>
      <c r="BF9" s="123">
        <f>'2'!BF56</f>
        <v>0</v>
      </c>
      <c r="BG9" s="123">
        <f>'2'!BF11</f>
        <v>52.366666666666667</v>
      </c>
      <c r="BH9" s="125">
        <f>'2'!EV56</f>
        <v>0</v>
      </c>
      <c r="BI9" s="125">
        <f>'2'!EV103</f>
        <v>0</v>
      </c>
      <c r="BJ9" s="125">
        <f>'2'!EV148</f>
        <v>0</v>
      </c>
      <c r="BK9" s="128"/>
      <c r="BL9" s="128"/>
      <c r="BM9" s="122">
        <v>0.7</v>
      </c>
      <c r="BN9" s="123">
        <f>'2'!BG195</f>
        <v>0</v>
      </c>
      <c r="BO9" s="123">
        <f>'2'!BG148</f>
        <v>0</v>
      </c>
      <c r="BP9" s="123">
        <f>'2'!BG103</f>
        <v>0</v>
      </c>
      <c r="BQ9" s="123">
        <f>'2'!BG56</f>
        <v>0</v>
      </c>
      <c r="BR9" s="123">
        <f>'2'!BG11</f>
        <v>0</v>
      </c>
      <c r="BS9" s="125">
        <f>'2'!EW56</f>
        <v>0</v>
      </c>
      <c r="BT9" s="125">
        <f>'2'!EW103</f>
        <v>0</v>
      </c>
      <c r="BU9" s="125">
        <f>'2'!EW148</f>
        <v>0</v>
      </c>
      <c r="BV9" s="128"/>
      <c r="BW9" s="128"/>
      <c r="BX9" s="122">
        <v>0.7</v>
      </c>
      <c r="BY9" s="123">
        <f>'2'!BH195</f>
        <v>0</v>
      </c>
      <c r="BZ9" s="123">
        <f>'2'!BH148</f>
        <v>0</v>
      </c>
      <c r="CA9" s="123">
        <f>'2'!BH103</f>
        <v>0</v>
      </c>
      <c r="CB9" s="123">
        <f>'2'!BH56</f>
        <v>0</v>
      </c>
      <c r="CC9" s="123">
        <f>'2'!BH11</f>
        <v>52.366666666666667</v>
      </c>
      <c r="CD9" s="125">
        <f>'2'!EX56</f>
        <v>0</v>
      </c>
      <c r="CE9" s="125">
        <f>'2'!EX103</f>
        <v>0</v>
      </c>
      <c r="CF9" s="125">
        <f>'2'!EX148</f>
        <v>0</v>
      </c>
    </row>
    <row r="10" spans="1:84" x14ac:dyDescent="0.25">
      <c r="A10" s="122">
        <v>0.6</v>
      </c>
      <c r="B10" s="123">
        <f>'2'!AA196</f>
        <v>0</v>
      </c>
      <c r="C10" s="123">
        <f>'2'!AA149</f>
        <v>0</v>
      </c>
      <c r="D10" s="123">
        <f>'2'!AA104</f>
        <v>0</v>
      </c>
      <c r="E10" s="123">
        <f>'2'!AA57</f>
        <v>0</v>
      </c>
      <c r="F10" s="123">
        <f>'2'!AA12</f>
        <v>9.8100000000000007E-2</v>
      </c>
      <c r="G10" s="123">
        <f>'2'!DQ57</f>
        <v>0</v>
      </c>
      <c r="H10" s="123">
        <f>'2'!DQ104</f>
        <v>0</v>
      </c>
      <c r="I10" s="123">
        <f>'2'!DQ149</f>
        <v>0</v>
      </c>
      <c r="J10" s="124"/>
      <c r="K10" s="122">
        <v>0.6</v>
      </c>
      <c r="L10" s="123">
        <f>'2'!AB196</f>
        <v>0</v>
      </c>
      <c r="M10" s="123">
        <f>'2'!AB149</f>
        <v>0</v>
      </c>
      <c r="N10" s="123">
        <f>'2'!AB104</f>
        <v>0</v>
      </c>
      <c r="O10" s="123">
        <f>'2'!AB57</f>
        <v>0</v>
      </c>
      <c r="P10" s="123">
        <f>'2'!AB12</f>
        <v>0</v>
      </c>
      <c r="Q10" s="123">
        <f>'2'!DR57</f>
        <v>0</v>
      </c>
      <c r="R10" s="123">
        <f>'2'!DR104</f>
        <v>0</v>
      </c>
      <c r="S10" s="123">
        <f>'2'!DR149</f>
        <v>0</v>
      </c>
      <c r="U10" s="122">
        <v>0.6</v>
      </c>
      <c r="V10" s="123">
        <f>'2'!AC196</f>
        <v>0</v>
      </c>
      <c r="W10" s="123">
        <f>'2'!AC149</f>
        <v>0</v>
      </c>
      <c r="X10" s="123">
        <f>'2'!AC104</f>
        <v>0</v>
      </c>
      <c r="Y10" s="123">
        <f>'2'!AC57</f>
        <v>0</v>
      </c>
      <c r="Z10" s="123">
        <f>'2'!AC12</f>
        <v>9.8100000000000007E-2</v>
      </c>
      <c r="AA10" s="123">
        <f>'2'!DS57</f>
        <v>0</v>
      </c>
      <c r="AB10" s="123">
        <f>'2'!DS104</f>
        <v>0</v>
      </c>
      <c r="AC10" s="123">
        <f>'2'!DS149</f>
        <v>0</v>
      </c>
      <c r="AD10" s="124"/>
      <c r="AE10" s="124"/>
      <c r="AF10" s="122">
        <v>0.6</v>
      </c>
      <c r="AG10" s="123">
        <f>'2'!AK196</f>
        <v>0</v>
      </c>
      <c r="AH10" s="123">
        <f>'2'!AK149</f>
        <v>0</v>
      </c>
      <c r="AI10" s="123">
        <f>'2'!AK104</f>
        <v>0</v>
      </c>
      <c r="AJ10" s="123">
        <f>'2'!AK57</f>
        <v>0</v>
      </c>
      <c r="AK10" s="123">
        <f>'2'!AK12</f>
        <v>3.7</v>
      </c>
      <c r="AL10" s="125">
        <f>'2'!EA57</f>
        <v>0</v>
      </c>
      <c r="AM10" s="125">
        <f>'2'!EA104</f>
        <v>0</v>
      </c>
      <c r="AN10" s="125">
        <f>'2'!EA149</f>
        <v>0</v>
      </c>
      <c r="AO10" s="127"/>
      <c r="AP10" s="127"/>
      <c r="AQ10" s="122">
        <v>0.6</v>
      </c>
      <c r="AR10" s="123">
        <f>'2'!AM196</f>
        <v>0</v>
      </c>
      <c r="AS10" s="123">
        <f>'2'!AM149</f>
        <v>0</v>
      </c>
      <c r="AT10" s="123">
        <f>'2'!AM104</f>
        <v>0</v>
      </c>
      <c r="AU10" s="123">
        <f>'2'!AM57</f>
        <v>0</v>
      </c>
      <c r="AV10" s="123">
        <f>'2'!AM12</f>
        <v>0</v>
      </c>
      <c r="AW10" s="125">
        <f>'2'!EC57</f>
        <v>0</v>
      </c>
      <c r="AX10" s="125">
        <f>'2'!EC104</f>
        <v>0</v>
      </c>
      <c r="AY10" s="125">
        <f>'2'!EC149</f>
        <v>0</v>
      </c>
      <c r="AZ10" s="127"/>
      <c r="BA10" s="127"/>
      <c r="BB10" s="122">
        <v>0.6</v>
      </c>
      <c r="BC10" s="123">
        <f>'2'!BF196</f>
        <v>0</v>
      </c>
      <c r="BD10" s="123">
        <f>'2'!BF149</f>
        <v>0</v>
      </c>
      <c r="BE10" s="123">
        <f>'2'!BF104</f>
        <v>0</v>
      </c>
      <c r="BF10" s="123">
        <f>'2'!BF57</f>
        <v>0</v>
      </c>
      <c r="BG10" s="123">
        <f>'2'!BF12</f>
        <v>45.033333333333331</v>
      </c>
      <c r="BH10" s="125">
        <f>'2'!EV57</f>
        <v>0</v>
      </c>
      <c r="BI10" s="125">
        <f>'2'!EV104</f>
        <v>0</v>
      </c>
      <c r="BJ10" s="125">
        <f>'2'!EV149</f>
        <v>0</v>
      </c>
      <c r="BK10" s="128"/>
      <c r="BL10" s="128"/>
      <c r="BM10" s="122">
        <v>0.6</v>
      </c>
      <c r="BN10" s="123">
        <f>'2'!BG196</f>
        <v>0</v>
      </c>
      <c r="BO10" s="123">
        <f>'2'!BG149</f>
        <v>0</v>
      </c>
      <c r="BP10" s="123">
        <f>'2'!BG104</f>
        <v>0</v>
      </c>
      <c r="BQ10" s="123">
        <f>'2'!BG57</f>
        <v>0</v>
      </c>
      <c r="BR10" s="123">
        <f>'2'!BG12</f>
        <v>0</v>
      </c>
      <c r="BS10" s="125">
        <f>'2'!EW57</f>
        <v>0</v>
      </c>
      <c r="BT10" s="125">
        <f>'2'!EW104</f>
        <v>0</v>
      </c>
      <c r="BU10" s="125">
        <f>'2'!EW149</f>
        <v>0</v>
      </c>
      <c r="BV10" s="128"/>
      <c r="BW10" s="128"/>
      <c r="BX10" s="122">
        <v>0.6</v>
      </c>
      <c r="BY10" s="123">
        <f>'2'!BH196</f>
        <v>0</v>
      </c>
      <c r="BZ10" s="123">
        <f>'2'!BH149</f>
        <v>0</v>
      </c>
      <c r="CA10" s="123">
        <f>'2'!BH104</f>
        <v>0</v>
      </c>
      <c r="CB10" s="123">
        <f>'2'!BH57</f>
        <v>0</v>
      </c>
      <c r="CC10" s="123">
        <f>'2'!BH12</f>
        <v>45.033333333333331</v>
      </c>
      <c r="CD10" s="125">
        <f>'2'!EX57</f>
        <v>0</v>
      </c>
      <c r="CE10" s="125">
        <f>'2'!EX104</f>
        <v>0</v>
      </c>
      <c r="CF10" s="125">
        <f>'2'!EX149</f>
        <v>0</v>
      </c>
    </row>
    <row r="11" spans="1:84" x14ac:dyDescent="0.25">
      <c r="A11" s="122">
        <v>0.5</v>
      </c>
      <c r="B11" s="123">
        <f>'2'!AA197</f>
        <v>0</v>
      </c>
      <c r="C11" s="123">
        <f>'2'!AA150</f>
        <v>0</v>
      </c>
      <c r="D11" s="123">
        <f>'2'!AA105</f>
        <v>0</v>
      </c>
      <c r="E11" s="123">
        <f>'2'!AA58</f>
        <v>0</v>
      </c>
      <c r="F11" s="123">
        <f>'2'!AA13</f>
        <v>9.1899999999999996E-2</v>
      </c>
      <c r="G11" s="123">
        <f>'2'!DQ58</f>
        <v>0</v>
      </c>
      <c r="H11" s="123">
        <f>'2'!DQ105</f>
        <v>0</v>
      </c>
      <c r="I11" s="123">
        <f>'2'!DQ150</f>
        <v>0</v>
      </c>
      <c r="J11" s="124"/>
      <c r="K11" s="122">
        <v>0.5</v>
      </c>
      <c r="L11" s="123">
        <f>'2'!AB197</f>
        <v>0</v>
      </c>
      <c r="M11" s="123">
        <f>'2'!AB150</f>
        <v>0</v>
      </c>
      <c r="N11" s="123">
        <f>'2'!AB105</f>
        <v>0</v>
      </c>
      <c r="O11" s="123">
        <f>'2'!AB58</f>
        <v>0</v>
      </c>
      <c r="P11" s="123">
        <f>'2'!AB13</f>
        <v>0</v>
      </c>
      <c r="Q11" s="123">
        <f>'2'!DR58</f>
        <v>0</v>
      </c>
      <c r="R11" s="123">
        <f>'2'!DR105</f>
        <v>0</v>
      </c>
      <c r="S11" s="123">
        <f>'2'!DR150</f>
        <v>0</v>
      </c>
      <c r="U11" s="122">
        <v>0.5</v>
      </c>
      <c r="V11" s="123">
        <f>'2'!AC197</f>
        <v>0</v>
      </c>
      <c r="W11" s="123">
        <f>'2'!AC150</f>
        <v>0</v>
      </c>
      <c r="X11" s="123">
        <f>'2'!AC105</f>
        <v>0</v>
      </c>
      <c r="Y11" s="123">
        <f>'2'!AC58</f>
        <v>0</v>
      </c>
      <c r="Z11" s="123">
        <f>'2'!AC13</f>
        <v>9.1899999999999996E-2</v>
      </c>
      <c r="AA11" s="123">
        <f>'2'!DS58</f>
        <v>0</v>
      </c>
      <c r="AB11" s="123">
        <f>'2'!DS105</f>
        <v>0</v>
      </c>
      <c r="AC11" s="123">
        <f>'2'!DS150</f>
        <v>0</v>
      </c>
      <c r="AD11" s="124"/>
      <c r="AE11" s="124"/>
      <c r="AF11" s="122">
        <v>0.5</v>
      </c>
      <c r="AG11" s="123">
        <f>'2'!AK197</f>
        <v>0</v>
      </c>
      <c r="AH11" s="123">
        <f>'2'!AK150</f>
        <v>0</v>
      </c>
      <c r="AI11" s="123">
        <f>'2'!AK105</f>
        <v>0</v>
      </c>
      <c r="AJ11" s="123">
        <f>'2'!AK58</f>
        <v>0</v>
      </c>
      <c r="AK11" s="123">
        <f>'2'!AK13</f>
        <v>3.85</v>
      </c>
      <c r="AL11" s="125">
        <f>'2'!EA58</f>
        <v>0</v>
      </c>
      <c r="AM11" s="125">
        <f>'2'!EA105</f>
        <v>0</v>
      </c>
      <c r="AN11" s="125">
        <f>'2'!EA150</f>
        <v>0</v>
      </c>
      <c r="AO11" s="127"/>
      <c r="AP11" s="127"/>
      <c r="AQ11" s="122">
        <v>0.5</v>
      </c>
      <c r="AR11" s="123">
        <f>'2'!AM197</f>
        <v>0</v>
      </c>
      <c r="AS11" s="123">
        <f>'2'!AM150</f>
        <v>0</v>
      </c>
      <c r="AT11" s="123">
        <f>'2'!AM105</f>
        <v>0</v>
      </c>
      <c r="AU11" s="123">
        <f>'2'!AM58</f>
        <v>0</v>
      </c>
      <c r="AV11" s="123">
        <f>'2'!AM13</f>
        <v>0</v>
      </c>
      <c r="AW11" s="125">
        <f>'2'!EC58</f>
        <v>0</v>
      </c>
      <c r="AX11" s="125">
        <f>'2'!EC105</f>
        <v>0</v>
      </c>
      <c r="AY11" s="125">
        <f>'2'!EC150</f>
        <v>0</v>
      </c>
      <c r="AZ11" s="127"/>
      <c r="BA11" s="127"/>
      <c r="BB11" s="122">
        <v>0.5</v>
      </c>
      <c r="BC11" s="123">
        <f>'2'!BF197</f>
        <v>0</v>
      </c>
      <c r="BD11" s="123">
        <f>'2'!BF150</f>
        <v>0</v>
      </c>
      <c r="BE11" s="123">
        <f>'2'!BF105</f>
        <v>0</v>
      </c>
      <c r="BF11" s="123">
        <f>'2'!BF58</f>
        <v>0</v>
      </c>
      <c r="BG11" s="123">
        <f>'2'!BF13</f>
        <v>42.666666666666664</v>
      </c>
      <c r="BH11" s="125">
        <f>'2'!EV58</f>
        <v>0</v>
      </c>
      <c r="BI11" s="125">
        <f>'2'!EV105</f>
        <v>0</v>
      </c>
      <c r="BJ11" s="125">
        <f>'2'!EV150</f>
        <v>0</v>
      </c>
      <c r="BK11" s="128"/>
      <c r="BL11" s="128"/>
      <c r="BM11" s="122">
        <v>0.5</v>
      </c>
      <c r="BN11" s="123">
        <f>'2'!BG197</f>
        <v>0</v>
      </c>
      <c r="BO11" s="123">
        <f>'2'!BG150</f>
        <v>0</v>
      </c>
      <c r="BP11" s="123">
        <f>'2'!BG105</f>
        <v>0</v>
      </c>
      <c r="BQ11" s="123">
        <f>'2'!BG58</f>
        <v>0</v>
      </c>
      <c r="BR11" s="123">
        <f>'2'!BG13</f>
        <v>0</v>
      </c>
      <c r="BS11" s="125">
        <f>'2'!EW58</f>
        <v>0</v>
      </c>
      <c r="BT11" s="125">
        <f>'2'!EW105</f>
        <v>0</v>
      </c>
      <c r="BU11" s="125">
        <f>'2'!EW150</f>
        <v>0</v>
      </c>
      <c r="BV11" s="128"/>
      <c r="BW11" s="128"/>
      <c r="BX11" s="122">
        <v>0.5</v>
      </c>
      <c r="BY11" s="123">
        <f>'2'!BH197</f>
        <v>0</v>
      </c>
      <c r="BZ11" s="123">
        <f>'2'!BH150</f>
        <v>0</v>
      </c>
      <c r="CA11" s="123">
        <f>'2'!BH105</f>
        <v>0</v>
      </c>
      <c r="CB11" s="123">
        <f>'2'!BH58</f>
        <v>0</v>
      </c>
      <c r="CC11" s="123">
        <f>'2'!BH13</f>
        <v>42.666666666666664</v>
      </c>
      <c r="CD11" s="125">
        <f>'2'!EX58</f>
        <v>0</v>
      </c>
      <c r="CE11" s="125">
        <f>'2'!EX105</f>
        <v>0</v>
      </c>
      <c r="CF11" s="125">
        <f>'2'!EX150</f>
        <v>0</v>
      </c>
    </row>
    <row r="12" spans="1:84" x14ac:dyDescent="0.25">
      <c r="A12" s="122">
        <v>0.4</v>
      </c>
      <c r="B12" s="123">
        <f>'2'!AA198</f>
        <v>0</v>
      </c>
      <c r="C12" s="123">
        <f>'2'!AA151</f>
        <v>0</v>
      </c>
      <c r="D12" s="123">
        <f>'2'!AA106</f>
        <v>0</v>
      </c>
      <c r="E12" s="123">
        <f>'2'!AA59</f>
        <v>0</v>
      </c>
      <c r="F12" s="123">
        <f>'2'!AA14</f>
        <v>9.69E-2</v>
      </c>
      <c r="G12" s="123">
        <f>'2'!DQ59</f>
        <v>0</v>
      </c>
      <c r="H12" s="123">
        <f>'2'!DQ106</f>
        <v>0</v>
      </c>
      <c r="I12" s="123">
        <f>'2'!DQ151</f>
        <v>0</v>
      </c>
      <c r="J12" s="124"/>
      <c r="K12" s="122">
        <v>0.4</v>
      </c>
      <c r="L12" s="123">
        <f>'2'!AB198</f>
        <v>0</v>
      </c>
      <c r="M12" s="123">
        <f>'2'!AB151</f>
        <v>0</v>
      </c>
      <c r="N12" s="123">
        <f>'2'!AB106</f>
        <v>0</v>
      </c>
      <c r="O12" s="123">
        <f>'2'!AB59</f>
        <v>0</v>
      </c>
      <c r="P12" s="123">
        <f>'2'!AB14</f>
        <v>0</v>
      </c>
      <c r="Q12" s="123">
        <f>'2'!DR59</f>
        <v>0</v>
      </c>
      <c r="R12" s="123">
        <f>'2'!DR106</f>
        <v>0</v>
      </c>
      <c r="S12" s="123">
        <f>'2'!DR151</f>
        <v>0</v>
      </c>
      <c r="U12" s="122">
        <v>0.4</v>
      </c>
      <c r="V12" s="123">
        <f>'2'!AC198</f>
        <v>0</v>
      </c>
      <c r="W12" s="123">
        <f>'2'!AC151</f>
        <v>0</v>
      </c>
      <c r="X12" s="123">
        <f>'2'!AC106</f>
        <v>0</v>
      </c>
      <c r="Y12" s="123">
        <f>'2'!AC59</f>
        <v>0</v>
      </c>
      <c r="Z12" s="123">
        <f>'2'!AC14</f>
        <v>9.69E-2</v>
      </c>
      <c r="AA12" s="123">
        <f>'2'!DS59</f>
        <v>0</v>
      </c>
      <c r="AB12" s="123">
        <f>'2'!DS106</f>
        <v>0</v>
      </c>
      <c r="AC12" s="123">
        <f>'2'!DS151</f>
        <v>0</v>
      </c>
      <c r="AD12" s="124"/>
      <c r="AE12" s="124"/>
      <c r="AF12" s="122">
        <v>0.4</v>
      </c>
      <c r="AG12" s="123">
        <f>'2'!AK198</f>
        <v>0</v>
      </c>
      <c r="AH12" s="123">
        <f>'2'!AK151</f>
        <v>0</v>
      </c>
      <c r="AI12" s="123">
        <f>'2'!AK106</f>
        <v>0</v>
      </c>
      <c r="AJ12" s="123">
        <f>'2'!AK59</f>
        <v>0</v>
      </c>
      <c r="AK12" s="123">
        <f>'2'!AK14</f>
        <v>3.9</v>
      </c>
      <c r="AL12" s="125">
        <f>'2'!EA59</f>
        <v>0</v>
      </c>
      <c r="AM12" s="125">
        <f>'2'!EA106</f>
        <v>0</v>
      </c>
      <c r="AN12" s="125">
        <f>'2'!EA151</f>
        <v>0</v>
      </c>
      <c r="AO12" s="127"/>
      <c r="AP12" s="127"/>
      <c r="AQ12" s="122">
        <v>0.4</v>
      </c>
      <c r="AR12" s="123">
        <f>'2'!AM198</f>
        <v>0</v>
      </c>
      <c r="AS12" s="123">
        <f>'2'!AM151</f>
        <v>0</v>
      </c>
      <c r="AT12" s="123">
        <f>'2'!AM106</f>
        <v>0</v>
      </c>
      <c r="AU12" s="123">
        <f>'2'!AM59</f>
        <v>0</v>
      </c>
      <c r="AV12" s="123">
        <f>'2'!AM14</f>
        <v>0</v>
      </c>
      <c r="AW12" s="125">
        <f>'2'!EC59</f>
        <v>0</v>
      </c>
      <c r="AX12" s="125">
        <f>'2'!EC106</f>
        <v>0</v>
      </c>
      <c r="AY12" s="125">
        <f>'2'!EC151</f>
        <v>0</v>
      </c>
      <c r="AZ12" s="127"/>
      <c r="BA12" s="127"/>
      <c r="BB12" s="122">
        <v>0.4</v>
      </c>
      <c r="BC12" s="123">
        <f>'2'!BF198</f>
        <v>0</v>
      </c>
      <c r="BD12" s="123">
        <f>'2'!BF151</f>
        <v>0</v>
      </c>
      <c r="BE12" s="123">
        <f>'2'!BF106</f>
        <v>0</v>
      </c>
      <c r="BF12" s="123">
        <f>'2'!BF59</f>
        <v>0</v>
      </c>
      <c r="BG12" s="123">
        <f>'2'!BF14</f>
        <v>45.3</v>
      </c>
      <c r="BH12" s="125">
        <f>'2'!EV59</f>
        <v>0</v>
      </c>
      <c r="BI12" s="125">
        <f>'2'!EV106</f>
        <v>0</v>
      </c>
      <c r="BJ12" s="125">
        <f>'2'!EV151</f>
        <v>0</v>
      </c>
      <c r="BK12" s="128"/>
      <c r="BL12" s="128"/>
      <c r="BM12" s="122">
        <v>0.4</v>
      </c>
      <c r="BN12" s="123">
        <f>'2'!BG198</f>
        <v>0</v>
      </c>
      <c r="BO12" s="123">
        <f>'2'!BG151</f>
        <v>0</v>
      </c>
      <c r="BP12" s="123">
        <f>'2'!BG106</f>
        <v>0</v>
      </c>
      <c r="BQ12" s="123">
        <f>'2'!BG59</f>
        <v>0</v>
      </c>
      <c r="BR12" s="123">
        <f>'2'!BG14</f>
        <v>0</v>
      </c>
      <c r="BS12" s="125">
        <f>'2'!EW59</f>
        <v>0</v>
      </c>
      <c r="BT12" s="125">
        <f>'2'!EW106</f>
        <v>0</v>
      </c>
      <c r="BU12" s="125">
        <f>'2'!EW151</f>
        <v>0</v>
      </c>
      <c r="BV12" s="128"/>
      <c r="BW12" s="128"/>
      <c r="BX12" s="122">
        <v>0.4</v>
      </c>
      <c r="BY12" s="123">
        <f>'2'!BH198</f>
        <v>0</v>
      </c>
      <c r="BZ12" s="123">
        <f>'2'!BH151</f>
        <v>0</v>
      </c>
      <c r="CA12" s="123">
        <f>'2'!BH106</f>
        <v>0</v>
      </c>
      <c r="CB12" s="123">
        <f>'2'!BH59</f>
        <v>0</v>
      </c>
      <c r="CC12" s="123">
        <f>'2'!BH14</f>
        <v>45.3</v>
      </c>
      <c r="CD12" s="125">
        <f>'2'!EX59</f>
        <v>0</v>
      </c>
      <c r="CE12" s="125">
        <f>'2'!EX106</f>
        <v>0</v>
      </c>
      <c r="CF12" s="125">
        <f>'2'!EX151</f>
        <v>0</v>
      </c>
    </row>
    <row r="13" spans="1:84" x14ac:dyDescent="0.25">
      <c r="A13" s="122">
        <v>0.3</v>
      </c>
      <c r="B13" s="123">
        <f>'2'!AA199</f>
        <v>0</v>
      </c>
      <c r="C13" s="123">
        <f>'2'!AA152</f>
        <v>0</v>
      </c>
      <c r="D13" s="123">
        <f>'2'!AA107</f>
        <v>0</v>
      </c>
      <c r="E13" s="123">
        <f>'2'!AA60</f>
        <v>0</v>
      </c>
      <c r="F13" s="123">
        <f>'2'!AA15</f>
        <v>0.105</v>
      </c>
      <c r="G13" s="123">
        <f>'2'!DQ60</f>
        <v>0</v>
      </c>
      <c r="H13" s="123">
        <f>'2'!DQ107</f>
        <v>0</v>
      </c>
      <c r="I13" s="123">
        <f>'2'!DQ152</f>
        <v>0</v>
      </c>
      <c r="J13" s="124"/>
      <c r="K13" s="122">
        <v>0.3</v>
      </c>
      <c r="L13" s="123">
        <f>'2'!AB199</f>
        <v>0</v>
      </c>
      <c r="M13" s="123">
        <f>'2'!AB152</f>
        <v>0</v>
      </c>
      <c r="N13" s="123">
        <f>'2'!AB107</f>
        <v>0</v>
      </c>
      <c r="O13" s="123">
        <f>'2'!AB60</f>
        <v>0</v>
      </c>
      <c r="P13" s="123">
        <f>'2'!AB15</f>
        <v>0</v>
      </c>
      <c r="Q13" s="123">
        <f>'2'!DR60</f>
        <v>0</v>
      </c>
      <c r="R13" s="123">
        <f>'2'!DR107</f>
        <v>0</v>
      </c>
      <c r="S13" s="123">
        <f>'2'!DR152</f>
        <v>0</v>
      </c>
      <c r="U13" s="122">
        <v>0.3</v>
      </c>
      <c r="V13" s="123">
        <f>'2'!AC199</f>
        <v>0</v>
      </c>
      <c r="W13" s="123">
        <f>'2'!AC152</f>
        <v>0</v>
      </c>
      <c r="X13" s="123">
        <f>'2'!AC107</f>
        <v>0</v>
      </c>
      <c r="Y13" s="123">
        <f>'2'!AC60</f>
        <v>0</v>
      </c>
      <c r="Z13" s="123">
        <f>'2'!AC15</f>
        <v>0.105</v>
      </c>
      <c r="AA13" s="123">
        <f>'2'!DS60</f>
        <v>0</v>
      </c>
      <c r="AB13" s="123">
        <f>'2'!DS107</f>
        <v>0</v>
      </c>
      <c r="AC13" s="123">
        <f>'2'!DS152</f>
        <v>0</v>
      </c>
      <c r="AD13" s="124"/>
      <c r="AE13" s="124"/>
      <c r="AF13" s="122">
        <v>0.3</v>
      </c>
      <c r="AG13" s="123">
        <f>'2'!AK199</f>
        <v>0</v>
      </c>
      <c r="AH13" s="123">
        <f>'2'!AK152</f>
        <v>0</v>
      </c>
      <c r="AI13" s="123">
        <f>'2'!AK107</f>
        <v>0</v>
      </c>
      <c r="AJ13" s="123">
        <f>'2'!AK60</f>
        <v>0</v>
      </c>
      <c r="AK13" s="123">
        <f>'2'!AK15</f>
        <v>3.9</v>
      </c>
      <c r="AL13" s="125">
        <f>'2'!EA60</f>
        <v>0</v>
      </c>
      <c r="AM13" s="125">
        <f>'2'!EA107</f>
        <v>0</v>
      </c>
      <c r="AN13" s="125">
        <f>'2'!EA152</f>
        <v>0</v>
      </c>
      <c r="AO13" s="127"/>
      <c r="AP13" s="127"/>
      <c r="AQ13" s="122">
        <v>0.3</v>
      </c>
      <c r="AR13" s="123">
        <f>'2'!AM199</f>
        <v>0</v>
      </c>
      <c r="AS13" s="123">
        <f>'2'!AM152</f>
        <v>0</v>
      </c>
      <c r="AT13" s="123">
        <f>'2'!AM107</f>
        <v>0</v>
      </c>
      <c r="AU13" s="123">
        <f>'2'!AM60</f>
        <v>0</v>
      </c>
      <c r="AV13" s="123">
        <f>'2'!AM15</f>
        <v>0</v>
      </c>
      <c r="AW13" s="125">
        <f>'2'!EC60</f>
        <v>0</v>
      </c>
      <c r="AX13" s="125">
        <f>'2'!EC107</f>
        <v>0</v>
      </c>
      <c r="AY13" s="125">
        <f>'2'!EC152</f>
        <v>0</v>
      </c>
      <c r="AZ13" s="127"/>
      <c r="BA13" s="127"/>
      <c r="BB13" s="122">
        <v>0.3</v>
      </c>
      <c r="BC13" s="123">
        <f>'2'!BF199</f>
        <v>0</v>
      </c>
      <c r="BD13" s="123">
        <f>'2'!BF152</f>
        <v>0</v>
      </c>
      <c r="BE13" s="123">
        <f>'2'!BF107</f>
        <v>0</v>
      </c>
      <c r="BF13" s="123">
        <f>'2'!BF60</f>
        <v>0</v>
      </c>
      <c r="BG13" s="123">
        <f>'2'!BF15</f>
        <v>50</v>
      </c>
      <c r="BH13" s="125">
        <f>'2'!EV60</f>
        <v>0</v>
      </c>
      <c r="BI13" s="125">
        <f>'2'!EV107</f>
        <v>0</v>
      </c>
      <c r="BJ13" s="125">
        <f>'2'!EV152</f>
        <v>0</v>
      </c>
      <c r="BK13" s="128"/>
      <c r="BL13" s="128"/>
      <c r="BM13" s="122">
        <v>0.3</v>
      </c>
      <c r="BN13" s="123">
        <f>'2'!BG199</f>
        <v>0</v>
      </c>
      <c r="BO13" s="123">
        <f>'2'!BG152</f>
        <v>0</v>
      </c>
      <c r="BP13" s="123">
        <f>'2'!BG107</f>
        <v>0</v>
      </c>
      <c r="BQ13" s="123">
        <f>'2'!BG60</f>
        <v>0</v>
      </c>
      <c r="BR13" s="123">
        <f>'2'!BG15</f>
        <v>0</v>
      </c>
      <c r="BS13" s="125">
        <f>'2'!EW60</f>
        <v>0</v>
      </c>
      <c r="BT13" s="125">
        <f>'2'!EW107</f>
        <v>0</v>
      </c>
      <c r="BU13" s="125">
        <f>'2'!EW152</f>
        <v>0</v>
      </c>
      <c r="BV13" s="128"/>
      <c r="BW13" s="128"/>
      <c r="BX13" s="122">
        <v>0.3</v>
      </c>
      <c r="BY13" s="123">
        <f>'2'!BH199</f>
        <v>0</v>
      </c>
      <c r="BZ13" s="123">
        <f>'2'!BH152</f>
        <v>0</v>
      </c>
      <c r="CA13" s="123">
        <f>'2'!BH107</f>
        <v>0</v>
      </c>
      <c r="CB13" s="123">
        <f>'2'!BH60</f>
        <v>0</v>
      </c>
      <c r="CC13" s="123">
        <f>'2'!BH15</f>
        <v>50</v>
      </c>
      <c r="CD13" s="125">
        <f>'2'!EX60</f>
        <v>0</v>
      </c>
      <c r="CE13" s="125">
        <f>'2'!EX107</f>
        <v>0</v>
      </c>
      <c r="CF13" s="125">
        <f>'2'!EX152</f>
        <v>0</v>
      </c>
    </row>
    <row r="14" spans="1:84" x14ac:dyDescent="0.25">
      <c r="A14" s="122">
        <v>0.2</v>
      </c>
      <c r="B14" s="123">
        <f>'2'!AA200</f>
        <v>0</v>
      </c>
      <c r="C14" s="123">
        <f>'2'!AA153</f>
        <v>0</v>
      </c>
      <c r="D14" s="123">
        <f>'2'!AA108</f>
        <v>0</v>
      </c>
      <c r="E14" s="123">
        <f>'2'!AA61</f>
        <v>0</v>
      </c>
      <c r="F14" s="123">
        <f>'2'!AA16</f>
        <v>0.1032</v>
      </c>
      <c r="G14" s="123">
        <f>'2'!DQ61</f>
        <v>0</v>
      </c>
      <c r="H14" s="123">
        <f>'2'!DQ108</f>
        <v>0</v>
      </c>
      <c r="I14" s="123">
        <f>'2'!DQ153</f>
        <v>0</v>
      </c>
      <c r="J14" s="124"/>
      <c r="K14" s="122">
        <v>0.2</v>
      </c>
      <c r="L14" s="123">
        <f>'2'!AB200</f>
        <v>0</v>
      </c>
      <c r="M14" s="123">
        <f>'2'!AB153</f>
        <v>0</v>
      </c>
      <c r="N14" s="123">
        <f>'2'!AB108</f>
        <v>0</v>
      </c>
      <c r="O14" s="123">
        <f>'2'!AB61</f>
        <v>0</v>
      </c>
      <c r="P14" s="123">
        <f>'2'!AB16</f>
        <v>0</v>
      </c>
      <c r="Q14" s="123">
        <f>'2'!DR61</f>
        <v>0</v>
      </c>
      <c r="R14" s="123">
        <f>'2'!DR108</f>
        <v>0</v>
      </c>
      <c r="S14" s="123">
        <f>'2'!DR153</f>
        <v>0</v>
      </c>
      <c r="U14" s="122">
        <v>0.2</v>
      </c>
      <c r="V14" s="123">
        <f>'2'!AC200</f>
        <v>0</v>
      </c>
      <c r="W14" s="123">
        <f>'2'!AC153</f>
        <v>0</v>
      </c>
      <c r="X14" s="123">
        <f>'2'!AC108</f>
        <v>0</v>
      </c>
      <c r="Y14" s="123">
        <f>'2'!AC61</f>
        <v>0</v>
      </c>
      <c r="Z14" s="123">
        <f>'2'!AC16</f>
        <v>0.1032</v>
      </c>
      <c r="AA14" s="123">
        <f>'2'!DS61</f>
        <v>0</v>
      </c>
      <c r="AB14" s="123">
        <f>'2'!DS108</f>
        <v>0</v>
      </c>
      <c r="AC14" s="123">
        <f>'2'!DS153</f>
        <v>0</v>
      </c>
      <c r="AD14" s="124"/>
      <c r="AE14" s="124"/>
      <c r="AF14" s="122">
        <v>0.2</v>
      </c>
      <c r="AG14" s="123">
        <f>'2'!AK200</f>
        <v>0</v>
      </c>
      <c r="AH14" s="123">
        <f>'2'!AK153</f>
        <v>0</v>
      </c>
      <c r="AI14" s="123">
        <f>'2'!AK108</f>
        <v>0</v>
      </c>
      <c r="AJ14" s="123">
        <f>'2'!AK61</f>
        <v>0</v>
      </c>
      <c r="AK14" s="123">
        <f>'2'!AK16</f>
        <v>3.89</v>
      </c>
      <c r="AL14" s="125">
        <f>'2'!EA61</f>
        <v>0</v>
      </c>
      <c r="AM14" s="125">
        <f>'2'!EA108</f>
        <v>0</v>
      </c>
      <c r="AN14" s="125">
        <f>'2'!EA153</f>
        <v>0</v>
      </c>
      <c r="AO14" s="127"/>
      <c r="AP14" s="127"/>
      <c r="AQ14" s="122">
        <v>0.2</v>
      </c>
      <c r="AR14" s="123">
        <f>'2'!AM200</f>
        <v>0</v>
      </c>
      <c r="AS14" s="123">
        <f>'2'!AM153</f>
        <v>0</v>
      </c>
      <c r="AT14" s="123">
        <f>'2'!AM108</f>
        <v>0</v>
      </c>
      <c r="AU14" s="123">
        <f>'2'!AM61</f>
        <v>0</v>
      </c>
      <c r="AV14" s="123">
        <f>'2'!AM16</f>
        <v>0</v>
      </c>
      <c r="AW14" s="125">
        <f>'2'!EC61</f>
        <v>0</v>
      </c>
      <c r="AX14" s="125">
        <f>'2'!EC108</f>
        <v>0</v>
      </c>
      <c r="AY14" s="125">
        <f>'2'!EC153</f>
        <v>0</v>
      </c>
      <c r="AZ14" s="127"/>
      <c r="BA14" s="127"/>
      <c r="BB14" s="122">
        <v>0.2</v>
      </c>
      <c r="BC14" s="123">
        <f>'2'!BF200</f>
        <v>0</v>
      </c>
      <c r="BD14" s="123">
        <f>'2'!BF153</f>
        <v>0</v>
      </c>
      <c r="BE14" s="123">
        <f>'2'!BF108</f>
        <v>0</v>
      </c>
      <c r="BF14" s="123">
        <f>'2'!BF61</f>
        <v>0</v>
      </c>
      <c r="BG14" s="123">
        <f>'2'!BF16</f>
        <v>49.43333333333333</v>
      </c>
      <c r="BH14" s="125">
        <f>'2'!EV61</f>
        <v>0</v>
      </c>
      <c r="BI14" s="125">
        <f>'2'!EV108</f>
        <v>0</v>
      </c>
      <c r="BJ14" s="125">
        <f>'2'!EV153</f>
        <v>0</v>
      </c>
      <c r="BK14" s="128"/>
      <c r="BL14" s="128"/>
      <c r="BM14" s="122">
        <v>0.2</v>
      </c>
      <c r="BN14" s="123">
        <f>'2'!BG200</f>
        <v>0</v>
      </c>
      <c r="BO14" s="123">
        <f>'2'!BG153</f>
        <v>0</v>
      </c>
      <c r="BP14" s="123">
        <f>'2'!BG108</f>
        <v>0</v>
      </c>
      <c r="BQ14" s="123">
        <f>'2'!BG61</f>
        <v>0</v>
      </c>
      <c r="BR14" s="123">
        <f>'2'!BG16</f>
        <v>0</v>
      </c>
      <c r="BS14" s="125">
        <f>'2'!EW61</f>
        <v>0</v>
      </c>
      <c r="BT14" s="125">
        <f>'2'!EW108</f>
        <v>0</v>
      </c>
      <c r="BU14" s="125">
        <f>'2'!EW153</f>
        <v>0</v>
      </c>
      <c r="BV14" s="128"/>
      <c r="BW14" s="128"/>
      <c r="BX14" s="122">
        <v>0.2</v>
      </c>
      <c r="BY14" s="123">
        <f>'2'!BH200</f>
        <v>0</v>
      </c>
      <c r="BZ14" s="123">
        <f>'2'!BH153</f>
        <v>0</v>
      </c>
      <c r="CA14" s="123">
        <f>'2'!BH108</f>
        <v>0</v>
      </c>
      <c r="CB14" s="123">
        <f>'2'!BH61</f>
        <v>0</v>
      </c>
      <c r="CC14" s="123">
        <f>'2'!BH16</f>
        <v>49.43333333333333</v>
      </c>
      <c r="CD14" s="125">
        <f>'2'!EX61</f>
        <v>0</v>
      </c>
      <c r="CE14" s="125">
        <f>'2'!EX108</f>
        <v>0</v>
      </c>
      <c r="CF14" s="125">
        <f>'2'!EX153</f>
        <v>0</v>
      </c>
    </row>
    <row r="15" spans="1:84" x14ac:dyDescent="0.25">
      <c r="A15" s="122">
        <v>0.1</v>
      </c>
      <c r="B15" s="123">
        <f>'2'!AA201</f>
        <v>0</v>
      </c>
      <c r="C15" s="123">
        <f>'2'!AA154</f>
        <v>0</v>
      </c>
      <c r="D15" s="123">
        <f>'2'!AA109</f>
        <v>0</v>
      </c>
      <c r="E15" s="123">
        <f>'2'!AA62</f>
        <v>0</v>
      </c>
      <c r="F15" s="123">
        <f>'2'!AA17</f>
        <v>0.1106</v>
      </c>
      <c r="G15" s="123">
        <f>'2'!DQ62</f>
        <v>0</v>
      </c>
      <c r="H15" s="123">
        <f>'2'!DQ109</f>
        <v>0</v>
      </c>
      <c r="I15" s="123">
        <f>'2'!DQ154</f>
        <v>0</v>
      </c>
      <c r="J15" s="124"/>
      <c r="K15" s="122">
        <v>0.1</v>
      </c>
      <c r="L15" s="123">
        <f>'2'!AB201</f>
        <v>0</v>
      </c>
      <c r="M15" s="123">
        <f>'2'!AB154</f>
        <v>0</v>
      </c>
      <c r="N15" s="123">
        <f>'2'!AB109</f>
        <v>0</v>
      </c>
      <c r="O15" s="123">
        <f>'2'!AB62</f>
        <v>0</v>
      </c>
      <c r="P15" s="123">
        <f>'2'!AB17</f>
        <v>0</v>
      </c>
      <c r="Q15" s="123">
        <f>'2'!DR62</f>
        <v>0</v>
      </c>
      <c r="R15" s="123">
        <f>'2'!DR109</f>
        <v>0</v>
      </c>
      <c r="S15" s="123">
        <f>'2'!DR154</f>
        <v>0</v>
      </c>
      <c r="U15" s="122">
        <v>0.1</v>
      </c>
      <c r="V15" s="123">
        <f>'2'!AC201</f>
        <v>0</v>
      </c>
      <c r="W15" s="123">
        <f>'2'!AC154</f>
        <v>0</v>
      </c>
      <c r="X15" s="123">
        <f>'2'!AC109</f>
        <v>0</v>
      </c>
      <c r="Y15" s="123">
        <f>'2'!AC62</f>
        <v>0</v>
      </c>
      <c r="Z15" s="123">
        <f>'2'!AC17</f>
        <v>0.1106</v>
      </c>
      <c r="AA15" s="123">
        <f>'2'!DS62</f>
        <v>0</v>
      </c>
      <c r="AB15" s="123">
        <f>'2'!DS109</f>
        <v>0</v>
      </c>
      <c r="AC15" s="123">
        <f>'2'!DS154</f>
        <v>0</v>
      </c>
      <c r="AD15" s="124"/>
      <c r="AE15" s="124"/>
      <c r="AF15" s="122">
        <v>0.1</v>
      </c>
      <c r="AG15" s="123">
        <f>'2'!AK201</f>
        <v>0</v>
      </c>
      <c r="AH15" s="123">
        <f>'2'!AK154</f>
        <v>0</v>
      </c>
      <c r="AI15" s="123">
        <f>'2'!AK109</f>
        <v>0</v>
      </c>
      <c r="AJ15" s="123">
        <f>'2'!AK62</f>
        <v>0</v>
      </c>
      <c r="AK15" s="123">
        <f>'2'!AK17</f>
        <v>3.84</v>
      </c>
      <c r="AL15" s="125">
        <f>'2'!EA62</f>
        <v>0</v>
      </c>
      <c r="AM15" s="125">
        <f>'2'!EA109</f>
        <v>0</v>
      </c>
      <c r="AN15" s="125">
        <f>'2'!EA154</f>
        <v>0</v>
      </c>
      <c r="AO15" s="127"/>
      <c r="AP15" s="127"/>
      <c r="AQ15" s="122">
        <v>0.1</v>
      </c>
      <c r="AR15" s="123">
        <f>'2'!AM201</f>
        <v>0</v>
      </c>
      <c r="AS15" s="123">
        <f>'2'!AM154</f>
        <v>0</v>
      </c>
      <c r="AT15" s="123">
        <f>'2'!AM109</f>
        <v>0</v>
      </c>
      <c r="AU15" s="123">
        <f>'2'!AM62</f>
        <v>0</v>
      </c>
      <c r="AV15" s="123">
        <f>'2'!AM17</f>
        <v>0</v>
      </c>
      <c r="AW15" s="125">
        <f>'2'!EC62</f>
        <v>0</v>
      </c>
      <c r="AX15" s="125">
        <f>'2'!EC109</f>
        <v>0</v>
      </c>
      <c r="AY15" s="125">
        <f>'2'!EC154</f>
        <v>0</v>
      </c>
      <c r="AZ15" s="127"/>
      <c r="BA15" s="127"/>
      <c r="BB15" s="122">
        <v>0.1</v>
      </c>
      <c r="BC15" s="123">
        <f>'2'!BF201</f>
        <v>0</v>
      </c>
      <c r="BD15" s="123">
        <f>'2'!BF154</f>
        <v>0</v>
      </c>
      <c r="BE15" s="123">
        <f>'2'!BF109</f>
        <v>0</v>
      </c>
      <c r="BF15" s="123">
        <f>'2'!BF62</f>
        <v>0</v>
      </c>
      <c r="BG15" s="123">
        <f>'2'!BF17</f>
        <v>52.9</v>
      </c>
      <c r="BH15" s="125">
        <f>'2'!EV62</f>
        <v>0</v>
      </c>
      <c r="BI15" s="125">
        <f>'2'!EV109</f>
        <v>0</v>
      </c>
      <c r="BJ15" s="125">
        <f>'2'!EV154</f>
        <v>0</v>
      </c>
      <c r="BK15" s="128"/>
      <c r="BL15" s="128"/>
      <c r="BM15" s="122">
        <v>0.1</v>
      </c>
      <c r="BN15" s="123">
        <f>'2'!BG201</f>
        <v>0</v>
      </c>
      <c r="BO15" s="123">
        <f>'2'!BG154</f>
        <v>0</v>
      </c>
      <c r="BP15" s="123">
        <f>'2'!BG109</f>
        <v>0</v>
      </c>
      <c r="BQ15" s="123">
        <f>'2'!BG62</f>
        <v>0</v>
      </c>
      <c r="BR15" s="123">
        <f>'2'!BG17</f>
        <v>0</v>
      </c>
      <c r="BS15" s="125">
        <f>'2'!EW62</f>
        <v>0</v>
      </c>
      <c r="BT15" s="125">
        <f>'2'!EW109</f>
        <v>0</v>
      </c>
      <c r="BU15" s="125">
        <f>'2'!EW154</f>
        <v>0</v>
      </c>
      <c r="BV15" s="128"/>
      <c r="BW15" s="128"/>
      <c r="BX15" s="122">
        <v>0.1</v>
      </c>
      <c r="BY15" s="123">
        <f>'2'!BH201</f>
        <v>0</v>
      </c>
      <c r="BZ15" s="123">
        <f>'2'!BH154</f>
        <v>0</v>
      </c>
      <c r="CA15" s="123">
        <f>'2'!BH109</f>
        <v>0</v>
      </c>
      <c r="CB15" s="123">
        <f>'2'!BH62</f>
        <v>0</v>
      </c>
      <c r="CC15" s="123">
        <f>'2'!BH17</f>
        <v>52.9</v>
      </c>
      <c r="CD15" s="125">
        <f>'2'!EX62</f>
        <v>0</v>
      </c>
      <c r="CE15" s="125">
        <f>'2'!EX109</f>
        <v>0</v>
      </c>
      <c r="CF15" s="125">
        <f>'2'!EX154</f>
        <v>0</v>
      </c>
    </row>
    <row r="16" spans="1:84" x14ac:dyDescent="0.25">
      <c r="A16" s="122">
        <v>0</v>
      </c>
      <c r="B16" s="123">
        <f>'2'!AA202</f>
        <v>0</v>
      </c>
      <c r="C16" s="123">
        <f>'2'!AA155</f>
        <v>0</v>
      </c>
      <c r="D16" s="123">
        <f>'2'!AA110</f>
        <v>0</v>
      </c>
      <c r="E16" s="123">
        <f>'2'!AA63</f>
        <v>0</v>
      </c>
      <c r="F16" s="123">
        <f>'2'!AA18</f>
        <v>0.1143</v>
      </c>
      <c r="G16" s="123">
        <f>'2'!DQ63</f>
        <v>0</v>
      </c>
      <c r="H16" s="123">
        <f>'2'!DQ110</f>
        <v>0</v>
      </c>
      <c r="I16" s="123">
        <f>'2'!DQ155</f>
        <v>0</v>
      </c>
      <c r="J16" s="124"/>
      <c r="K16" s="122">
        <v>0</v>
      </c>
      <c r="L16" s="123">
        <f>'2'!AB202</f>
        <v>0</v>
      </c>
      <c r="M16" s="123">
        <f>'2'!AB155</f>
        <v>0</v>
      </c>
      <c r="N16" s="123">
        <f>'2'!AB110</f>
        <v>0</v>
      </c>
      <c r="O16" s="123">
        <f>'2'!AB63</f>
        <v>0</v>
      </c>
      <c r="P16" s="123">
        <f>'2'!AB18</f>
        <v>0</v>
      </c>
      <c r="Q16" s="123">
        <f>'2'!DR63</f>
        <v>0</v>
      </c>
      <c r="R16" s="123">
        <f>'2'!DR110</f>
        <v>0</v>
      </c>
      <c r="S16" s="123">
        <f>'2'!DR155</f>
        <v>0</v>
      </c>
      <c r="U16" s="122">
        <v>0</v>
      </c>
      <c r="V16" s="123">
        <f>'2'!AC202</f>
        <v>0</v>
      </c>
      <c r="W16" s="123">
        <f>'2'!AC155</f>
        <v>0</v>
      </c>
      <c r="X16" s="123">
        <f>'2'!AC110</f>
        <v>0</v>
      </c>
      <c r="Y16" s="123">
        <f>'2'!AC63</f>
        <v>0</v>
      </c>
      <c r="Z16" s="123">
        <f>'2'!AC18</f>
        <v>0.1143</v>
      </c>
      <c r="AA16" s="123">
        <f>'2'!DS63</f>
        <v>0</v>
      </c>
      <c r="AB16" s="123">
        <f>'2'!DS110</f>
        <v>0</v>
      </c>
      <c r="AC16" s="123">
        <f>'2'!DS155</f>
        <v>0</v>
      </c>
      <c r="AD16" s="124"/>
      <c r="AE16" s="124"/>
      <c r="AF16" s="122">
        <v>0</v>
      </c>
      <c r="AG16" s="123">
        <f>'2'!AK202</f>
        <v>0</v>
      </c>
      <c r="AH16" s="123">
        <f>'2'!AK155</f>
        <v>0</v>
      </c>
      <c r="AI16" s="123">
        <f>'2'!AK110</f>
        <v>0</v>
      </c>
      <c r="AJ16" s="123">
        <f>'2'!AK63</f>
        <v>0</v>
      </c>
      <c r="AK16" s="123">
        <f>'2'!AK18</f>
        <v>3.86</v>
      </c>
      <c r="AL16" s="125">
        <f>'2'!EA63</f>
        <v>0</v>
      </c>
      <c r="AM16" s="125">
        <f>'2'!EA110</f>
        <v>0</v>
      </c>
      <c r="AN16" s="125">
        <f>'2'!EA155</f>
        <v>0</v>
      </c>
      <c r="AO16" s="127"/>
      <c r="AP16" s="127"/>
      <c r="AQ16" s="122">
        <v>0</v>
      </c>
      <c r="AR16" s="123">
        <f>'2'!AM202</f>
        <v>0</v>
      </c>
      <c r="AS16" s="123">
        <f>'2'!AM155</f>
        <v>0</v>
      </c>
      <c r="AT16" s="123">
        <f>'2'!AM110</f>
        <v>0</v>
      </c>
      <c r="AU16" s="123">
        <f>'2'!AM63</f>
        <v>0</v>
      </c>
      <c r="AV16" s="123">
        <f>'2'!AM18</f>
        <v>0</v>
      </c>
      <c r="AW16" s="125">
        <f>'2'!EC63</f>
        <v>0</v>
      </c>
      <c r="AX16" s="125">
        <f>'2'!EC110</f>
        <v>0</v>
      </c>
      <c r="AY16" s="125">
        <f>'2'!EC155</f>
        <v>0</v>
      </c>
      <c r="AZ16" s="127"/>
      <c r="BA16" s="127"/>
      <c r="BB16" s="122">
        <v>0</v>
      </c>
      <c r="BC16" s="123">
        <f>'2'!BF202</f>
        <v>0</v>
      </c>
      <c r="BD16" s="123">
        <f>'2'!BF155</f>
        <v>0</v>
      </c>
      <c r="BE16" s="123">
        <f>'2'!BF110</f>
        <v>0</v>
      </c>
      <c r="BF16" s="123">
        <f>'2'!BF63</f>
        <v>0</v>
      </c>
      <c r="BG16" s="123">
        <f>'2'!BF18</f>
        <v>53.966666666666669</v>
      </c>
      <c r="BH16" s="125">
        <f>'2'!EV63</f>
        <v>0</v>
      </c>
      <c r="BI16" s="125">
        <f>'2'!EV110</f>
        <v>0</v>
      </c>
      <c r="BJ16" s="125">
        <f>'2'!EV155</f>
        <v>0</v>
      </c>
      <c r="BK16" s="128"/>
      <c r="BL16" s="128"/>
      <c r="BM16" s="122">
        <v>0</v>
      </c>
      <c r="BN16" s="123">
        <f>'2'!BG202</f>
        <v>0</v>
      </c>
      <c r="BO16" s="123">
        <f>'2'!BG155</f>
        <v>0</v>
      </c>
      <c r="BP16" s="123">
        <f>'2'!BG110</f>
        <v>0</v>
      </c>
      <c r="BQ16" s="123">
        <f>'2'!BG63</f>
        <v>0</v>
      </c>
      <c r="BR16" s="123">
        <f>'2'!BG18</f>
        <v>0</v>
      </c>
      <c r="BS16" s="125">
        <f>'2'!EW63</f>
        <v>0</v>
      </c>
      <c r="BT16" s="125">
        <f>'2'!EW110</f>
        <v>0</v>
      </c>
      <c r="BU16" s="125">
        <f>'2'!EW155</f>
        <v>0</v>
      </c>
      <c r="BV16" s="128"/>
      <c r="BW16" s="128"/>
      <c r="BX16" s="122">
        <v>0</v>
      </c>
      <c r="BY16" s="123">
        <f>'2'!BH202</f>
        <v>0</v>
      </c>
      <c r="BZ16" s="123">
        <f>'2'!BH155</f>
        <v>0</v>
      </c>
      <c r="CA16" s="123">
        <f>'2'!BH110</f>
        <v>0</v>
      </c>
      <c r="CB16" s="123">
        <f>'2'!BH63</f>
        <v>0</v>
      </c>
      <c r="CC16" s="123">
        <f>'2'!BH18</f>
        <v>53.966666666666669</v>
      </c>
      <c r="CD16" s="125">
        <f>'2'!EX63</f>
        <v>0</v>
      </c>
      <c r="CE16" s="125">
        <f>'2'!EX110</f>
        <v>0</v>
      </c>
      <c r="CF16" s="125">
        <f>'2'!EX155</f>
        <v>0</v>
      </c>
    </row>
    <row r="17" spans="1:84" x14ac:dyDescent="0.25">
      <c r="A17" s="122">
        <v>-0.1</v>
      </c>
      <c r="B17" s="123">
        <f>'2'!AA203</f>
        <v>0</v>
      </c>
      <c r="C17" s="123">
        <f>'2'!AA156</f>
        <v>0</v>
      </c>
      <c r="D17" s="123">
        <f>'2'!AA111</f>
        <v>0</v>
      </c>
      <c r="E17" s="123">
        <f>'2'!AA64</f>
        <v>0</v>
      </c>
      <c r="F17" s="123">
        <f>'2'!AA19</f>
        <v>0</v>
      </c>
      <c r="G17" s="123">
        <f>'2'!DQ64</f>
        <v>0</v>
      </c>
      <c r="H17" s="123">
        <f>'2'!DQ111</f>
        <v>0</v>
      </c>
      <c r="I17" s="123">
        <f>'2'!DQ156</f>
        <v>0</v>
      </c>
      <c r="J17" s="124"/>
      <c r="K17" s="122">
        <v>-0.1</v>
      </c>
      <c r="L17" s="123">
        <f>'2'!AB203</f>
        <v>0</v>
      </c>
      <c r="M17" s="123">
        <f>'2'!AB156</f>
        <v>0</v>
      </c>
      <c r="N17" s="123">
        <f>'2'!AB111</f>
        <v>0</v>
      </c>
      <c r="O17" s="123">
        <f>'2'!AB64</f>
        <v>0</v>
      </c>
      <c r="P17" s="123">
        <f>'2'!AB19</f>
        <v>0</v>
      </c>
      <c r="Q17" s="123">
        <f>'2'!DR64</f>
        <v>0</v>
      </c>
      <c r="R17" s="123">
        <f>'2'!DR111</f>
        <v>0</v>
      </c>
      <c r="S17" s="123">
        <f>'2'!DR156</f>
        <v>0</v>
      </c>
      <c r="U17" s="122">
        <v>-0.1</v>
      </c>
      <c r="V17" s="123">
        <f>'2'!AC203</f>
        <v>0</v>
      </c>
      <c r="W17" s="123">
        <f>'2'!AC156</f>
        <v>0</v>
      </c>
      <c r="X17" s="123">
        <f>'2'!AC111</f>
        <v>0</v>
      </c>
      <c r="Y17" s="123">
        <f>'2'!AC64</f>
        <v>0</v>
      </c>
      <c r="Z17" s="123">
        <f>'2'!AC19</f>
        <v>0</v>
      </c>
      <c r="AA17" s="123">
        <f>'2'!DS64</f>
        <v>0</v>
      </c>
      <c r="AB17" s="123">
        <f>'2'!DS111</f>
        <v>0</v>
      </c>
      <c r="AC17" s="123">
        <f>'2'!DS156</f>
        <v>0</v>
      </c>
      <c r="AD17" s="124"/>
      <c r="AE17" s="124"/>
      <c r="AF17" s="122">
        <v>-0.1</v>
      </c>
      <c r="AG17" s="123">
        <f>'2'!AK203</f>
        <v>0</v>
      </c>
      <c r="AH17" s="123">
        <f>'2'!AK156</f>
        <v>0</v>
      </c>
      <c r="AI17" s="123">
        <f>'2'!AK111</f>
        <v>0</v>
      </c>
      <c r="AJ17" s="123">
        <f>'2'!AK64</f>
        <v>0</v>
      </c>
      <c r="AK17" s="123">
        <f>'2'!AK19</f>
        <v>0</v>
      </c>
      <c r="AL17" s="125">
        <f>'2'!EA64</f>
        <v>0</v>
      </c>
      <c r="AM17" s="125">
        <f>'2'!EA111</f>
        <v>0</v>
      </c>
      <c r="AN17" s="125">
        <f>'2'!EA156</f>
        <v>0</v>
      </c>
      <c r="AO17" s="127"/>
      <c r="AP17" s="127"/>
      <c r="AQ17" s="122">
        <v>-0.1</v>
      </c>
      <c r="AR17" s="123">
        <f>'2'!AM203</f>
        <v>0</v>
      </c>
      <c r="AS17" s="123">
        <f>'2'!AM156</f>
        <v>0</v>
      </c>
      <c r="AT17" s="123">
        <f>'2'!AM111</f>
        <v>0</v>
      </c>
      <c r="AU17" s="123">
        <f>'2'!AM64</f>
        <v>0</v>
      </c>
      <c r="AV17" s="123">
        <f>'2'!AM19</f>
        <v>0</v>
      </c>
      <c r="AW17" s="125">
        <f>'2'!EC64</f>
        <v>0</v>
      </c>
      <c r="AX17" s="125">
        <f>'2'!EC111</f>
        <v>0</v>
      </c>
      <c r="AY17" s="125">
        <f>'2'!EC156</f>
        <v>0</v>
      </c>
      <c r="AZ17" s="127"/>
      <c r="BA17" s="127"/>
      <c r="BB17" s="122">
        <v>-0.1</v>
      </c>
      <c r="BC17" s="123">
        <f>'2'!BF203</f>
        <v>0</v>
      </c>
      <c r="BD17" s="123">
        <f>'2'!BF156</f>
        <v>0</v>
      </c>
      <c r="BE17" s="123">
        <f>'2'!BF111</f>
        <v>0</v>
      </c>
      <c r="BF17" s="123">
        <f>'2'!BF64</f>
        <v>0</v>
      </c>
      <c r="BG17" s="123">
        <f>'2'!BF19</f>
        <v>0</v>
      </c>
      <c r="BH17" s="125">
        <f>'2'!EV64</f>
        <v>0</v>
      </c>
      <c r="BI17" s="125">
        <f>'2'!EV111</f>
        <v>0</v>
      </c>
      <c r="BJ17" s="125">
        <f>'2'!EV156</f>
        <v>0</v>
      </c>
      <c r="BK17" s="128"/>
      <c r="BL17" s="128"/>
      <c r="BM17" s="122">
        <v>-0.1</v>
      </c>
      <c r="BN17" s="123">
        <f>'2'!BG203</f>
        <v>0</v>
      </c>
      <c r="BO17" s="123">
        <f>'2'!BG156</f>
        <v>0</v>
      </c>
      <c r="BP17" s="123">
        <f>'2'!BG111</f>
        <v>0</v>
      </c>
      <c r="BQ17" s="123">
        <f>'2'!BG64</f>
        <v>0</v>
      </c>
      <c r="BR17" s="123">
        <f>'2'!BG19</f>
        <v>0</v>
      </c>
      <c r="BS17" s="125">
        <f>'2'!EW64</f>
        <v>0</v>
      </c>
      <c r="BT17" s="125">
        <f>'2'!EW111</f>
        <v>0</v>
      </c>
      <c r="BU17" s="125">
        <f>'2'!EW156</f>
        <v>0</v>
      </c>
      <c r="BV17" s="128"/>
      <c r="BW17" s="128"/>
      <c r="BX17" s="122">
        <v>-0.1</v>
      </c>
      <c r="BY17" s="123">
        <f>'2'!BH203</f>
        <v>0</v>
      </c>
      <c r="BZ17" s="123">
        <f>'2'!BH156</f>
        <v>0</v>
      </c>
      <c r="CA17" s="123">
        <f>'2'!BH111</f>
        <v>0</v>
      </c>
      <c r="CB17" s="123">
        <f>'2'!BH64</f>
        <v>0</v>
      </c>
      <c r="CC17" s="123">
        <f>'2'!BH19</f>
        <v>0</v>
      </c>
      <c r="CD17" s="125">
        <f>'2'!EX64</f>
        <v>0</v>
      </c>
      <c r="CE17" s="125">
        <f>'2'!EX111</f>
        <v>0</v>
      </c>
      <c r="CF17" s="125">
        <f>'2'!EX156</f>
        <v>0</v>
      </c>
    </row>
    <row r="18" spans="1:84" x14ac:dyDescent="0.25">
      <c r="A18" s="122">
        <v>-0.2</v>
      </c>
      <c r="B18" s="123">
        <f>'2'!AA204</f>
        <v>0</v>
      </c>
      <c r="C18" s="123">
        <f>'2'!AA157</f>
        <v>0</v>
      </c>
      <c r="D18" s="123">
        <f>'2'!AA112</f>
        <v>0</v>
      </c>
      <c r="E18" s="123">
        <f>'2'!AA65</f>
        <v>0</v>
      </c>
      <c r="F18" s="123">
        <f>'2'!AA20</f>
        <v>0</v>
      </c>
      <c r="G18" s="123">
        <f>'2'!DQ65</f>
        <v>0</v>
      </c>
      <c r="H18" s="123">
        <f>'2'!DQ112</f>
        <v>0</v>
      </c>
      <c r="I18" s="123">
        <f>'2'!DQ157</f>
        <v>0</v>
      </c>
      <c r="J18" s="124"/>
      <c r="K18" s="122">
        <v>-0.2</v>
      </c>
      <c r="L18" s="123">
        <f>'2'!AB204</f>
        <v>0</v>
      </c>
      <c r="M18" s="123">
        <f>'2'!AB157</f>
        <v>0</v>
      </c>
      <c r="N18" s="123">
        <f>'2'!AB112</f>
        <v>0</v>
      </c>
      <c r="O18" s="123">
        <f>'2'!AB65</f>
        <v>0</v>
      </c>
      <c r="P18" s="123">
        <f>'2'!AB20</f>
        <v>0</v>
      </c>
      <c r="Q18" s="123">
        <f>'2'!DR65</f>
        <v>0</v>
      </c>
      <c r="R18" s="123">
        <f>'2'!DR112</f>
        <v>0</v>
      </c>
      <c r="S18" s="123">
        <f>'2'!DR157</f>
        <v>0</v>
      </c>
      <c r="U18" s="122">
        <v>-0.2</v>
      </c>
      <c r="V18" s="123">
        <f>'2'!AC204</f>
        <v>0</v>
      </c>
      <c r="W18" s="123">
        <f>'2'!AC157</f>
        <v>0</v>
      </c>
      <c r="X18" s="123">
        <f>'2'!AC112</f>
        <v>0</v>
      </c>
      <c r="Y18" s="123">
        <f>'2'!AC65</f>
        <v>0</v>
      </c>
      <c r="Z18" s="123">
        <f>'2'!AC20</f>
        <v>0</v>
      </c>
      <c r="AA18" s="123">
        <f>'2'!DS65</f>
        <v>0</v>
      </c>
      <c r="AB18" s="123">
        <f>'2'!DS112</f>
        <v>0</v>
      </c>
      <c r="AC18" s="123">
        <f>'2'!DS157</f>
        <v>0</v>
      </c>
      <c r="AD18" s="124"/>
      <c r="AE18" s="124"/>
      <c r="AF18" s="122">
        <v>-0.2</v>
      </c>
      <c r="AG18" s="123">
        <f>'2'!AK204</f>
        <v>0</v>
      </c>
      <c r="AH18" s="123">
        <f>'2'!AK157</f>
        <v>0</v>
      </c>
      <c r="AI18" s="123">
        <f>'2'!AK112</f>
        <v>0</v>
      </c>
      <c r="AJ18" s="123">
        <f>'2'!AK65</f>
        <v>0</v>
      </c>
      <c r="AK18" s="123">
        <f>'2'!AK20</f>
        <v>0</v>
      </c>
      <c r="AL18" s="125">
        <f>'2'!EA65</f>
        <v>0</v>
      </c>
      <c r="AM18" s="125">
        <f>'2'!EA112</f>
        <v>0</v>
      </c>
      <c r="AN18" s="125">
        <f>'2'!EA157</f>
        <v>0</v>
      </c>
      <c r="AO18" s="127"/>
      <c r="AP18" s="127"/>
      <c r="AQ18" s="122">
        <v>-0.2</v>
      </c>
      <c r="AR18" s="123">
        <f>'2'!AM204</f>
        <v>0</v>
      </c>
      <c r="AS18" s="123">
        <f>'2'!AM157</f>
        <v>0</v>
      </c>
      <c r="AT18" s="123">
        <f>'2'!AM112</f>
        <v>0</v>
      </c>
      <c r="AU18" s="123">
        <f>'2'!AM65</f>
        <v>0</v>
      </c>
      <c r="AV18" s="123">
        <f>'2'!AM20</f>
        <v>0</v>
      </c>
      <c r="AW18" s="125">
        <f>'2'!EC65</f>
        <v>0</v>
      </c>
      <c r="AX18" s="125">
        <f>'2'!EC112</f>
        <v>0</v>
      </c>
      <c r="AY18" s="125">
        <f>'2'!EC157</f>
        <v>0</v>
      </c>
      <c r="AZ18" s="127"/>
      <c r="BA18" s="127"/>
      <c r="BB18" s="122">
        <v>-0.2</v>
      </c>
      <c r="BC18" s="123">
        <f>'2'!BF204</f>
        <v>0</v>
      </c>
      <c r="BD18" s="123">
        <f>'2'!BF157</f>
        <v>0</v>
      </c>
      <c r="BE18" s="123">
        <f>'2'!BF112</f>
        <v>0</v>
      </c>
      <c r="BF18" s="123">
        <f>'2'!BF65</f>
        <v>0</v>
      </c>
      <c r="BG18" s="123">
        <f>'2'!BF20</f>
        <v>0</v>
      </c>
      <c r="BH18" s="125" t="e">
        <f>'2'!EV65</f>
        <v>#DIV/0!</v>
      </c>
      <c r="BI18" s="125" t="e">
        <f>'2'!EV112</f>
        <v>#DIV/0!</v>
      </c>
      <c r="BJ18" s="125" t="e">
        <f>'2'!EV157</f>
        <v>#DIV/0!</v>
      </c>
      <c r="BK18" s="128"/>
      <c r="BL18" s="128"/>
      <c r="BM18" s="122">
        <v>-0.2</v>
      </c>
      <c r="BN18" s="123">
        <f>'2'!BG204</f>
        <v>0</v>
      </c>
      <c r="BO18" s="123">
        <f>'2'!BG157</f>
        <v>0</v>
      </c>
      <c r="BP18" s="123">
        <f>'2'!BG112</f>
        <v>0</v>
      </c>
      <c r="BQ18" s="123">
        <f>'2'!BG65</f>
        <v>0</v>
      </c>
      <c r="BR18" s="123">
        <f>'2'!BG20</f>
        <v>0</v>
      </c>
      <c r="BS18" s="125" t="e">
        <f>'2'!EW65</f>
        <v>#DIV/0!</v>
      </c>
      <c r="BT18" s="125" t="e">
        <f>'2'!EW112</f>
        <v>#DIV/0!</v>
      </c>
      <c r="BU18" s="125" t="e">
        <f>'2'!EW157</f>
        <v>#DIV/0!</v>
      </c>
      <c r="BV18" s="128"/>
      <c r="BW18" s="128"/>
      <c r="BX18" s="122">
        <v>-0.2</v>
      </c>
      <c r="BY18" s="123">
        <f>'2'!BH204</f>
        <v>0</v>
      </c>
      <c r="BZ18" s="123">
        <f>'2'!BH157</f>
        <v>0</v>
      </c>
      <c r="CA18" s="123">
        <f>'2'!BH112</f>
        <v>0</v>
      </c>
      <c r="CB18" s="123">
        <f>'2'!BH65</f>
        <v>0</v>
      </c>
      <c r="CC18" s="123">
        <f>'2'!BH20</f>
        <v>0</v>
      </c>
      <c r="CD18" s="125" t="e">
        <f>'2'!EX65</f>
        <v>#DIV/0!</v>
      </c>
      <c r="CE18" s="125" t="e">
        <f>'2'!EX112</f>
        <v>#DIV/0!</v>
      </c>
      <c r="CF18" s="125" t="e">
        <f>'2'!EX157</f>
        <v>#DIV/0!</v>
      </c>
    </row>
    <row r="19" spans="1:84" x14ac:dyDescent="0.25">
      <c r="A19" s="122">
        <v>-0.3</v>
      </c>
      <c r="B19" s="123">
        <f>'2'!AA205</f>
        <v>0</v>
      </c>
      <c r="C19" s="123">
        <f>'2'!AA158</f>
        <v>0</v>
      </c>
      <c r="D19" s="123">
        <f>'2'!AA113</f>
        <v>0</v>
      </c>
      <c r="E19" s="123">
        <f>'2'!AA66</f>
        <v>0</v>
      </c>
      <c r="F19" s="123">
        <f>'2'!AA21</f>
        <v>0</v>
      </c>
      <c r="G19" s="123">
        <f>'2'!DQ66</f>
        <v>0</v>
      </c>
      <c r="H19" s="123">
        <f>'2'!DQ113</f>
        <v>0</v>
      </c>
      <c r="I19" s="123">
        <f>'2'!DQ158</f>
        <v>0</v>
      </c>
      <c r="J19" s="124"/>
      <c r="K19" s="122">
        <v>-0.3</v>
      </c>
      <c r="L19" s="123">
        <f>'2'!AB205</f>
        <v>0</v>
      </c>
      <c r="M19" s="123">
        <f>'2'!AB158</f>
        <v>0</v>
      </c>
      <c r="N19" s="123">
        <f>'2'!AB113</f>
        <v>0</v>
      </c>
      <c r="O19" s="123">
        <f>'2'!AB66</f>
        <v>0</v>
      </c>
      <c r="P19" s="123">
        <f>'2'!AB21</f>
        <v>0</v>
      </c>
      <c r="Q19" s="123">
        <f>'2'!DR66</f>
        <v>0</v>
      </c>
      <c r="R19" s="123">
        <f>'2'!DR113</f>
        <v>0</v>
      </c>
      <c r="S19" s="123">
        <f>'2'!DR158</f>
        <v>0</v>
      </c>
      <c r="U19" s="122">
        <v>-0.3</v>
      </c>
      <c r="V19" s="123">
        <f>'2'!AC205</f>
        <v>0</v>
      </c>
      <c r="W19" s="123">
        <f>'2'!AC158</f>
        <v>0</v>
      </c>
      <c r="X19" s="123">
        <f>'2'!AC113</f>
        <v>0</v>
      </c>
      <c r="Y19" s="123">
        <f>'2'!AC66</f>
        <v>0</v>
      </c>
      <c r="Z19" s="123">
        <f>'2'!AC21</f>
        <v>0</v>
      </c>
      <c r="AA19" s="123">
        <f>'2'!DS66</f>
        <v>0</v>
      </c>
      <c r="AB19" s="123">
        <f>'2'!DS113</f>
        <v>0</v>
      </c>
      <c r="AC19" s="123">
        <f>'2'!DS158</f>
        <v>0</v>
      </c>
      <c r="AD19" s="124"/>
      <c r="AE19" s="124"/>
      <c r="AF19" s="122">
        <v>-0.3</v>
      </c>
      <c r="AG19" s="123">
        <f>'2'!AK205</f>
        <v>0</v>
      </c>
      <c r="AH19" s="123">
        <f>'2'!AK158</f>
        <v>0</v>
      </c>
      <c r="AI19" s="123">
        <f>'2'!AK113</f>
        <v>0</v>
      </c>
      <c r="AJ19" s="123">
        <f>'2'!AK66</f>
        <v>0</v>
      </c>
      <c r="AK19" s="123">
        <f>'2'!AK21</f>
        <v>0</v>
      </c>
      <c r="AL19" s="125">
        <f>'2'!EA66</f>
        <v>0</v>
      </c>
      <c r="AM19" s="125">
        <f>'2'!EA113</f>
        <v>0</v>
      </c>
      <c r="AN19" s="125">
        <f>'2'!EA158</f>
        <v>0</v>
      </c>
      <c r="AO19" s="127"/>
      <c r="AP19" s="127"/>
      <c r="AQ19" s="122">
        <v>-0.3</v>
      </c>
      <c r="AR19" s="123">
        <f>'2'!AM205</f>
        <v>0</v>
      </c>
      <c r="AS19" s="123">
        <f>'2'!AM158</f>
        <v>0</v>
      </c>
      <c r="AT19" s="123">
        <f>'2'!AM113</f>
        <v>0</v>
      </c>
      <c r="AU19" s="123">
        <f>'2'!AM66</f>
        <v>0</v>
      </c>
      <c r="AV19" s="123">
        <f>'2'!AM21</f>
        <v>0</v>
      </c>
      <c r="AW19" s="125">
        <f>'2'!EC66</f>
        <v>0</v>
      </c>
      <c r="AX19" s="125">
        <f>'2'!EC113</f>
        <v>0</v>
      </c>
      <c r="AY19" s="125">
        <f>'2'!EC158</f>
        <v>0</v>
      </c>
      <c r="AZ19" s="127"/>
      <c r="BA19" s="127"/>
      <c r="BB19" s="122">
        <v>-0.3</v>
      </c>
      <c r="BC19" s="123">
        <f>'2'!BF205</f>
        <v>0</v>
      </c>
      <c r="BD19" s="123">
        <f>'2'!BF158</f>
        <v>0</v>
      </c>
      <c r="BE19" s="123">
        <f>'2'!BF113</f>
        <v>0</v>
      </c>
      <c r="BF19" s="123">
        <f>'2'!BF66</f>
        <v>0</v>
      </c>
      <c r="BG19" s="123">
        <f>'2'!BF21</f>
        <v>0</v>
      </c>
      <c r="BH19" s="125" t="e">
        <f>'2'!EV66</f>
        <v>#DIV/0!</v>
      </c>
      <c r="BI19" s="125" t="e">
        <f>'2'!EV113</f>
        <v>#DIV/0!</v>
      </c>
      <c r="BJ19" s="125" t="e">
        <f>'2'!EV158</f>
        <v>#DIV/0!</v>
      </c>
      <c r="BK19" s="128"/>
      <c r="BL19" s="128"/>
      <c r="BM19" s="122">
        <v>-0.3</v>
      </c>
      <c r="BN19" s="123">
        <f>'2'!BG205</f>
        <v>0</v>
      </c>
      <c r="BO19" s="123">
        <f>'2'!BG158</f>
        <v>0</v>
      </c>
      <c r="BP19" s="123">
        <f>'2'!BG113</f>
        <v>0</v>
      </c>
      <c r="BQ19" s="123">
        <f>'2'!BG66</f>
        <v>0</v>
      </c>
      <c r="BR19" s="123">
        <f>'2'!BG21</f>
        <v>0</v>
      </c>
      <c r="BS19" s="125" t="e">
        <f>'2'!EW66</f>
        <v>#DIV/0!</v>
      </c>
      <c r="BT19" s="125" t="e">
        <f>'2'!EW113</f>
        <v>#DIV/0!</v>
      </c>
      <c r="BU19" s="125" t="e">
        <f>'2'!EW158</f>
        <v>#DIV/0!</v>
      </c>
      <c r="BV19" s="128"/>
      <c r="BW19" s="128"/>
      <c r="BX19" s="122">
        <v>-0.3</v>
      </c>
      <c r="BY19" s="123">
        <f>'2'!BH205</f>
        <v>0</v>
      </c>
      <c r="BZ19" s="123">
        <f>'2'!BH158</f>
        <v>0</v>
      </c>
      <c r="CA19" s="123">
        <f>'2'!BH113</f>
        <v>0</v>
      </c>
      <c r="CB19" s="123">
        <f>'2'!BH66</f>
        <v>0</v>
      </c>
      <c r="CC19" s="123">
        <f>'2'!BH21</f>
        <v>0</v>
      </c>
      <c r="CD19" s="125" t="e">
        <f>'2'!EX66</f>
        <v>#DIV/0!</v>
      </c>
      <c r="CE19" s="125" t="e">
        <f>'2'!EX113</f>
        <v>#DIV/0!</v>
      </c>
      <c r="CF19" s="125" t="e">
        <f>'2'!EX158</f>
        <v>#DIV/0!</v>
      </c>
    </row>
    <row r="20" spans="1:84" x14ac:dyDescent="0.25">
      <c r="A20" s="122">
        <v>-0.4</v>
      </c>
      <c r="B20" s="123">
        <f>'2'!AA206</f>
        <v>0</v>
      </c>
      <c r="C20" s="123">
        <f>'2'!AA159</f>
        <v>0</v>
      </c>
      <c r="D20" s="123">
        <f>'2'!AA114</f>
        <v>0</v>
      </c>
      <c r="E20" s="123">
        <f>'2'!AA67</f>
        <v>0</v>
      </c>
      <c r="F20" s="123">
        <f>'2'!AA22</f>
        <v>0</v>
      </c>
      <c r="G20" s="123">
        <f>'2'!DQ67</f>
        <v>0</v>
      </c>
      <c r="H20" s="123">
        <f>'2'!DQ114</f>
        <v>0</v>
      </c>
      <c r="I20" s="123">
        <f>'2'!DQ159</f>
        <v>0</v>
      </c>
      <c r="J20" s="124"/>
      <c r="K20" s="122">
        <v>-0.4</v>
      </c>
      <c r="L20" s="123">
        <f>'2'!AB206</f>
        <v>0</v>
      </c>
      <c r="M20" s="123">
        <f>'2'!AB159</f>
        <v>0</v>
      </c>
      <c r="N20" s="123">
        <f>'2'!AB114</f>
        <v>0</v>
      </c>
      <c r="O20" s="123">
        <f>'2'!AB67</f>
        <v>0</v>
      </c>
      <c r="P20" s="123">
        <f>'2'!AB22</f>
        <v>0</v>
      </c>
      <c r="Q20" s="123">
        <f>'2'!DR67</f>
        <v>0</v>
      </c>
      <c r="R20" s="123">
        <f>'2'!DR114</f>
        <v>0</v>
      </c>
      <c r="S20" s="123">
        <f>'2'!DR159</f>
        <v>0</v>
      </c>
      <c r="U20" s="122">
        <v>-0.4</v>
      </c>
      <c r="V20" s="123">
        <f>'2'!AC206</f>
        <v>0</v>
      </c>
      <c r="W20" s="123">
        <f>'2'!AC159</f>
        <v>0</v>
      </c>
      <c r="X20" s="123">
        <f>'2'!AC114</f>
        <v>0</v>
      </c>
      <c r="Y20" s="123">
        <f>'2'!AC67</f>
        <v>0</v>
      </c>
      <c r="Z20" s="123">
        <f>'2'!AC22</f>
        <v>0</v>
      </c>
      <c r="AA20" s="123">
        <f>'2'!DS67</f>
        <v>0</v>
      </c>
      <c r="AB20" s="123">
        <f>'2'!DS114</f>
        <v>0</v>
      </c>
      <c r="AC20" s="123">
        <f>'2'!DS159</f>
        <v>0</v>
      </c>
      <c r="AD20" s="124"/>
      <c r="AE20" s="124"/>
      <c r="AF20" s="122">
        <v>-0.4</v>
      </c>
      <c r="AG20" s="123">
        <f>'2'!AK206</f>
        <v>0</v>
      </c>
      <c r="AH20" s="123">
        <f>'2'!AK159</f>
        <v>0</v>
      </c>
      <c r="AI20" s="123">
        <f>'2'!AK114</f>
        <v>0</v>
      </c>
      <c r="AJ20" s="123">
        <f>'2'!AK67</f>
        <v>0</v>
      </c>
      <c r="AK20" s="123">
        <f>'2'!AK22</f>
        <v>0</v>
      </c>
      <c r="AL20" s="125">
        <f>'2'!EA67</f>
        <v>0</v>
      </c>
      <c r="AM20" s="125">
        <f>'2'!EA114</f>
        <v>0</v>
      </c>
      <c r="AN20" s="125">
        <f>'2'!EA159</f>
        <v>0</v>
      </c>
      <c r="AO20" s="127"/>
      <c r="AP20" s="127"/>
      <c r="AQ20" s="122">
        <v>-0.4</v>
      </c>
      <c r="AR20" s="123">
        <f>'2'!AM206</f>
        <v>0</v>
      </c>
      <c r="AS20" s="123">
        <f>'2'!AM159</f>
        <v>0</v>
      </c>
      <c r="AT20" s="123">
        <f>'2'!AM114</f>
        <v>0</v>
      </c>
      <c r="AU20" s="123">
        <f>'2'!AM67</f>
        <v>0</v>
      </c>
      <c r="AV20" s="123">
        <f>'2'!AM22</f>
        <v>0</v>
      </c>
      <c r="AW20" s="125">
        <f>'2'!EC67</f>
        <v>0</v>
      </c>
      <c r="AX20" s="125">
        <f>'2'!EC114</f>
        <v>0</v>
      </c>
      <c r="AY20" s="125">
        <f>'2'!EC159</f>
        <v>0</v>
      </c>
      <c r="AZ20" s="127"/>
      <c r="BA20" s="127"/>
      <c r="BB20" s="122">
        <v>-0.4</v>
      </c>
      <c r="BC20" s="123">
        <f>'2'!BF206</f>
        <v>0</v>
      </c>
      <c r="BD20" s="123">
        <f>'2'!BF159</f>
        <v>0</v>
      </c>
      <c r="BE20" s="123">
        <f>'2'!BF114</f>
        <v>0</v>
      </c>
      <c r="BF20" s="123">
        <f>'2'!BF67</f>
        <v>0</v>
      </c>
      <c r="BG20" s="123">
        <f>'2'!BF22</f>
        <v>0</v>
      </c>
      <c r="BH20" s="125" t="e">
        <f>'2'!EV67</f>
        <v>#DIV/0!</v>
      </c>
      <c r="BI20" s="125" t="e">
        <f>'2'!EV114</f>
        <v>#DIV/0!</v>
      </c>
      <c r="BJ20" s="125" t="e">
        <f>'2'!EV159</f>
        <v>#DIV/0!</v>
      </c>
      <c r="BK20" s="128"/>
      <c r="BL20" s="128"/>
      <c r="BM20" s="122">
        <v>-0.4</v>
      </c>
      <c r="BN20" s="123">
        <f>'2'!BG206</f>
        <v>0</v>
      </c>
      <c r="BO20" s="123">
        <f>'2'!BG159</f>
        <v>0</v>
      </c>
      <c r="BP20" s="123">
        <f>'2'!BG114</f>
        <v>0</v>
      </c>
      <c r="BQ20" s="123">
        <f>'2'!BG67</f>
        <v>0</v>
      </c>
      <c r="BR20" s="123">
        <f>'2'!BG22</f>
        <v>0</v>
      </c>
      <c r="BS20" s="125" t="e">
        <f>'2'!EW67</f>
        <v>#DIV/0!</v>
      </c>
      <c r="BT20" s="125" t="e">
        <f>'2'!EW114</f>
        <v>#DIV/0!</v>
      </c>
      <c r="BU20" s="125" t="e">
        <f>'2'!EW159</f>
        <v>#DIV/0!</v>
      </c>
      <c r="BV20" s="128"/>
      <c r="BW20" s="128"/>
      <c r="BX20" s="122">
        <v>-0.4</v>
      </c>
      <c r="BY20" s="123">
        <f>'2'!BH206</f>
        <v>0</v>
      </c>
      <c r="BZ20" s="123">
        <f>'2'!BH159</f>
        <v>0</v>
      </c>
      <c r="CA20" s="123">
        <f>'2'!BH114</f>
        <v>0</v>
      </c>
      <c r="CB20" s="123">
        <f>'2'!BH67</f>
        <v>0</v>
      </c>
      <c r="CC20" s="123">
        <f>'2'!BH22</f>
        <v>0</v>
      </c>
      <c r="CD20" s="125" t="e">
        <f>'2'!EX67</f>
        <v>#DIV/0!</v>
      </c>
      <c r="CE20" s="125" t="e">
        <f>'2'!EX114</f>
        <v>#DIV/0!</v>
      </c>
      <c r="CF20" s="125" t="e">
        <f>'2'!EX159</f>
        <v>#DIV/0!</v>
      </c>
    </row>
    <row r="21" spans="1:84" x14ac:dyDescent="0.25">
      <c r="A21" s="122">
        <v>-0.5</v>
      </c>
      <c r="B21" s="123">
        <f>'2'!AA207</f>
        <v>0</v>
      </c>
      <c r="C21" s="123">
        <f>'2'!AA160</f>
        <v>0</v>
      </c>
      <c r="D21" s="123">
        <f>'2'!AA115</f>
        <v>0</v>
      </c>
      <c r="E21" s="123">
        <f>'2'!AA68</f>
        <v>0</v>
      </c>
      <c r="F21" s="123">
        <f>'2'!AA23</f>
        <v>0</v>
      </c>
      <c r="G21" s="123">
        <f>'2'!DQ68</f>
        <v>0</v>
      </c>
      <c r="H21" s="123">
        <f>'2'!DQ115</f>
        <v>0</v>
      </c>
      <c r="I21" s="123">
        <f>'2'!DQ160</f>
        <v>0</v>
      </c>
      <c r="J21" s="124"/>
      <c r="K21" s="122">
        <v>-0.5</v>
      </c>
      <c r="L21" s="123">
        <f>'2'!AB207</f>
        <v>0</v>
      </c>
      <c r="M21" s="123">
        <f>'2'!AB160</f>
        <v>0</v>
      </c>
      <c r="N21" s="123">
        <f>'2'!AB115</f>
        <v>0</v>
      </c>
      <c r="O21" s="123">
        <f>'2'!AB68</f>
        <v>0</v>
      </c>
      <c r="P21" s="123">
        <f>'2'!AB23</f>
        <v>0</v>
      </c>
      <c r="Q21" s="123">
        <f>'2'!DR68</f>
        <v>0</v>
      </c>
      <c r="R21" s="123">
        <f>'2'!DR115</f>
        <v>0</v>
      </c>
      <c r="S21" s="123">
        <f>'2'!DR160</f>
        <v>0</v>
      </c>
      <c r="U21" s="122">
        <v>-0.5</v>
      </c>
      <c r="V21" s="123">
        <f>'2'!AC207</f>
        <v>0</v>
      </c>
      <c r="W21" s="123">
        <f>'2'!AC160</f>
        <v>0</v>
      </c>
      <c r="X21" s="123">
        <f>'2'!AC115</f>
        <v>0</v>
      </c>
      <c r="Y21" s="123">
        <f>'2'!AC68</f>
        <v>0</v>
      </c>
      <c r="Z21" s="123">
        <f>'2'!AC23</f>
        <v>0</v>
      </c>
      <c r="AA21" s="123">
        <f>'2'!DS68</f>
        <v>0</v>
      </c>
      <c r="AB21" s="123">
        <f>'2'!DS115</f>
        <v>0</v>
      </c>
      <c r="AC21" s="123">
        <f>'2'!DS160</f>
        <v>0</v>
      </c>
      <c r="AD21" s="124"/>
      <c r="AE21" s="124"/>
      <c r="AF21" s="122">
        <v>-0.5</v>
      </c>
      <c r="AG21" s="123">
        <f>'2'!AK207</f>
        <v>0</v>
      </c>
      <c r="AH21" s="123">
        <f>'2'!AK160</f>
        <v>0</v>
      </c>
      <c r="AI21" s="123">
        <f>'2'!AK115</f>
        <v>0</v>
      </c>
      <c r="AJ21" s="123">
        <f>'2'!AK68</f>
        <v>0</v>
      </c>
      <c r="AK21" s="123">
        <f>'2'!AK23</f>
        <v>0</v>
      </c>
      <c r="AL21" s="125">
        <f>'2'!EA68</f>
        <v>0</v>
      </c>
      <c r="AM21" s="125">
        <f>'2'!EA115</f>
        <v>0</v>
      </c>
      <c r="AN21" s="125">
        <f>'2'!EA160</f>
        <v>0</v>
      </c>
      <c r="AO21" s="127"/>
      <c r="AP21" s="127"/>
      <c r="AQ21" s="122">
        <v>-0.5</v>
      </c>
      <c r="AR21" s="123">
        <f>'2'!AM207</f>
        <v>0</v>
      </c>
      <c r="AS21" s="123">
        <f>'2'!AM160</f>
        <v>0</v>
      </c>
      <c r="AT21" s="123">
        <f>'2'!AM115</f>
        <v>0</v>
      </c>
      <c r="AU21" s="123">
        <f>'2'!AM68</f>
        <v>0</v>
      </c>
      <c r="AV21" s="123">
        <f>'2'!AM23</f>
        <v>0</v>
      </c>
      <c r="AW21" s="125">
        <f>'2'!EC68</f>
        <v>0</v>
      </c>
      <c r="AX21" s="125">
        <f>'2'!EC115</f>
        <v>0</v>
      </c>
      <c r="AY21" s="125">
        <f>'2'!EC160</f>
        <v>0</v>
      </c>
      <c r="AZ21" s="127"/>
      <c r="BA21" s="127"/>
      <c r="BB21" s="122">
        <v>-0.5</v>
      </c>
      <c r="BC21" s="123">
        <f>'2'!BF207</f>
        <v>0</v>
      </c>
      <c r="BD21" s="123">
        <f>'2'!BF160</f>
        <v>0</v>
      </c>
      <c r="BE21" s="123">
        <f>'2'!BF115</f>
        <v>0</v>
      </c>
      <c r="BF21" s="123">
        <f>'2'!BF68</f>
        <v>0</v>
      </c>
      <c r="BG21" s="123">
        <f>'2'!BF23</f>
        <v>0</v>
      </c>
      <c r="BH21" s="125" t="e">
        <f>'2'!EV68</f>
        <v>#DIV/0!</v>
      </c>
      <c r="BI21" s="125" t="e">
        <f>'2'!EV115</f>
        <v>#DIV/0!</v>
      </c>
      <c r="BJ21" s="125" t="e">
        <f>'2'!EV160</f>
        <v>#DIV/0!</v>
      </c>
      <c r="BK21" s="128"/>
      <c r="BL21" s="128"/>
      <c r="BM21" s="122">
        <v>-0.5</v>
      </c>
      <c r="BN21" s="123">
        <f>'2'!BG207</f>
        <v>0</v>
      </c>
      <c r="BO21" s="123">
        <f>'2'!BG160</f>
        <v>0</v>
      </c>
      <c r="BP21" s="123">
        <f>'2'!BG115</f>
        <v>0</v>
      </c>
      <c r="BQ21" s="123">
        <f>'2'!BG68</f>
        <v>0</v>
      </c>
      <c r="BR21" s="123">
        <f>'2'!BG23</f>
        <v>0</v>
      </c>
      <c r="BS21" s="125" t="e">
        <f>'2'!EW68</f>
        <v>#DIV/0!</v>
      </c>
      <c r="BT21" s="125" t="e">
        <f>'2'!EW115</f>
        <v>#DIV/0!</v>
      </c>
      <c r="BU21" s="125" t="e">
        <f>'2'!EW160</f>
        <v>#DIV/0!</v>
      </c>
      <c r="BV21" s="128"/>
      <c r="BW21" s="128"/>
      <c r="BX21" s="122">
        <v>-0.5</v>
      </c>
      <c r="BY21" s="123">
        <f>'2'!BH207</f>
        <v>0</v>
      </c>
      <c r="BZ21" s="123">
        <f>'2'!BH160</f>
        <v>0</v>
      </c>
      <c r="CA21" s="123">
        <f>'2'!BH115</f>
        <v>0</v>
      </c>
      <c r="CB21" s="123">
        <f>'2'!BH68</f>
        <v>0</v>
      </c>
      <c r="CC21" s="123">
        <f>'2'!BH23</f>
        <v>0</v>
      </c>
      <c r="CD21" s="125" t="e">
        <f>'2'!EX68</f>
        <v>#DIV/0!</v>
      </c>
      <c r="CE21" s="125" t="e">
        <f>'2'!EX115</f>
        <v>#DIV/0!</v>
      </c>
      <c r="CF21" s="125" t="e">
        <f>'2'!EX160</f>
        <v>#DIV/0!</v>
      </c>
    </row>
    <row r="22" spans="1:84" x14ac:dyDescent="0.25">
      <c r="A22" s="122">
        <v>-0.6</v>
      </c>
      <c r="B22" s="123">
        <f>'2'!AA208</f>
        <v>0</v>
      </c>
      <c r="C22" s="123">
        <f>'2'!AA161</f>
        <v>0</v>
      </c>
      <c r="D22" s="123">
        <f>'2'!AA116</f>
        <v>0</v>
      </c>
      <c r="E22" s="123">
        <f>'2'!AA69</f>
        <v>0</v>
      </c>
      <c r="F22" s="123">
        <f>'2'!AA24</f>
        <v>0</v>
      </c>
      <c r="G22" s="123">
        <f>'2'!DQ69</f>
        <v>0</v>
      </c>
      <c r="H22" s="123">
        <f>'2'!DQ116</f>
        <v>0</v>
      </c>
      <c r="I22" s="123">
        <f>'2'!DQ161</f>
        <v>0</v>
      </c>
      <c r="J22" s="124"/>
      <c r="K22" s="122">
        <v>-0.6</v>
      </c>
      <c r="L22" s="123">
        <f>'2'!AB208</f>
        <v>0</v>
      </c>
      <c r="M22" s="123">
        <f>'2'!AB161</f>
        <v>0</v>
      </c>
      <c r="N22" s="123">
        <f>'2'!AB116</f>
        <v>0</v>
      </c>
      <c r="O22" s="123">
        <f>'2'!AB69</f>
        <v>0</v>
      </c>
      <c r="P22" s="123">
        <f>'2'!AB24</f>
        <v>0</v>
      </c>
      <c r="Q22" s="123">
        <f>'2'!DR69</f>
        <v>0</v>
      </c>
      <c r="R22" s="123">
        <f>'2'!DR116</f>
        <v>0</v>
      </c>
      <c r="S22" s="123">
        <f>'2'!DR161</f>
        <v>0</v>
      </c>
      <c r="U22" s="122">
        <v>-0.6</v>
      </c>
      <c r="V22" s="123">
        <f>'2'!AC208</f>
        <v>0</v>
      </c>
      <c r="W22" s="123">
        <f>'2'!AC161</f>
        <v>0</v>
      </c>
      <c r="X22" s="123">
        <f>'2'!AC116</f>
        <v>0</v>
      </c>
      <c r="Y22" s="123">
        <f>'2'!AC69</f>
        <v>0</v>
      </c>
      <c r="Z22" s="123">
        <f>'2'!AC24</f>
        <v>0</v>
      </c>
      <c r="AA22" s="123">
        <f>'2'!DS69</f>
        <v>0</v>
      </c>
      <c r="AB22" s="123">
        <f>'2'!DS116</f>
        <v>0</v>
      </c>
      <c r="AC22" s="123">
        <f>'2'!DS161</f>
        <v>0</v>
      </c>
      <c r="AD22" s="124"/>
      <c r="AE22" s="124"/>
      <c r="AF22" s="122">
        <v>-0.6</v>
      </c>
      <c r="AG22" s="123">
        <f>'2'!AK208</f>
        <v>0</v>
      </c>
      <c r="AH22" s="123">
        <f>'2'!AK161</f>
        <v>0</v>
      </c>
      <c r="AI22" s="123">
        <f>'2'!AK116</f>
        <v>0</v>
      </c>
      <c r="AJ22" s="123">
        <f>'2'!AK69</f>
        <v>0</v>
      </c>
      <c r="AK22" s="123">
        <f>'2'!AK24</f>
        <v>0</v>
      </c>
      <c r="AL22" s="125">
        <f>'2'!EA69</f>
        <v>0</v>
      </c>
      <c r="AM22" s="125">
        <f>'2'!EA116</f>
        <v>0</v>
      </c>
      <c r="AN22" s="125">
        <f>'2'!EA161</f>
        <v>0</v>
      </c>
      <c r="AO22" s="127"/>
      <c r="AP22" s="127"/>
      <c r="AQ22" s="122">
        <v>-0.6</v>
      </c>
      <c r="AR22" s="123">
        <f>'2'!AM208</f>
        <v>0</v>
      </c>
      <c r="AS22" s="123">
        <f>'2'!AM161</f>
        <v>0</v>
      </c>
      <c r="AT22" s="123">
        <f>'2'!AM116</f>
        <v>0</v>
      </c>
      <c r="AU22" s="123">
        <f>'2'!AM69</f>
        <v>0</v>
      </c>
      <c r="AV22" s="123">
        <f>'2'!AM24</f>
        <v>0</v>
      </c>
      <c r="AW22" s="125">
        <f>'2'!EC69</f>
        <v>0</v>
      </c>
      <c r="AX22" s="125">
        <f>'2'!EC116</f>
        <v>0</v>
      </c>
      <c r="AY22" s="125">
        <f>'2'!EC161</f>
        <v>0</v>
      </c>
      <c r="AZ22" s="127"/>
      <c r="BA22" s="127"/>
      <c r="BB22" s="122">
        <v>-0.6</v>
      </c>
      <c r="BC22" s="123">
        <f>'2'!BF208</f>
        <v>0</v>
      </c>
      <c r="BD22" s="123">
        <f>'2'!BF161</f>
        <v>0</v>
      </c>
      <c r="BE22" s="123">
        <f>'2'!BF116</f>
        <v>0</v>
      </c>
      <c r="BF22" s="123">
        <f>'2'!BF69</f>
        <v>0</v>
      </c>
      <c r="BG22" s="123">
        <f>'2'!BF24</f>
        <v>0</v>
      </c>
      <c r="BH22" s="125" t="e">
        <f>'2'!EV69</f>
        <v>#DIV/0!</v>
      </c>
      <c r="BI22" s="125" t="e">
        <f>'2'!EV116</f>
        <v>#DIV/0!</v>
      </c>
      <c r="BJ22" s="125" t="e">
        <f>'2'!EV161</f>
        <v>#DIV/0!</v>
      </c>
      <c r="BK22" s="128"/>
      <c r="BL22" s="128"/>
      <c r="BM22" s="122">
        <v>-0.6</v>
      </c>
      <c r="BN22" s="123">
        <f>'2'!BG208</f>
        <v>0</v>
      </c>
      <c r="BO22" s="123">
        <f>'2'!BG161</f>
        <v>0</v>
      </c>
      <c r="BP22" s="123">
        <f>'2'!BG116</f>
        <v>0</v>
      </c>
      <c r="BQ22" s="123">
        <f>'2'!BG69</f>
        <v>0</v>
      </c>
      <c r="BR22" s="123">
        <f>'2'!BG24</f>
        <v>0</v>
      </c>
      <c r="BS22" s="125" t="e">
        <f>'2'!EW69</f>
        <v>#DIV/0!</v>
      </c>
      <c r="BT22" s="125" t="e">
        <f>'2'!EW116</f>
        <v>#DIV/0!</v>
      </c>
      <c r="BU22" s="125" t="e">
        <f>'2'!EW161</f>
        <v>#DIV/0!</v>
      </c>
      <c r="BV22" s="128"/>
      <c r="BW22" s="128"/>
      <c r="BX22" s="122">
        <v>-0.6</v>
      </c>
      <c r="BY22" s="123">
        <f>'2'!BH208</f>
        <v>0</v>
      </c>
      <c r="BZ22" s="123">
        <f>'2'!BH161</f>
        <v>0</v>
      </c>
      <c r="CA22" s="123">
        <f>'2'!BH116</f>
        <v>0</v>
      </c>
      <c r="CB22" s="123">
        <f>'2'!BH69</f>
        <v>0</v>
      </c>
      <c r="CC22" s="123">
        <f>'2'!BH24</f>
        <v>0</v>
      </c>
      <c r="CD22" s="125" t="e">
        <f>'2'!EX69</f>
        <v>#DIV/0!</v>
      </c>
      <c r="CE22" s="125" t="e">
        <f>'2'!EX116</f>
        <v>#DIV/0!</v>
      </c>
      <c r="CF22" s="125" t="e">
        <f>'2'!EX161</f>
        <v>#DIV/0!</v>
      </c>
    </row>
    <row r="23" spans="1:84" x14ac:dyDescent="0.25">
      <c r="A23" s="122">
        <v>-0.7</v>
      </c>
      <c r="B23" s="123">
        <f>'2'!AA209</f>
        <v>0</v>
      </c>
      <c r="C23" s="123">
        <f>'2'!AA162</f>
        <v>0</v>
      </c>
      <c r="D23" s="123">
        <f>'2'!AA117</f>
        <v>0</v>
      </c>
      <c r="E23" s="123">
        <f>'2'!AA70</f>
        <v>0</v>
      </c>
      <c r="F23" s="123">
        <f>'2'!AA25</f>
        <v>0</v>
      </c>
      <c r="G23" s="123">
        <f>'2'!DQ70</f>
        <v>0</v>
      </c>
      <c r="H23" s="123">
        <f>'2'!DQ117</f>
        <v>0</v>
      </c>
      <c r="I23" s="123">
        <f>'2'!DQ162</f>
        <v>0</v>
      </c>
      <c r="J23" s="124"/>
      <c r="K23" s="122">
        <v>-0.7</v>
      </c>
      <c r="L23" s="123">
        <f>'2'!AB209</f>
        <v>0</v>
      </c>
      <c r="M23" s="123">
        <f>'2'!AB162</f>
        <v>0</v>
      </c>
      <c r="N23" s="123">
        <f>'2'!AB117</f>
        <v>0</v>
      </c>
      <c r="O23" s="123">
        <f>'2'!AB70</f>
        <v>0</v>
      </c>
      <c r="P23" s="123">
        <f>'2'!AB25</f>
        <v>0</v>
      </c>
      <c r="Q23" s="123">
        <f>'2'!DR70</f>
        <v>0</v>
      </c>
      <c r="R23" s="123">
        <f>'2'!DR117</f>
        <v>0</v>
      </c>
      <c r="S23" s="123">
        <f>'2'!DR162</f>
        <v>0</v>
      </c>
      <c r="U23" s="122">
        <v>-0.7</v>
      </c>
      <c r="V23" s="123">
        <f>'2'!AC209</f>
        <v>0</v>
      </c>
      <c r="W23" s="123">
        <f>'2'!AC162</f>
        <v>0</v>
      </c>
      <c r="X23" s="123">
        <f>'2'!AC117</f>
        <v>0</v>
      </c>
      <c r="Y23" s="123">
        <f>'2'!AC70</f>
        <v>0</v>
      </c>
      <c r="Z23" s="123">
        <f>'2'!AC25</f>
        <v>0</v>
      </c>
      <c r="AA23" s="123">
        <f>'2'!DS70</f>
        <v>0</v>
      </c>
      <c r="AB23" s="123">
        <f>'2'!DS117</f>
        <v>0</v>
      </c>
      <c r="AC23" s="123">
        <f>'2'!DS162</f>
        <v>0</v>
      </c>
      <c r="AD23" s="124"/>
      <c r="AE23" s="124"/>
      <c r="AF23" s="122">
        <v>-0.7</v>
      </c>
      <c r="AG23" s="123">
        <f>'2'!AK209</f>
        <v>0</v>
      </c>
      <c r="AH23" s="123">
        <f>'2'!AK162</f>
        <v>0</v>
      </c>
      <c r="AI23" s="123">
        <f>'2'!AK117</f>
        <v>0</v>
      </c>
      <c r="AJ23" s="123">
        <f>'2'!AK70</f>
        <v>0</v>
      </c>
      <c r="AK23" s="123">
        <f>'2'!AK25</f>
        <v>0</v>
      </c>
      <c r="AL23" s="125">
        <f>'2'!EA70</f>
        <v>0</v>
      </c>
      <c r="AM23" s="125">
        <f>'2'!EA117</f>
        <v>0</v>
      </c>
      <c r="AN23" s="125">
        <f>'2'!EA162</f>
        <v>0</v>
      </c>
      <c r="AO23" s="127"/>
      <c r="AP23" s="127"/>
      <c r="AQ23" s="122">
        <v>-0.7</v>
      </c>
      <c r="AR23" s="123">
        <f>'2'!AM209</f>
        <v>0</v>
      </c>
      <c r="AS23" s="123">
        <f>'2'!AM162</f>
        <v>0</v>
      </c>
      <c r="AT23" s="123">
        <f>'2'!AM117</f>
        <v>0</v>
      </c>
      <c r="AU23" s="123">
        <f>'2'!AM70</f>
        <v>0</v>
      </c>
      <c r="AV23" s="123">
        <f>'2'!AM25</f>
        <v>0</v>
      </c>
      <c r="AW23" s="125">
        <f>'2'!EC70</f>
        <v>0</v>
      </c>
      <c r="AX23" s="125">
        <f>'2'!EC117</f>
        <v>0</v>
      </c>
      <c r="AY23" s="125">
        <f>'2'!EC162</f>
        <v>0</v>
      </c>
      <c r="AZ23" s="127"/>
      <c r="BA23" s="127"/>
      <c r="BB23" s="122">
        <v>-0.7</v>
      </c>
      <c r="BC23" s="123">
        <f>'2'!BF209</f>
        <v>0</v>
      </c>
      <c r="BD23" s="123">
        <f>'2'!BF162</f>
        <v>0</v>
      </c>
      <c r="BE23" s="123">
        <f>'2'!BF117</f>
        <v>0</v>
      </c>
      <c r="BF23" s="123">
        <f>'2'!BF70</f>
        <v>0</v>
      </c>
      <c r="BG23" s="123">
        <f>'2'!BF25</f>
        <v>0</v>
      </c>
      <c r="BH23" s="125" t="e">
        <f>'2'!EV70</f>
        <v>#DIV/0!</v>
      </c>
      <c r="BI23" s="125" t="e">
        <f>'2'!EV117</f>
        <v>#DIV/0!</v>
      </c>
      <c r="BJ23" s="125" t="e">
        <f>'2'!EV162</f>
        <v>#DIV/0!</v>
      </c>
      <c r="BK23" s="128"/>
      <c r="BL23" s="128"/>
      <c r="BM23" s="122">
        <v>-0.7</v>
      </c>
      <c r="BN23" s="123">
        <f>'2'!BG209</f>
        <v>0</v>
      </c>
      <c r="BO23" s="123">
        <f>'2'!BG162</f>
        <v>0</v>
      </c>
      <c r="BP23" s="123">
        <f>'2'!BG117</f>
        <v>0</v>
      </c>
      <c r="BQ23" s="123">
        <f>'2'!BG70</f>
        <v>0</v>
      </c>
      <c r="BR23" s="123">
        <f>'2'!BG25</f>
        <v>0</v>
      </c>
      <c r="BS23" s="125" t="e">
        <f>'2'!EW70</f>
        <v>#DIV/0!</v>
      </c>
      <c r="BT23" s="125" t="e">
        <f>'2'!EW117</f>
        <v>#DIV/0!</v>
      </c>
      <c r="BU23" s="125" t="e">
        <f>'2'!EW162</f>
        <v>#DIV/0!</v>
      </c>
      <c r="BV23" s="128"/>
      <c r="BW23" s="128"/>
      <c r="BX23" s="122">
        <v>-0.7</v>
      </c>
      <c r="BY23" s="123">
        <f>'2'!BH209</f>
        <v>0</v>
      </c>
      <c r="BZ23" s="123">
        <f>'2'!BH162</f>
        <v>0</v>
      </c>
      <c r="CA23" s="123">
        <f>'2'!BH117</f>
        <v>0</v>
      </c>
      <c r="CB23" s="123">
        <f>'2'!BH70</f>
        <v>0</v>
      </c>
      <c r="CC23" s="123">
        <f>'2'!BH25</f>
        <v>0</v>
      </c>
      <c r="CD23" s="125" t="e">
        <f>'2'!EX70</f>
        <v>#DIV/0!</v>
      </c>
      <c r="CE23" s="125" t="e">
        <f>'2'!EX117</f>
        <v>#DIV/0!</v>
      </c>
      <c r="CF23" s="125" t="e">
        <f>'2'!EX162</f>
        <v>#DIV/0!</v>
      </c>
    </row>
    <row r="24" spans="1:84" x14ac:dyDescent="0.25">
      <c r="A24" s="122">
        <v>-0.8</v>
      </c>
      <c r="B24" s="123">
        <f>'2'!AA210</f>
        <v>0</v>
      </c>
      <c r="C24" s="123">
        <f>'2'!AA163</f>
        <v>0</v>
      </c>
      <c r="D24" s="123">
        <f>'2'!AA118</f>
        <v>0</v>
      </c>
      <c r="E24" s="123">
        <f>'2'!AA71</f>
        <v>0</v>
      </c>
      <c r="F24" s="123">
        <f>'2'!AA26</f>
        <v>0</v>
      </c>
      <c r="G24" s="123">
        <f>'2'!DQ71</f>
        <v>0</v>
      </c>
      <c r="H24" s="123">
        <f>'2'!DQ118</f>
        <v>0</v>
      </c>
      <c r="I24" s="123">
        <f>'2'!DQ163</f>
        <v>0</v>
      </c>
      <c r="J24" s="124"/>
      <c r="K24" s="122">
        <v>-0.8</v>
      </c>
      <c r="L24" s="123">
        <f>'2'!AB210</f>
        <v>0</v>
      </c>
      <c r="M24" s="123">
        <f>'2'!AB163</f>
        <v>0</v>
      </c>
      <c r="N24" s="123">
        <f>'2'!AB118</f>
        <v>0</v>
      </c>
      <c r="O24" s="123">
        <f>'2'!AB71</f>
        <v>0</v>
      </c>
      <c r="P24" s="123">
        <f>'2'!AB26</f>
        <v>0</v>
      </c>
      <c r="Q24" s="123">
        <f>'2'!DR71</f>
        <v>0</v>
      </c>
      <c r="R24" s="123">
        <f>'2'!DR118</f>
        <v>0</v>
      </c>
      <c r="S24" s="123">
        <f>'2'!DR163</f>
        <v>0</v>
      </c>
      <c r="U24" s="122">
        <v>-0.8</v>
      </c>
      <c r="V24" s="123">
        <f>'2'!AC210</f>
        <v>0</v>
      </c>
      <c r="W24" s="123">
        <f>'2'!AC163</f>
        <v>0</v>
      </c>
      <c r="X24" s="123">
        <f>'2'!AC118</f>
        <v>0</v>
      </c>
      <c r="Y24" s="123">
        <f>'2'!AC71</f>
        <v>0</v>
      </c>
      <c r="Z24" s="123">
        <f>'2'!AC26</f>
        <v>0</v>
      </c>
      <c r="AA24" s="123">
        <f>'2'!DS71</f>
        <v>0</v>
      </c>
      <c r="AB24" s="123">
        <f>'2'!DS118</f>
        <v>0</v>
      </c>
      <c r="AC24" s="123">
        <f>'2'!DS163</f>
        <v>0</v>
      </c>
      <c r="AD24" s="124"/>
      <c r="AE24" s="124"/>
      <c r="AF24" s="122">
        <v>-0.8</v>
      </c>
      <c r="AG24" s="123">
        <f>'2'!AK210</f>
        <v>0</v>
      </c>
      <c r="AH24" s="123">
        <f>'2'!AK163</f>
        <v>0</v>
      </c>
      <c r="AI24" s="123">
        <f>'2'!AK118</f>
        <v>0</v>
      </c>
      <c r="AJ24" s="123">
        <f>'2'!AK71</f>
        <v>0</v>
      </c>
      <c r="AK24" s="123">
        <f>'2'!AK26</f>
        <v>0</v>
      </c>
      <c r="AL24" s="125">
        <f>'2'!EA71</f>
        <v>0</v>
      </c>
      <c r="AM24" s="125">
        <f>'2'!EA118</f>
        <v>0</v>
      </c>
      <c r="AN24" s="125">
        <f>'2'!EA163</f>
        <v>0</v>
      </c>
      <c r="AO24" s="127"/>
      <c r="AP24" s="127"/>
      <c r="AQ24" s="122">
        <v>-0.8</v>
      </c>
      <c r="AR24" s="123">
        <f>'2'!AM210</f>
        <v>0</v>
      </c>
      <c r="AS24" s="123">
        <f>'2'!AM163</f>
        <v>0</v>
      </c>
      <c r="AT24" s="123">
        <f>'2'!AM118</f>
        <v>0</v>
      </c>
      <c r="AU24" s="123">
        <f>'2'!AM71</f>
        <v>0</v>
      </c>
      <c r="AV24" s="123">
        <f>'2'!AM26</f>
        <v>0</v>
      </c>
      <c r="AW24" s="125">
        <f>'2'!EC71</f>
        <v>0</v>
      </c>
      <c r="AX24" s="125">
        <f>'2'!EC118</f>
        <v>0</v>
      </c>
      <c r="AY24" s="125">
        <f>'2'!EC163</f>
        <v>0</v>
      </c>
      <c r="AZ24" s="127"/>
      <c r="BA24" s="127"/>
      <c r="BB24" s="122">
        <v>-0.8</v>
      </c>
      <c r="BC24" s="123">
        <f>'2'!BF210</f>
        <v>0</v>
      </c>
      <c r="BD24" s="123">
        <f>'2'!BF163</f>
        <v>0</v>
      </c>
      <c r="BE24" s="123">
        <f>'2'!BF118</f>
        <v>0</v>
      </c>
      <c r="BF24" s="123">
        <f>'2'!BF71</f>
        <v>0</v>
      </c>
      <c r="BG24" s="123">
        <f>'2'!BF26</f>
        <v>0</v>
      </c>
      <c r="BH24" s="125" t="e">
        <f>'2'!EV71</f>
        <v>#DIV/0!</v>
      </c>
      <c r="BI24" s="125" t="e">
        <f>'2'!EV118</f>
        <v>#DIV/0!</v>
      </c>
      <c r="BJ24" s="125" t="e">
        <f>'2'!EV163</f>
        <v>#DIV/0!</v>
      </c>
      <c r="BK24" s="128"/>
      <c r="BL24" s="128"/>
      <c r="BM24" s="122">
        <v>-0.8</v>
      </c>
      <c r="BN24" s="123">
        <f>'2'!BG210</f>
        <v>0</v>
      </c>
      <c r="BO24" s="123">
        <f>'2'!BG163</f>
        <v>0</v>
      </c>
      <c r="BP24" s="123">
        <f>'2'!BG118</f>
        <v>0</v>
      </c>
      <c r="BQ24" s="123">
        <f>'2'!BG71</f>
        <v>0</v>
      </c>
      <c r="BR24" s="123">
        <f>'2'!BG26</f>
        <v>0</v>
      </c>
      <c r="BS24" s="125" t="e">
        <f>'2'!EW71</f>
        <v>#DIV/0!</v>
      </c>
      <c r="BT24" s="125" t="e">
        <f>'2'!EW118</f>
        <v>#DIV/0!</v>
      </c>
      <c r="BU24" s="125" t="e">
        <f>'2'!EW163</f>
        <v>#DIV/0!</v>
      </c>
      <c r="BV24" s="128"/>
      <c r="BW24" s="128"/>
      <c r="BX24" s="122">
        <v>-0.8</v>
      </c>
      <c r="BY24" s="123">
        <f>'2'!BH210</f>
        <v>0</v>
      </c>
      <c r="BZ24" s="123">
        <f>'2'!BH163</f>
        <v>0</v>
      </c>
      <c r="CA24" s="123">
        <f>'2'!BH118</f>
        <v>0</v>
      </c>
      <c r="CB24" s="123">
        <f>'2'!BH71</f>
        <v>0</v>
      </c>
      <c r="CC24" s="123">
        <f>'2'!BH26</f>
        <v>0</v>
      </c>
      <c r="CD24" s="125" t="e">
        <f>'2'!EX71</f>
        <v>#DIV/0!</v>
      </c>
      <c r="CE24" s="125" t="e">
        <f>'2'!EX118</f>
        <v>#DIV/0!</v>
      </c>
      <c r="CF24" s="125" t="e">
        <f>'2'!EX163</f>
        <v>#DIV/0!</v>
      </c>
    </row>
    <row r="25" spans="1:84" x14ac:dyDescent="0.25">
      <c r="A25" s="122">
        <v>-0.9</v>
      </c>
      <c r="B25" s="123">
        <f>'2'!AA211</f>
        <v>0</v>
      </c>
      <c r="C25" s="123">
        <f>'2'!AA164</f>
        <v>0</v>
      </c>
      <c r="D25" s="123">
        <f>'2'!AA119</f>
        <v>0</v>
      </c>
      <c r="E25" s="123">
        <f>'2'!AA72</f>
        <v>0</v>
      </c>
      <c r="F25" s="123">
        <f>'2'!AA27</f>
        <v>0</v>
      </c>
      <c r="G25" s="123">
        <f>'2'!DQ72</f>
        <v>0</v>
      </c>
      <c r="H25" s="123">
        <f>'2'!DQ119</f>
        <v>0</v>
      </c>
      <c r="I25" s="123">
        <f>'2'!DQ164</f>
        <v>0</v>
      </c>
      <c r="J25" s="124"/>
      <c r="K25" s="122">
        <v>-0.9</v>
      </c>
      <c r="L25" s="123">
        <f>'2'!AB211</f>
        <v>0</v>
      </c>
      <c r="M25" s="123">
        <f>'2'!AB164</f>
        <v>0</v>
      </c>
      <c r="N25" s="123">
        <f>'2'!AB119</f>
        <v>0</v>
      </c>
      <c r="O25" s="123">
        <f>'2'!AB72</f>
        <v>0</v>
      </c>
      <c r="P25" s="123">
        <f>'2'!AB27</f>
        <v>0</v>
      </c>
      <c r="Q25" s="123">
        <f>'2'!DR72</f>
        <v>0</v>
      </c>
      <c r="R25" s="123">
        <f>'2'!DR119</f>
        <v>0</v>
      </c>
      <c r="S25" s="123">
        <f>'2'!DR164</f>
        <v>0</v>
      </c>
      <c r="U25" s="122">
        <v>-0.9</v>
      </c>
      <c r="V25" s="123">
        <f>'2'!AC211</f>
        <v>0</v>
      </c>
      <c r="W25" s="123">
        <f>'2'!AC164</f>
        <v>0</v>
      </c>
      <c r="X25" s="123">
        <f>'2'!AC119</f>
        <v>0</v>
      </c>
      <c r="Y25" s="123">
        <f>'2'!AC72</f>
        <v>0</v>
      </c>
      <c r="Z25" s="123">
        <f>'2'!AC27</f>
        <v>0</v>
      </c>
      <c r="AA25" s="123">
        <f>'2'!DS72</f>
        <v>0</v>
      </c>
      <c r="AB25" s="123">
        <f>'2'!DS119</f>
        <v>0</v>
      </c>
      <c r="AC25" s="123">
        <f>'2'!DS164</f>
        <v>0</v>
      </c>
      <c r="AD25" s="124"/>
      <c r="AE25" s="124"/>
      <c r="AF25" s="122">
        <v>-0.9</v>
      </c>
      <c r="AG25" s="123">
        <f>'2'!AK211</f>
        <v>0</v>
      </c>
      <c r="AH25" s="123">
        <f>'2'!AK164</f>
        <v>0</v>
      </c>
      <c r="AI25" s="123">
        <f>'2'!AK119</f>
        <v>0</v>
      </c>
      <c r="AJ25" s="123">
        <f>'2'!AK72</f>
        <v>0</v>
      </c>
      <c r="AK25" s="123">
        <f>'2'!AK27</f>
        <v>0</v>
      </c>
      <c r="AL25" s="125">
        <f>'2'!EA72</f>
        <v>0</v>
      </c>
      <c r="AM25" s="125">
        <f>'2'!EA119</f>
        <v>0</v>
      </c>
      <c r="AN25" s="125">
        <f>'2'!EA164</f>
        <v>0</v>
      </c>
      <c r="AO25" s="127"/>
      <c r="AP25" s="127"/>
      <c r="AQ25" s="122">
        <v>-0.9</v>
      </c>
      <c r="AR25" s="123">
        <f>'2'!AM211</f>
        <v>0</v>
      </c>
      <c r="AS25" s="123">
        <f>'2'!AM164</f>
        <v>0</v>
      </c>
      <c r="AT25" s="123">
        <f>'2'!AM119</f>
        <v>0</v>
      </c>
      <c r="AU25" s="123">
        <f>'2'!AM72</f>
        <v>0</v>
      </c>
      <c r="AV25" s="123">
        <f>'2'!AM27</f>
        <v>0</v>
      </c>
      <c r="AW25" s="125">
        <f>'2'!EC72</f>
        <v>0</v>
      </c>
      <c r="AX25" s="125">
        <f>'2'!EC119</f>
        <v>0</v>
      </c>
      <c r="AY25" s="125">
        <f>'2'!EC164</f>
        <v>0</v>
      </c>
      <c r="AZ25" s="127"/>
      <c r="BA25" s="127"/>
      <c r="BB25" s="122">
        <v>-0.9</v>
      </c>
      <c r="BC25" s="123">
        <f>'2'!BF211</f>
        <v>0</v>
      </c>
      <c r="BD25" s="123">
        <f>'2'!BF164</f>
        <v>0</v>
      </c>
      <c r="BE25" s="123">
        <f>'2'!BF119</f>
        <v>0</v>
      </c>
      <c r="BF25" s="123" t="e">
        <f>'2'!BF72</f>
        <v>#DIV/0!</v>
      </c>
      <c r="BG25" s="123" t="e">
        <f>'2'!BF27</f>
        <v>#DIV/0!</v>
      </c>
      <c r="BH25" s="125">
        <f>'2'!EV72</f>
        <v>0</v>
      </c>
      <c r="BI25" s="125">
        <f>'2'!EV119</f>
        <v>0</v>
      </c>
      <c r="BJ25" s="125" t="e">
        <f>'2'!EV164</f>
        <v>#DIV/0!</v>
      </c>
      <c r="BK25" s="128"/>
      <c r="BL25" s="128"/>
      <c r="BM25" s="122">
        <v>-0.9</v>
      </c>
      <c r="BN25" s="123">
        <f>'2'!BG211</f>
        <v>0</v>
      </c>
      <c r="BO25" s="123">
        <f>'2'!BG164</f>
        <v>0</v>
      </c>
      <c r="BP25" s="123">
        <f>'2'!BG119</f>
        <v>0</v>
      </c>
      <c r="BQ25" s="123" t="e">
        <f>'2'!BG72</f>
        <v>#DIV/0!</v>
      </c>
      <c r="BR25" s="123" t="e">
        <f>'2'!BG27</f>
        <v>#DIV/0!</v>
      </c>
      <c r="BS25" s="125">
        <f>'2'!EW72</f>
        <v>0</v>
      </c>
      <c r="BT25" s="125">
        <f>'2'!EW119</f>
        <v>0</v>
      </c>
      <c r="BU25" s="125" t="e">
        <f>'2'!EW164</f>
        <v>#DIV/0!</v>
      </c>
      <c r="BV25" s="128"/>
      <c r="BW25" s="128"/>
      <c r="BX25" s="122">
        <v>-0.9</v>
      </c>
      <c r="BY25" s="123">
        <f>'2'!BH211</f>
        <v>0</v>
      </c>
      <c r="BZ25" s="123">
        <f>'2'!BH164</f>
        <v>0</v>
      </c>
      <c r="CA25" s="123">
        <f>'2'!BH119</f>
        <v>0</v>
      </c>
      <c r="CB25" s="123" t="e">
        <f>'2'!BH72</f>
        <v>#DIV/0!</v>
      </c>
      <c r="CC25" s="123" t="e">
        <f>'2'!BH27</f>
        <v>#DIV/0!</v>
      </c>
      <c r="CD25" s="125">
        <f>'2'!EX72</f>
        <v>0</v>
      </c>
      <c r="CE25" s="125">
        <f>'2'!EX119</f>
        <v>0</v>
      </c>
      <c r="CF25" s="125" t="e">
        <f>'2'!EX164</f>
        <v>#DIV/0!</v>
      </c>
    </row>
    <row r="26" spans="1:84" x14ac:dyDescent="0.25">
      <c r="A26" s="122">
        <v>-1</v>
      </c>
      <c r="B26" s="123">
        <v>0</v>
      </c>
      <c r="C26" s="123">
        <v>0</v>
      </c>
      <c r="D26" s="123">
        <v>0</v>
      </c>
      <c r="E26" s="123">
        <v>0</v>
      </c>
      <c r="F26" s="123">
        <v>0</v>
      </c>
      <c r="G26" s="123">
        <v>0</v>
      </c>
      <c r="H26" s="123">
        <v>0</v>
      </c>
      <c r="I26" s="123">
        <v>0</v>
      </c>
      <c r="J26" s="124"/>
      <c r="K26" s="122">
        <v>-1</v>
      </c>
      <c r="L26" s="123">
        <v>0</v>
      </c>
      <c r="M26" s="123">
        <v>0</v>
      </c>
      <c r="N26" s="123">
        <v>0</v>
      </c>
      <c r="O26" s="123">
        <v>0</v>
      </c>
      <c r="P26" s="123">
        <v>0</v>
      </c>
      <c r="Q26" s="123">
        <v>0</v>
      </c>
      <c r="R26" s="123">
        <v>0</v>
      </c>
      <c r="S26" s="123">
        <v>0</v>
      </c>
      <c r="U26" s="122">
        <v>-1</v>
      </c>
      <c r="V26" s="123">
        <f>'2'!AC212</f>
        <v>0</v>
      </c>
      <c r="W26" s="123">
        <f>'2'!AC165</f>
        <v>0</v>
      </c>
      <c r="X26" s="123">
        <f>'2'!AC120</f>
        <v>0</v>
      </c>
      <c r="Y26" s="123">
        <f>'2'!AC73</f>
        <v>0</v>
      </c>
      <c r="Z26" s="123">
        <f>'2'!AC28</f>
        <v>0</v>
      </c>
      <c r="AA26" s="123">
        <v>0</v>
      </c>
      <c r="AB26" s="123">
        <v>0</v>
      </c>
      <c r="AC26" s="123">
        <v>0</v>
      </c>
      <c r="AD26" s="124"/>
      <c r="AE26" s="124"/>
      <c r="AF26" s="122">
        <v>-1</v>
      </c>
      <c r="AG26" s="125">
        <v>0</v>
      </c>
      <c r="AH26" s="125">
        <v>0</v>
      </c>
      <c r="AI26" s="125">
        <v>0</v>
      </c>
      <c r="AJ26" s="125">
        <v>0</v>
      </c>
      <c r="AK26" s="125">
        <v>0</v>
      </c>
      <c r="AL26" s="125">
        <v>0</v>
      </c>
      <c r="AM26" s="125">
        <v>0</v>
      </c>
      <c r="AN26" s="125">
        <v>0</v>
      </c>
      <c r="AO26" s="127"/>
      <c r="AP26" s="127"/>
      <c r="AQ26" s="122">
        <v>-1</v>
      </c>
      <c r="AR26" s="125">
        <v>0</v>
      </c>
      <c r="AS26" s="125">
        <v>0</v>
      </c>
      <c r="AT26" s="125">
        <v>0</v>
      </c>
      <c r="AU26" s="125">
        <v>0</v>
      </c>
      <c r="AV26" s="125">
        <v>0</v>
      </c>
      <c r="AW26" s="125">
        <v>0</v>
      </c>
      <c r="AX26" s="125">
        <v>0</v>
      </c>
      <c r="AY26" s="125">
        <v>0</v>
      </c>
      <c r="AZ26" s="127"/>
      <c r="BA26" s="127"/>
      <c r="BB26" s="122">
        <v>-1</v>
      </c>
      <c r="BC26" s="125">
        <v>0</v>
      </c>
      <c r="BD26" s="125">
        <v>0</v>
      </c>
      <c r="BE26" s="125">
        <v>0</v>
      </c>
      <c r="BF26" s="125">
        <v>0</v>
      </c>
      <c r="BG26" s="125">
        <v>0</v>
      </c>
      <c r="BH26" s="125">
        <v>0</v>
      </c>
      <c r="BI26" s="125">
        <v>0</v>
      </c>
      <c r="BJ26" s="125">
        <v>0</v>
      </c>
      <c r="BK26" s="127"/>
      <c r="BL26" s="127"/>
      <c r="BM26" s="122">
        <v>-1</v>
      </c>
      <c r="BN26" s="125">
        <v>0</v>
      </c>
      <c r="BO26" s="125">
        <v>0</v>
      </c>
      <c r="BP26" s="125">
        <v>0</v>
      </c>
      <c r="BQ26" s="125">
        <v>0</v>
      </c>
      <c r="BR26" s="125">
        <v>0</v>
      </c>
      <c r="BS26" s="125">
        <v>0</v>
      </c>
      <c r="BT26" s="125">
        <v>0</v>
      </c>
      <c r="BU26" s="125">
        <v>0</v>
      </c>
      <c r="BV26" s="127"/>
      <c r="BW26" s="127"/>
      <c r="BX26" s="122">
        <v>-1</v>
      </c>
      <c r="BY26" s="125">
        <v>0</v>
      </c>
      <c r="BZ26" s="125">
        <v>0</v>
      </c>
      <c r="CA26" s="125">
        <v>0</v>
      </c>
      <c r="CB26" s="125">
        <v>0</v>
      </c>
      <c r="CC26" s="125">
        <v>0</v>
      </c>
      <c r="CD26" s="125">
        <v>0</v>
      </c>
      <c r="CE26" s="125">
        <v>0</v>
      </c>
      <c r="CF26" s="125">
        <v>0</v>
      </c>
    </row>
    <row r="27" spans="1:84" x14ac:dyDescent="0.25">
      <c r="H27" s="126" t="s">
        <v>160</v>
      </c>
      <c r="I27" s="126">
        <f>'2'!E246</f>
        <v>5.024399999999999E-2</v>
      </c>
      <c r="R27" s="126" t="s">
        <v>161</v>
      </c>
      <c r="S27" s="126">
        <f>'2'!F246</f>
        <v>0</v>
      </c>
      <c r="V27" s="124"/>
      <c r="AB27" s="126" t="s">
        <v>162</v>
      </c>
      <c r="AC27" s="126">
        <f>'2'!G246</f>
        <v>5.024399999999999E-2</v>
      </c>
      <c r="AG27" s="127"/>
      <c r="AH27" s="127"/>
      <c r="AI27" s="127"/>
      <c r="AJ27" s="127"/>
      <c r="AK27" s="127"/>
      <c r="AL27" s="127"/>
      <c r="AM27" s="125" t="s">
        <v>163</v>
      </c>
      <c r="AN27" s="125">
        <f>'2'!T249</f>
        <v>3.8861024865323905</v>
      </c>
      <c r="AO27" s="127"/>
      <c r="AP27" s="127"/>
      <c r="AQ27" s="127"/>
      <c r="AR27" s="127"/>
      <c r="AS27" s="127"/>
      <c r="AT27" s="127"/>
      <c r="AU27" s="127"/>
      <c r="AV27" s="127"/>
      <c r="AW27" s="127"/>
      <c r="AX27" s="125" t="s">
        <v>164</v>
      </c>
      <c r="AY27" s="125" t="e">
        <f>'2'!U249</f>
        <v>#DIV/0!</v>
      </c>
      <c r="AZ27" s="127"/>
      <c r="BA27" s="127"/>
      <c r="BB27" s="127"/>
      <c r="BC27" s="127"/>
      <c r="BD27" s="127"/>
      <c r="BE27" s="127"/>
      <c r="BF27" s="127"/>
      <c r="BG27" s="127"/>
      <c r="BH27" s="127"/>
      <c r="BI27" s="125"/>
      <c r="BJ27" s="125"/>
      <c r="BK27" s="127"/>
      <c r="BL27" s="127"/>
      <c r="BM27" s="127"/>
      <c r="BN27" s="127"/>
      <c r="BO27" s="127"/>
      <c r="BP27" s="127"/>
      <c r="BQ27" s="127"/>
      <c r="BR27" s="127"/>
      <c r="BS27" s="127"/>
      <c r="BT27" s="125"/>
      <c r="BU27" s="125"/>
      <c r="BV27" s="127"/>
      <c r="BW27" s="127"/>
      <c r="BX27" s="127"/>
      <c r="BY27" s="127"/>
      <c r="BZ27" s="127"/>
      <c r="CA27" s="127"/>
      <c r="CB27" s="127"/>
      <c r="CC27" s="127"/>
      <c r="CD27" s="127"/>
      <c r="CE27" s="127"/>
      <c r="CF27" s="127"/>
    </row>
    <row r="28" spans="1:84" x14ac:dyDescent="0.25">
      <c r="AG28" s="127"/>
      <c r="AH28" s="127"/>
      <c r="AI28" s="127"/>
      <c r="AJ28" s="127"/>
      <c r="AK28" s="127"/>
      <c r="AL28" s="127"/>
      <c r="AM28" s="127"/>
      <c r="AN28" s="127"/>
      <c r="AO28" s="127"/>
      <c r="AP28" s="127"/>
      <c r="AQ28" s="127"/>
      <c r="AR28" s="127"/>
      <c r="AS28" s="127"/>
      <c r="AT28" s="127"/>
      <c r="AU28" s="127"/>
      <c r="AV28" s="127"/>
      <c r="AW28" s="127"/>
      <c r="AX28" s="127"/>
      <c r="AY28" s="127"/>
      <c r="AZ28" s="127"/>
      <c r="BA28" s="127"/>
      <c r="BB28" s="127"/>
      <c r="BC28" s="127"/>
      <c r="BD28" s="127"/>
      <c r="BE28" s="127"/>
      <c r="BF28" s="127"/>
      <c r="BG28" s="127"/>
      <c r="BH28" s="127"/>
      <c r="BI28" s="127"/>
      <c r="BJ28" s="127"/>
      <c r="BK28" s="127"/>
      <c r="BL28" s="127"/>
      <c r="BM28" s="127"/>
      <c r="BN28" s="127"/>
      <c r="BO28" s="127"/>
      <c r="BP28" s="127"/>
      <c r="BQ28" s="127"/>
      <c r="BR28" s="127"/>
      <c r="BS28" s="127"/>
      <c r="BT28" s="127"/>
      <c r="BU28" s="127"/>
      <c r="BV28" s="127"/>
      <c r="BW28" s="127"/>
      <c r="BX28" s="127"/>
      <c r="BY28" s="127"/>
      <c r="BZ28" s="127"/>
      <c r="CA28" s="127"/>
      <c r="CB28" s="127"/>
      <c r="CC28" s="127"/>
      <c r="CD28" s="127"/>
      <c r="CE28" s="127"/>
      <c r="CF28" s="127"/>
    </row>
    <row r="29" spans="1:84" x14ac:dyDescent="0.25">
      <c r="AG29" s="127"/>
      <c r="AH29" s="127"/>
      <c r="AI29" s="127"/>
      <c r="AJ29" s="127"/>
      <c r="AK29" s="127"/>
      <c r="AL29" s="127"/>
      <c r="AM29" s="127"/>
      <c r="AN29" s="127"/>
      <c r="AO29" s="127"/>
      <c r="AP29" s="127"/>
      <c r="AQ29" s="127"/>
      <c r="AR29" s="127"/>
      <c r="AS29" s="127"/>
      <c r="AT29" s="127"/>
      <c r="AU29" s="127"/>
      <c r="AV29" s="127"/>
      <c r="AW29" s="127"/>
      <c r="AX29" s="127"/>
      <c r="AY29" s="127"/>
      <c r="AZ29" s="127"/>
      <c r="BA29" s="127"/>
      <c r="BB29" s="127"/>
      <c r="BC29" s="127"/>
      <c r="BD29" s="127"/>
      <c r="BE29" s="127"/>
      <c r="BF29" s="127"/>
      <c r="BG29" s="127"/>
      <c r="BH29" s="127"/>
      <c r="BI29" s="127"/>
      <c r="BJ29" s="127"/>
      <c r="BK29" s="127"/>
      <c r="BL29" s="127"/>
      <c r="BM29" s="127"/>
      <c r="BN29" s="127"/>
      <c r="BO29" s="127"/>
      <c r="BP29" s="127"/>
      <c r="BQ29" s="127"/>
      <c r="BR29" s="127"/>
      <c r="BS29" s="127"/>
      <c r="BT29" s="127"/>
      <c r="BU29" s="127"/>
      <c r="BV29" s="127"/>
      <c r="BW29" s="127"/>
      <c r="BX29" s="127"/>
      <c r="BY29" s="127"/>
      <c r="BZ29" s="127"/>
      <c r="CA29" s="127"/>
      <c r="CB29" s="127"/>
      <c r="CC29" s="127"/>
      <c r="CD29" s="127"/>
      <c r="CE29" s="127"/>
      <c r="CF29" s="127"/>
    </row>
    <row r="30" spans="1:84" ht="15" customHeight="1" x14ac:dyDescent="0.25">
      <c r="D30" s="255" t="s">
        <v>169</v>
      </c>
      <c r="E30" s="262"/>
      <c r="F30" s="262"/>
      <c r="G30" s="263"/>
      <c r="N30" s="255" t="s">
        <v>170</v>
      </c>
      <c r="O30" s="262"/>
      <c r="P30" s="262"/>
      <c r="Q30" s="263"/>
      <c r="X30" s="255" t="s">
        <v>171</v>
      </c>
      <c r="Y30" s="262"/>
      <c r="Z30" s="262"/>
      <c r="AA30" s="263"/>
      <c r="AG30" s="127"/>
      <c r="AH30" s="127"/>
      <c r="AI30" s="259" t="s">
        <v>172</v>
      </c>
      <c r="AJ30" s="260"/>
      <c r="AK30" s="260"/>
      <c r="AL30" s="261"/>
      <c r="AM30" s="127"/>
      <c r="AN30" s="127"/>
      <c r="AO30" s="127"/>
      <c r="AP30" s="127"/>
      <c r="AQ30" s="127"/>
      <c r="AR30" s="127"/>
      <c r="AS30" s="127"/>
      <c r="AT30" s="259" t="s">
        <v>173</v>
      </c>
      <c r="AU30" s="260"/>
      <c r="AV30" s="260"/>
      <c r="AW30" s="261"/>
      <c r="AX30" s="127"/>
      <c r="AY30" s="127"/>
      <c r="AZ30" s="127"/>
      <c r="BA30" s="127"/>
      <c r="BB30" s="127"/>
      <c r="BC30" s="127"/>
      <c r="BD30" s="127"/>
      <c r="BE30" s="259" t="s">
        <v>174</v>
      </c>
      <c r="BF30" s="260"/>
      <c r="BG30" s="260"/>
      <c r="BH30" s="261"/>
      <c r="BI30" s="127"/>
      <c r="BJ30" s="127"/>
      <c r="BK30" s="127"/>
      <c r="BL30" s="127"/>
      <c r="BM30" s="127"/>
      <c r="BN30" s="127"/>
      <c r="BO30" s="127"/>
      <c r="BP30" s="127"/>
      <c r="BQ30" s="127"/>
      <c r="BR30" s="127"/>
      <c r="BS30" s="127"/>
      <c r="BT30" s="127"/>
      <c r="BU30" s="127"/>
      <c r="BV30" s="127"/>
      <c r="BW30" s="127"/>
      <c r="BX30" s="127"/>
      <c r="BY30" s="127"/>
      <c r="BZ30" s="127"/>
      <c r="CA30" s="127"/>
      <c r="CB30" s="127"/>
      <c r="CC30" s="127"/>
      <c r="CD30" s="127"/>
      <c r="CE30" s="127"/>
      <c r="CF30" s="127"/>
    </row>
    <row r="31" spans="1:84" x14ac:dyDescent="0.25">
      <c r="AG31" s="127"/>
      <c r="AH31" s="127"/>
      <c r="AI31" s="127"/>
      <c r="AJ31" s="127"/>
      <c r="AK31" s="127"/>
      <c r="AL31" s="127"/>
      <c r="AM31" s="127"/>
      <c r="AN31" s="127"/>
      <c r="AO31" s="127"/>
      <c r="AP31" s="127"/>
      <c r="AQ31" s="127"/>
      <c r="AR31" s="127"/>
      <c r="AS31" s="127"/>
      <c r="AT31" s="127"/>
      <c r="AU31" s="127"/>
      <c r="AV31" s="127"/>
      <c r="AW31" s="127"/>
      <c r="AX31" s="127"/>
      <c r="AY31" s="127"/>
      <c r="AZ31" s="127"/>
      <c r="BA31" s="127"/>
      <c r="BB31" s="127"/>
      <c r="BC31" s="127"/>
      <c r="BD31" s="127"/>
      <c r="BE31" s="127"/>
      <c r="BF31" s="127"/>
      <c r="BG31" s="127"/>
      <c r="BH31" s="127"/>
      <c r="BI31" s="127"/>
      <c r="BJ31" s="127"/>
      <c r="BK31" s="127"/>
      <c r="BL31" s="127"/>
      <c r="BM31" s="127"/>
      <c r="BN31" s="127"/>
      <c r="BO31" s="127"/>
      <c r="BP31" s="127"/>
      <c r="BQ31" s="127"/>
      <c r="BR31" s="127"/>
      <c r="BS31" s="127"/>
      <c r="BT31" s="127"/>
      <c r="BU31" s="127"/>
      <c r="BV31" s="127"/>
      <c r="BW31" s="127"/>
      <c r="BX31" s="127"/>
      <c r="BY31" s="127"/>
      <c r="BZ31" s="127"/>
      <c r="CA31" s="127"/>
      <c r="CB31" s="127"/>
      <c r="CC31" s="127"/>
      <c r="CD31" s="127"/>
      <c r="CE31" s="127"/>
      <c r="CF31" s="127"/>
    </row>
    <row r="32" spans="1:84" x14ac:dyDescent="0.25">
      <c r="B32" s="258" t="s">
        <v>126</v>
      </c>
      <c r="C32" s="258"/>
      <c r="D32" s="258"/>
      <c r="E32" s="258"/>
      <c r="F32" s="258"/>
      <c r="G32" s="258"/>
      <c r="H32" s="258"/>
      <c r="I32" s="258"/>
      <c r="L32" s="258" t="s">
        <v>126</v>
      </c>
      <c r="M32" s="258"/>
      <c r="N32" s="258"/>
      <c r="O32" s="258"/>
      <c r="P32" s="258"/>
      <c r="Q32" s="258"/>
      <c r="R32" s="258"/>
      <c r="S32" s="258"/>
      <c r="V32" s="258" t="s">
        <v>126</v>
      </c>
      <c r="W32" s="258"/>
      <c r="X32" s="258"/>
      <c r="Y32" s="258"/>
      <c r="Z32" s="258"/>
      <c r="AA32" s="258"/>
      <c r="AB32" s="258"/>
      <c r="AC32" s="258"/>
      <c r="AG32" s="258" t="s">
        <v>126</v>
      </c>
      <c r="AH32" s="258"/>
      <c r="AI32" s="258"/>
      <c r="AJ32" s="258"/>
      <c r="AK32" s="258"/>
      <c r="AL32" s="258"/>
      <c r="AM32" s="258"/>
      <c r="AN32" s="258"/>
      <c r="AR32" s="258" t="s">
        <v>126</v>
      </c>
      <c r="AS32" s="258"/>
      <c r="AT32" s="258"/>
      <c r="AU32" s="258"/>
      <c r="AV32" s="258"/>
      <c r="AW32" s="258"/>
      <c r="AX32" s="258"/>
      <c r="AY32" s="258"/>
      <c r="BC32" s="258" t="s">
        <v>126</v>
      </c>
      <c r="BD32" s="258"/>
      <c r="BE32" s="258"/>
      <c r="BF32" s="258"/>
      <c r="BG32" s="258"/>
      <c r="BH32" s="258"/>
      <c r="BI32" s="258"/>
      <c r="BJ32" s="258"/>
      <c r="BK32" s="127"/>
      <c r="BL32" s="127"/>
      <c r="BM32" s="127"/>
      <c r="BN32" s="127"/>
      <c r="BO32" s="127"/>
      <c r="BP32" s="127"/>
      <c r="BQ32" s="127"/>
      <c r="BR32" s="127"/>
      <c r="BS32" s="127"/>
      <c r="BT32" s="127"/>
      <c r="BU32" s="127"/>
      <c r="BV32" s="127"/>
      <c r="BW32" s="127"/>
      <c r="BX32" s="127"/>
      <c r="BY32" s="127"/>
      <c r="BZ32" s="127"/>
      <c r="CA32" s="127"/>
      <c r="CB32" s="127"/>
      <c r="CC32" s="127"/>
      <c r="CD32" s="127"/>
      <c r="CE32" s="127"/>
      <c r="CF32" s="127"/>
    </row>
    <row r="33" spans="1:84" x14ac:dyDescent="0.25">
      <c r="A33" s="120" t="s">
        <v>14</v>
      </c>
      <c r="B33" s="121">
        <v>0</v>
      </c>
      <c r="C33" s="121">
        <v>22.5</v>
      </c>
      <c r="D33" s="121">
        <v>45</v>
      </c>
      <c r="E33" s="121">
        <v>67.5</v>
      </c>
      <c r="F33" s="120">
        <v>90</v>
      </c>
      <c r="G33" s="120">
        <v>112.5</v>
      </c>
      <c r="H33" s="120">
        <v>135</v>
      </c>
      <c r="I33" s="120">
        <v>157.5</v>
      </c>
      <c r="K33" s="120" t="s">
        <v>14</v>
      </c>
      <c r="L33" s="121">
        <v>0</v>
      </c>
      <c r="M33" s="121">
        <v>22.5</v>
      </c>
      <c r="N33" s="121">
        <v>45</v>
      </c>
      <c r="O33" s="121">
        <v>67.5</v>
      </c>
      <c r="P33" s="120">
        <v>90</v>
      </c>
      <c r="Q33" s="120">
        <v>112.5</v>
      </c>
      <c r="R33" s="120">
        <v>135</v>
      </c>
      <c r="S33" s="120">
        <v>157.5</v>
      </c>
      <c r="U33" s="120" t="s">
        <v>14</v>
      </c>
      <c r="V33" s="121">
        <v>0</v>
      </c>
      <c r="W33" s="121">
        <v>22.5</v>
      </c>
      <c r="X33" s="121">
        <v>45</v>
      </c>
      <c r="Y33" s="121">
        <v>67.5</v>
      </c>
      <c r="Z33" s="120">
        <v>90</v>
      </c>
      <c r="AA33" s="120">
        <v>112.5</v>
      </c>
      <c r="AB33" s="120">
        <v>135</v>
      </c>
      <c r="AC33" s="120">
        <v>157.5</v>
      </c>
      <c r="AF33" s="120" t="s">
        <v>14</v>
      </c>
      <c r="AG33" s="121">
        <v>0</v>
      </c>
      <c r="AH33" s="121">
        <v>22.5</v>
      </c>
      <c r="AI33" s="121">
        <v>45</v>
      </c>
      <c r="AJ33" s="121">
        <v>67.5</v>
      </c>
      <c r="AK33" s="120">
        <v>90</v>
      </c>
      <c r="AL33" s="120">
        <v>112.5</v>
      </c>
      <c r="AM33" s="120">
        <v>135</v>
      </c>
      <c r="AN33" s="120">
        <v>157.5</v>
      </c>
      <c r="AQ33" s="120" t="s">
        <v>14</v>
      </c>
      <c r="AR33" s="121">
        <v>0</v>
      </c>
      <c r="AS33" s="121">
        <v>22.5</v>
      </c>
      <c r="AT33" s="121">
        <v>45</v>
      </c>
      <c r="AU33" s="121">
        <v>67.5</v>
      </c>
      <c r="AV33" s="120">
        <v>90</v>
      </c>
      <c r="AW33" s="120">
        <v>112.5</v>
      </c>
      <c r="AX33" s="120">
        <v>135</v>
      </c>
      <c r="AY33" s="120">
        <v>157.5</v>
      </c>
      <c r="BB33" s="120" t="s">
        <v>14</v>
      </c>
      <c r="BC33" s="121">
        <v>0</v>
      </c>
      <c r="BD33" s="121">
        <v>22.5</v>
      </c>
      <c r="BE33" s="121">
        <v>45</v>
      </c>
      <c r="BF33" s="121">
        <v>67.5</v>
      </c>
      <c r="BG33" s="120">
        <v>90</v>
      </c>
      <c r="BH33" s="120">
        <v>112.5</v>
      </c>
      <c r="BI33" s="120">
        <v>135</v>
      </c>
      <c r="BJ33" s="120">
        <v>157.5</v>
      </c>
      <c r="BK33" s="127"/>
      <c r="BL33" s="127"/>
      <c r="BM33" s="127"/>
      <c r="BN33" s="127"/>
      <c r="BO33" s="127"/>
      <c r="BP33" s="127"/>
      <c r="BQ33" s="127"/>
      <c r="BR33" s="127"/>
      <c r="BS33" s="127"/>
      <c r="BT33" s="127"/>
      <c r="BU33" s="127"/>
      <c r="BV33" s="127"/>
      <c r="BW33" s="127"/>
      <c r="BX33" s="127"/>
      <c r="BY33" s="127"/>
      <c r="BZ33" s="127"/>
      <c r="CA33" s="127"/>
      <c r="CB33" s="127"/>
      <c r="CC33" s="127"/>
      <c r="CD33" s="127"/>
      <c r="CE33" s="127"/>
      <c r="CF33" s="127"/>
    </row>
    <row r="34" spans="1:84" x14ac:dyDescent="0.25">
      <c r="A34" s="122">
        <v>1</v>
      </c>
      <c r="B34" s="123">
        <v>0</v>
      </c>
      <c r="C34" s="123">
        <v>0</v>
      </c>
      <c r="D34" s="123">
        <v>0</v>
      </c>
      <c r="E34" s="123">
        <v>0</v>
      </c>
      <c r="F34" s="123">
        <v>0</v>
      </c>
      <c r="G34" s="123">
        <v>0</v>
      </c>
      <c r="H34" s="123">
        <v>0</v>
      </c>
      <c r="I34" s="123">
        <v>0</v>
      </c>
      <c r="J34" s="124"/>
      <c r="K34" s="122">
        <v>1</v>
      </c>
      <c r="L34" s="123">
        <v>0</v>
      </c>
      <c r="M34" s="123">
        <v>0</v>
      </c>
      <c r="N34" s="123">
        <v>0</v>
      </c>
      <c r="O34" s="123">
        <v>0</v>
      </c>
      <c r="P34" s="123">
        <v>0</v>
      </c>
      <c r="Q34" s="123">
        <v>0</v>
      </c>
      <c r="R34" s="123">
        <v>0</v>
      </c>
      <c r="S34" s="123">
        <v>0</v>
      </c>
      <c r="U34" s="122">
        <v>1</v>
      </c>
      <c r="V34" s="123">
        <f>'2'!AJ192</f>
        <v>0</v>
      </c>
      <c r="W34" s="123">
        <f>'2'!AJ145</f>
        <v>0</v>
      </c>
      <c r="X34" s="123">
        <f>'2'!AJ100</f>
        <v>0</v>
      </c>
      <c r="Y34" s="123">
        <f>'2'!AJ53</f>
        <v>0</v>
      </c>
      <c r="Z34" s="123">
        <f>'2'!AJ8</f>
        <v>0</v>
      </c>
      <c r="AA34" s="123">
        <v>0</v>
      </c>
      <c r="AB34" s="123">
        <v>0</v>
      </c>
      <c r="AC34" s="123">
        <v>0</v>
      </c>
      <c r="AD34" s="124"/>
      <c r="AE34" s="124"/>
      <c r="AF34" s="122">
        <v>1</v>
      </c>
      <c r="AG34" s="125">
        <v>0</v>
      </c>
      <c r="AH34" s="125">
        <v>0</v>
      </c>
      <c r="AI34" s="125">
        <v>0</v>
      </c>
      <c r="AJ34" s="125">
        <v>0</v>
      </c>
      <c r="AK34" s="125">
        <v>0</v>
      </c>
      <c r="AL34" s="125">
        <v>0</v>
      </c>
      <c r="AM34" s="125">
        <v>0</v>
      </c>
      <c r="AN34" s="125">
        <v>0</v>
      </c>
      <c r="AQ34" s="122">
        <v>1</v>
      </c>
      <c r="AR34" s="125">
        <v>0</v>
      </c>
      <c r="AS34" s="125">
        <v>0</v>
      </c>
      <c r="AT34" s="125">
        <v>0</v>
      </c>
      <c r="AU34" s="125">
        <v>0</v>
      </c>
      <c r="AV34" s="125">
        <v>0</v>
      </c>
      <c r="AW34" s="125">
        <v>0</v>
      </c>
      <c r="AX34" s="125">
        <v>0</v>
      </c>
      <c r="AY34" s="125">
        <v>0</v>
      </c>
      <c r="BB34" s="122">
        <v>1</v>
      </c>
      <c r="BC34" s="125">
        <v>0</v>
      </c>
      <c r="BD34" s="125">
        <v>0</v>
      </c>
      <c r="BE34" s="125">
        <v>0</v>
      </c>
      <c r="BF34" s="125">
        <v>0</v>
      </c>
      <c r="BG34" s="125">
        <v>0</v>
      </c>
      <c r="BH34" s="125">
        <v>0</v>
      </c>
      <c r="BI34" s="125">
        <v>0</v>
      </c>
      <c r="BJ34" s="125">
        <v>0</v>
      </c>
      <c r="BK34" s="127"/>
      <c r="BL34" s="127"/>
      <c r="BM34" s="127"/>
      <c r="BN34" s="127"/>
      <c r="BO34" s="127"/>
      <c r="BP34" s="127"/>
      <c r="BQ34" s="127"/>
      <c r="BR34" s="127"/>
      <c r="BS34" s="127"/>
      <c r="BT34" s="127"/>
      <c r="BU34" s="127"/>
      <c r="BV34" s="127"/>
      <c r="BW34" s="127"/>
      <c r="BX34" s="127"/>
      <c r="BY34" s="127"/>
      <c r="BZ34" s="127"/>
      <c r="CA34" s="127"/>
      <c r="CB34" s="127"/>
      <c r="CC34" s="127"/>
      <c r="CD34" s="127"/>
      <c r="CE34" s="127"/>
      <c r="CF34" s="127"/>
    </row>
    <row r="35" spans="1:84" x14ac:dyDescent="0.25">
      <c r="A35" s="122">
        <v>0.9</v>
      </c>
      <c r="B35" s="123">
        <f>'2'!AH193</f>
        <v>0</v>
      </c>
      <c r="C35" s="123">
        <f>'2'!AH146</f>
        <v>0</v>
      </c>
      <c r="D35" s="123">
        <f>'2'!AH101</f>
        <v>0</v>
      </c>
      <c r="E35" s="123">
        <f>'2'!AH54</f>
        <v>0</v>
      </c>
      <c r="F35" s="123">
        <f>'2'!AH9</f>
        <v>150.22999999999999</v>
      </c>
      <c r="G35" s="123">
        <f>'2'!DX54</f>
        <v>0</v>
      </c>
      <c r="H35" s="123">
        <f>'2'!DX101</f>
        <v>0</v>
      </c>
      <c r="I35" s="123">
        <f>'2'!DX146</f>
        <v>0</v>
      </c>
      <c r="J35" s="124"/>
      <c r="K35" s="122">
        <v>0.9</v>
      </c>
      <c r="L35" s="123">
        <f>'2'!AI193</f>
        <v>0</v>
      </c>
      <c r="M35" s="123">
        <f>'2'!AI146</f>
        <v>0</v>
      </c>
      <c r="N35" s="123">
        <f>'2'!AI101</f>
        <v>0</v>
      </c>
      <c r="O35" s="123">
        <f>'2'!AI54</f>
        <v>0</v>
      </c>
      <c r="P35" s="123">
        <f>'2'!AI9</f>
        <v>0</v>
      </c>
      <c r="Q35" s="123">
        <f>'2'!DY54</f>
        <v>0</v>
      </c>
      <c r="R35" s="123">
        <f>'2'!DY101</f>
        <v>0</v>
      </c>
      <c r="S35" s="123">
        <f>'2'!DY146</f>
        <v>0</v>
      </c>
      <c r="U35" s="122">
        <v>0.9</v>
      </c>
      <c r="V35" s="123">
        <f>'2'!AJ193</f>
        <v>0</v>
      </c>
      <c r="W35" s="123">
        <f>'2'!AJ146</f>
        <v>0</v>
      </c>
      <c r="X35" s="123">
        <f>'2'!AJ101</f>
        <v>0</v>
      </c>
      <c r="Y35" s="123">
        <f>'2'!AJ54</f>
        <v>0</v>
      </c>
      <c r="Z35" s="123">
        <f>'2'!AJ9</f>
        <v>150.22999999999999</v>
      </c>
      <c r="AA35" s="123">
        <f>'2'!DZ54</f>
        <v>0</v>
      </c>
      <c r="AB35" s="123">
        <f>'2'!DZ101</f>
        <v>0</v>
      </c>
      <c r="AC35" s="123">
        <f>'2'!DZ146</f>
        <v>0</v>
      </c>
      <c r="AD35" s="124"/>
      <c r="AE35" s="124"/>
      <c r="AF35" s="122">
        <v>0.9</v>
      </c>
      <c r="AG35" s="125">
        <f>'2'!AO193</f>
        <v>0</v>
      </c>
      <c r="AH35" s="125">
        <f>'2'!AO146</f>
        <v>0</v>
      </c>
      <c r="AI35" s="125">
        <f>'2'!AO101</f>
        <v>0</v>
      </c>
      <c r="AJ35" s="125">
        <f>'2'!AO54</f>
        <v>0</v>
      </c>
      <c r="AK35" s="125">
        <f>'2'!AO9</f>
        <v>0.98499999999999999</v>
      </c>
      <c r="AL35" s="125">
        <f>'2'!EE54</f>
        <v>0</v>
      </c>
      <c r="AM35" s="125">
        <f>'2'!EE101</f>
        <v>0</v>
      </c>
      <c r="AN35" s="125">
        <f>'2'!EE146</f>
        <v>0</v>
      </c>
      <c r="AO35" s="127"/>
      <c r="AP35" s="127"/>
      <c r="AQ35" s="122">
        <v>0.9</v>
      </c>
      <c r="AR35" s="125">
        <f>'2'!AP193</f>
        <v>0</v>
      </c>
      <c r="AS35" s="125">
        <f>'2'!AP146</f>
        <v>0</v>
      </c>
      <c r="AT35" s="125">
        <f>'2'!AP101</f>
        <v>0</v>
      </c>
      <c r="AU35" s="125">
        <f>'2'!AP54</f>
        <v>0</v>
      </c>
      <c r="AV35" s="125">
        <f>'2'!AP9</f>
        <v>0</v>
      </c>
      <c r="AW35" s="125">
        <f>'2'!EF54</f>
        <v>0</v>
      </c>
      <c r="AX35" s="125">
        <f>'2'!EF101</f>
        <v>0</v>
      </c>
      <c r="AY35" s="125">
        <f>'2'!EF146</f>
        <v>0</v>
      </c>
      <c r="AZ35" s="127"/>
      <c r="BA35" s="127"/>
      <c r="BB35" s="122">
        <v>0.9</v>
      </c>
      <c r="BC35" s="123">
        <f>'2'!AS193</f>
        <v>0</v>
      </c>
      <c r="BD35" s="123">
        <f>'2'!AS146</f>
        <v>0</v>
      </c>
      <c r="BE35" s="123">
        <f>'2'!AS101</f>
        <v>0</v>
      </c>
      <c r="BF35" s="123">
        <f>'2'!AS54</f>
        <v>0</v>
      </c>
      <c r="BG35" s="123">
        <f>'2'!AS9</f>
        <v>0.223</v>
      </c>
      <c r="BH35" s="123">
        <f>'2'!EI54</f>
        <v>0</v>
      </c>
      <c r="BI35" s="123">
        <f>'2'!EI101</f>
        <v>0</v>
      </c>
      <c r="BJ35" s="123">
        <f>'2'!EI146</f>
        <v>0</v>
      </c>
      <c r="BK35" s="127"/>
      <c r="BL35" s="127"/>
      <c r="BM35" s="127"/>
      <c r="BN35" s="127"/>
      <c r="BO35" s="127"/>
      <c r="BP35" s="127"/>
      <c r="BQ35" s="127"/>
      <c r="BR35" s="127"/>
      <c r="BS35" s="127"/>
      <c r="BT35" s="127"/>
      <c r="BU35" s="127"/>
      <c r="BV35" s="127"/>
      <c r="BW35" s="127"/>
      <c r="BX35" s="127"/>
      <c r="BY35" s="127"/>
      <c r="BZ35" s="127"/>
      <c r="CA35" s="127"/>
      <c r="CB35" s="127"/>
      <c r="CC35" s="127"/>
      <c r="CD35" s="127"/>
      <c r="CE35" s="127"/>
      <c r="CF35" s="127"/>
    </row>
    <row r="36" spans="1:84" x14ac:dyDescent="0.25">
      <c r="A36" s="122">
        <v>0.8</v>
      </c>
      <c r="B36" s="123">
        <f>'2'!AH194</f>
        <v>0</v>
      </c>
      <c r="C36" s="123">
        <f>'2'!AH147</f>
        <v>0</v>
      </c>
      <c r="D36" s="123">
        <f>'2'!AH102</f>
        <v>0</v>
      </c>
      <c r="E36" s="123">
        <f>'2'!AH55</f>
        <v>0</v>
      </c>
      <c r="F36" s="123">
        <f>'2'!AH10</f>
        <v>198.24</v>
      </c>
      <c r="G36" s="123">
        <f>'2'!DX55</f>
        <v>0</v>
      </c>
      <c r="H36" s="123">
        <f>'2'!DX102</f>
        <v>0</v>
      </c>
      <c r="I36" s="123">
        <f>'2'!DX147</f>
        <v>0</v>
      </c>
      <c r="J36" s="124"/>
      <c r="K36" s="122">
        <v>0.8</v>
      </c>
      <c r="L36" s="123">
        <f>'2'!AI194</f>
        <v>0</v>
      </c>
      <c r="M36" s="123">
        <f>'2'!AI147</f>
        <v>0</v>
      </c>
      <c r="N36" s="123">
        <f>'2'!AI102</f>
        <v>0</v>
      </c>
      <c r="O36" s="123">
        <f>'2'!AI55</f>
        <v>0</v>
      </c>
      <c r="P36" s="123">
        <f>'2'!AI10</f>
        <v>0</v>
      </c>
      <c r="Q36" s="123">
        <f>'2'!DY55</f>
        <v>0</v>
      </c>
      <c r="R36" s="123">
        <f>'2'!DY102</f>
        <v>0</v>
      </c>
      <c r="S36" s="123">
        <f>'2'!DY147</f>
        <v>0</v>
      </c>
      <c r="U36" s="122">
        <v>0.8</v>
      </c>
      <c r="V36" s="123">
        <f>'2'!AJ194</f>
        <v>0</v>
      </c>
      <c r="W36" s="123">
        <f>'2'!AJ147</f>
        <v>0</v>
      </c>
      <c r="X36" s="123">
        <f>'2'!AJ102</f>
        <v>0</v>
      </c>
      <c r="Y36" s="123">
        <f>'2'!AJ55</f>
        <v>0</v>
      </c>
      <c r="Z36" s="123">
        <f>'2'!AJ10</f>
        <v>198.24</v>
      </c>
      <c r="AA36" s="123">
        <f>'2'!DZ55</f>
        <v>0</v>
      </c>
      <c r="AB36" s="123">
        <f>'2'!DZ102</f>
        <v>0</v>
      </c>
      <c r="AC36" s="123">
        <f>'2'!DZ147</f>
        <v>0</v>
      </c>
      <c r="AD36" s="124"/>
      <c r="AE36" s="124"/>
      <c r="AF36" s="122">
        <v>0.8</v>
      </c>
      <c r="AG36" s="125">
        <f>'2'!AO194</f>
        <v>0</v>
      </c>
      <c r="AH36" s="125">
        <f>'2'!AO147</f>
        <v>0</v>
      </c>
      <c r="AI36" s="125">
        <f>'2'!AO102</f>
        <v>0</v>
      </c>
      <c r="AJ36" s="125">
        <f>'2'!AO55</f>
        <v>0</v>
      </c>
      <c r="AK36" s="125">
        <f>'2'!AO10</f>
        <v>0.995</v>
      </c>
      <c r="AL36" s="125">
        <f>'2'!EE55</f>
        <v>0</v>
      </c>
      <c r="AM36" s="125">
        <f>'2'!EE102</f>
        <v>0</v>
      </c>
      <c r="AN36" s="125">
        <f>'2'!EE147</f>
        <v>0</v>
      </c>
      <c r="AO36" s="127"/>
      <c r="AP36" s="127"/>
      <c r="AQ36" s="122">
        <v>0.8</v>
      </c>
      <c r="AR36" s="125">
        <f>'2'!AP194</f>
        <v>0</v>
      </c>
      <c r="AS36" s="125">
        <f>'2'!AP147</f>
        <v>0</v>
      </c>
      <c r="AT36" s="125">
        <f>'2'!AP102</f>
        <v>0</v>
      </c>
      <c r="AU36" s="125">
        <f>'2'!AP55</f>
        <v>0</v>
      </c>
      <c r="AV36" s="125">
        <f>'2'!AP10</f>
        <v>0</v>
      </c>
      <c r="AW36" s="125">
        <f>'2'!EF55</f>
        <v>0</v>
      </c>
      <c r="AX36" s="125">
        <f>'2'!EF102</f>
        <v>0</v>
      </c>
      <c r="AY36" s="125">
        <f>'2'!EF147</f>
        <v>0</v>
      </c>
      <c r="AZ36" s="127"/>
      <c r="BA36" s="127"/>
      <c r="BB36" s="122">
        <v>0.8</v>
      </c>
      <c r="BC36" s="123">
        <f>'2'!AS194</f>
        <v>0</v>
      </c>
      <c r="BD36" s="123">
        <f>'2'!AS147</f>
        <v>0</v>
      </c>
      <c r="BE36" s="123">
        <f>'2'!AS102</f>
        <v>0</v>
      </c>
      <c r="BF36" s="123">
        <f>'2'!AS55</f>
        <v>0</v>
      </c>
      <c r="BG36" s="123">
        <f>'2'!AS10</f>
        <v>0.248</v>
      </c>
      <c r="BH36" s="123">
        <f>'2'!EI55</f>
        <v>0</v>
      </c>
      <c r="BI36" s="123">
        <f>'2'!EI102</f>
        <v>0</v>
      </c>
      <c r="BJ36" s="123">
        <f>'2'!EI147</f>
        <v>0</v>
      </c>
      <c r="BK36" s="127"/>
      <c r="BL36" s="127"/>
      <c r="BM36" s="127"/>
      <c r="BN36" s="127"/>
      <c r="BO36" s="127"/>
      <c r="BP36" s="127"/>
      <c r="BQ36" s="127"/>
      <c r="BR36" s="127"/>
      <c r="BS36" s="127"/>
      <c r="BT36" s="127"/>
      <c r="BU36" s="127"/>
      <c r="BV36" s="127"/>
      <c r="BW36" s="127"/>
      <c r="BX36" s="127"/>
      <c r="BY36" s="127"/>
      <c r="BZ36" s="127"/>
      <c r="CA36" s="127"/>
      <c r="CB36" s="127"/>
      <c r="CC36" s="127"/>
      <c r="CD36" s="127"/>
      <c r="CE36" s="127"/>
      <c r="CF36" s="127"/>
    </row>
    <row r="37" spans="1:84" x14ac:dyDescent="0.25">
      <c r="A37" s="122">
        <v>0.7</v>
      </c>
      <c r="B37" s="123">
        <f>'2'!AH195</f>
        <v>0</v>
      </c>
      <c r="C37" s="123">
        <f>'2'!AH148</f>
        <v>0</v>
      </c>
      <c r="D37" s="123">
        <f>'2'!AH103</f>
        <v>0</v>
      </c>
      <c r="E37" s="123">
        <f>'2'!AH56</f>
        <v>0</v>
      </c>
      <c r="F37" s="123">
        <f>'2'!AH11</f>
        <v>197.67</v>
      </c>
      <c r="G37" s="123">
        <f>'2'!DX56</f>
        <v>0</v>
      </c>
      <c r="H37" s="123">
        <f>'2'!DX103</f>
        <v>0</v>
      </c>
      <c r="I37" s="123">
        <f>'2'!DX148</f>
        <v>0</v>
      </c>
      <c r="J37" s="124"/>
      <c r="K37" s="122">
        <v>0.7</v>
      </c>
      <c r="L37" s="123">
        <f>'2'!AI195</f>
        <v>0</v>
      </c>
      <c r="M37" s="123">
        <f>'2'!AI148</f>
        <v>0</v>
      </c>
      <c r="N37" s="123">
        <f>'2'!AI103</f>
        <v>0</v>
      </c>
      <c r="O37" s="123">
        <f>'2'!AI56</f>
        <v>0</v>
      </c>
      <c r="P37" s="123">
        <f>'2'!AI11</f>
        <v>0</v>
      </c>
      <c r="Q37" s="123">
        <f>'2'!DY56</f>
        <v>0</v>
      </c>
      <c r="R37" s="123">
        <f>'2'!DY103</f>
        <v>0</v>
      </c>
      <c r="S37" s="123">
        <f>'2'!DY148</f>
        <v>0</v>
      </c>
      <c r="U37" s="122">
        <v>0.7</v>
      </c>
      <c r="V37" s="123">
        <f>'2'!AJ195</f>
        <v>0</v>
      </c>
      <c r="W37" s="123">
        <f>'2'!AJ148</f>
        <v>0</v>
      </c>
      <c r="X37" s="123">
        <f>'2'!AJ103</f>
        <v>0</v>
      </c>
      <c r="Y37" s="123">
        <f>'2'!AJ56</f>
        <v>0</v>
      </c>
      <c r="Z37" s="123">
        <f>'2'!AJ11</f>
        <v>197.67</v>
      </c>
      <c r="AA37" s="123">
        <f>'2'!DZ56</f>
        <v>0</v>
      </c>
      <c r="AB37" s="123">
        <f>'2'!DZ103</f>
        <v>0</v>
      </c>
      <c r="AC37" s="123">
        <f>'2'!DZ148</f>
        <v>0</v>
      </c>
      <c r="AD37" s="124"/>
      <c r="AE37" s="124"/>
      <c r="AF37" s="122">
        <v>0.7</v>
      </c>
      <c r="AG37" s="125">
        <f>'2'!AO195</f>
        <v>0</v>
      </c>
      <c r="AH37" s="125">
        <f>'2'!AO148</f>
        <v>0</v>
      </c>
      <c r="AI37" s="125">
        <f>'2'!AO103</f>
        <v>0</v>
      </c>
      <c r="AJ37" s="125">
        <f>'2'!AO56</f>
        <v>0</v>
      </c>
      <c r="AK37" s="125">
        <f>'2'!AO11</f>
        <v>1.016</v>
      </c>
      <c r="AL37" s="125">
        <f>'2'!EE56</f>
        <v>0</v>
      </c>
      <c r="AM37" s="125">
        <f>'2'!EE103</f>
        <v>0</v>
      </c>
      <c r="AN37" s="125">
        <f>'2'!EE148</f>
        <v>0</v>
      </c>
      <c r="AO37" s="127"/>
      <c r="AP37" s="127"/>
      <c r="AQ37" s="122">
        <v>0.7</v>
      </c>
      <c r="AR37" s="125">
        <f>'2'!AP195</f>
        <v>0</v>
      </c>
      <c r="AS37" s="125">
        <f>'2'!AP148</f>
        <v>0</v>
      </c>
      <c r="AT37" s="125">
        <f>'2'!AP103</f>
        <v>0</v>
      </c>
      <c r="AU37" s="125">
        <f>'2'!AP56</f>
        <v>0</v>
      </c>
      <c r="AV37" s="125">
        <f>'2'!AP11</f>
        <v>0</v>
      </c>
      <c r="AW37" s="125">
        <f>'2'!EF56</f>
        <v>0</v>
      </c>
      <c r="AX37" s="125">
        <f>'2'!EF103</f>
        <v>0</v>
      </c>
      <c r="AY37" s="125">
        <f>'2'!EF148</f>
        <v>0</v>
      </c>
      <c r="AZ37" s="127"/>
      <c r="BA37" s="127"/>
      <c r="BB37" s="122">
        <v>0.7</v>
      </c>
      <c r="BC37" s="123">
        <f>'2'!AS195</f>
        <v>0</v>
      </c>
      <c r="BD37" s="123">
        <f>'2'!AS148</f>
        <v>0</v>
      </c>
      <c r="BE37" s="123">
        <f>'2'!AS103</f>
        <v>0</v>
      </c>
      <c r="BF37" s="123">
        <f>'2'!AS56</f>
        <v>0</v>
      </c>
      <c r="BG37" s="123">
        <f>'2'!AS11</f>
        <v>0.28699999999999998</v>
      </c>
      <c r="BH37" s="123">
        <f>'2'!EI56</f>
        <v>0</v>
      </c>
      <c r="BI37" s="123">
        <f>'2'!EI103</f>
        <v>0</v>
      </c>
      <c r="BJ37" s="123">
        <f>'2'!EI148</f>
        <v>0</v>
      </c>
      <c r="BK37" s="127"/>
      <c r="BL37" s="127"/>
      <c r="BM37" s="127"/>
      <c r="BN37" s="127"/>
      <c r="BO37" s="127"/>
      <c r="BP37" s="127"/>
      <c r="BQ37" s="127"/>
      <c r="BR37" s="127"/>
      <c r="BS37" s="127"/>
      <c r="BT37" s="127"/>
      <c r="BU37" s="127"/>
      <c r="BV37" s="127"/>
      <c r="BW37" s="127"/>
      <c r="BX37" s="127"/>
      <c r="BY37" s="127"/>
      <c r="BZ37" s="127"/>
      <c r="CA37" s="127"/>
      <c r="CB37" s="127"/>
      <c r="CC37" s="127"/>
      <c r="CD37" s="127"/>
      <c r="CE37" s="127"/>
      <c r="CF37" s="127"/>
    </row>
    <row r="38" spans="1:84" x14ac:dyDescent="0.25">
      <c r="A38" s="122">
        <v>0.6</v>
      </c>
      <c r="B38" s="123">
        <f>'2'!AH196</f>
        <v>0</v>
      </c>
      <c r="C38" s="123">
        <f>'2'!AH149</f>
        <v>0</v>
      </c>
      <c r="D38" s="123">
        <f>'2'!AH104</f>
        <v>0</v>
      </c>
      <c r="E38" s="123">
        <f>'2'!AH57</f>
        <v>0</v>
      </c>
      <c r="F38" s="123">
        <f>'2'!AH12</f>
        <v>159.05000000000001</v>
      </c>
      <c r="G38" s="123">
        <f>'2'!DX57</f>
        <v>0</v>
      </c>
      <c r="H38" s="123">
        <f>'2'!DX104</f>
        <v>0</v>
      </c>
      <c r="I38" s="123">
        <f>'2'!DX149</f>
        <v>0</v>
      </c>
      <c r="J38" s="124"/>
      <c r="K38" s="122">
        <v>0.6</v>
      </c>
      <c r="L38" s="123">
        <f>'2'!AI196</f>
        <v>0</v>
      </c>
      <c r="M38" s="123">
        <f>'2'!AI149</f>
        <v>0</v>
      </c>
      <c r="N38" s="123">
        <f>'2'!AI104</f>
        <v>0</v>
      </c>
      <c r="O38" s="123">
        <f>'2'!AI57</f>
        <v>0</v>
      </c>
      <c r="P38" s="123">
        <f>'2'!AI12</f>
        <v>0</v>
      </c>
      <c r="Q38" s="123">
        <f>'2'!DY57</f>
        <v>0</v>
      </c>
      <c r="R38" s="123">
        <f>'2'!DY104</f>
        <v>0</v>
      </c>
      <c r="S38" s="123">
        <f>'2'!DY149</f>
        <v>0</v>
      </c>
      <c r="U38" s="122">
        <v>0.6</v>
      </c>
      <c r="V38" s="123">
        <f>'2'!AJ196</f>
        <v>0</v>
      </c>
      <c r="W38" s="123">
        <f>'2'!AJ149</f>
        <v>0</v>
      </c>
      <c r="X38" s="123">
        <f>'2'!AJ104</f>
        <v>0</v>
      </c>
      <c r="Y38" s="123">
        <f>'2'!AJ57</f>
        <v>0</v>
      </c>
      <c r="Z38" s="123">
        <f>'2'!AJ12</f>
        <v>159.05000000000001</v>
      </c>
      <c r="AA38" s="123">
        <f>'2'!DZ57</f>
        <v>0</v>
      </c>
      <c r="AB38" s="123">
        <f>'2'!DZ104</f>
        <v>0</v>
      </c>
      <c r="AC38" s="123">
        <f>'2'!DZ149</f>
        <v>0</v>
      </c>
      <c r="AD38" s="124"/>
      <c r="AE38" s="124"/>
      <c r="AF38" s="122">
        <v>0.6</v>
      </c>
      <c r="AG38" s="125">
        <f>'2'!AO196</f>
        <v>0</v>
      </c>
      <c r="AH38" s="125">
        <f>'2'!AO149</f>
        <v>0</v>
      </c>
      <c r="AI38" s="125">
        <f>'2'!AO104</f>
        <v>0</v>
      </c>
      <c r="AJ38" s="125">
        <f>'2'!AO57</f>
        <v>0</v>
      </c>
      <c r="AK38" s="125">
        <f>'2'!AO12</f>
        <v>1.08</v>
      </c>
      <c r="AL38" s="125">
        <f>'2'!EE57</f>
        <v>0</v>
      </c>
      <c r="AM38" s="125">
        <f>'2'!EE104</f>
        <v>0</v>
      </c>
      <c r="AN38" s="125">
        <f>'2'!EE149</f>
        <v>0</v>
      </c>
      <c r="AO38" s="127"/>
      <c r="AP38" s="127"/>
      <c r="AQ38" s="122">
        <v>0.6</v>
      </c>
      <c r="AR38" s="125">
        <f>'2'!AP196</f>
        <v>0</v>
      </c>
      <c r="AS38" s="125">
        <f>'2'!AP149</f>
        <v>0</v>
      </c>
      <c r="AT38" s="125">
        <f>'2'!AP104</f>
        <v>0</v>
      </c>
      <c r="AU38" s="125">
        <f>'2'!AP57</f>
        <v>0</v>
      </c>
      <c r="AV38" s="125">
        <f>'2'!AP12</f>
        <v>0</v>
      </c>
      <c r="AW38" s="125">
        <f>'2'!EF57</f>
        <v>0</v>
      </c>
      <c r="AX38" s="125">
        <f>'2'!EF104</f>
        <v>0</v>
      </c>
      <c r="AY38" s="125">
        <f>'2'!EF149</f>
        <v>0</v>
      </c>
      <c r="AZ38" s="127"/>
      <c r="BA38" s="127"/>
      <c r="BB38" s="122">
        <v>0.6</v>
      </c>
      <c r="BC38" s="123">
        <f>'2'!AS196</f>
        <v>0</v>
      </c>
      <c r="BD38" s="123">
        <f>'2'!AS149</f>
        <v>0</v>
      </c>
      <c r="BE38" s="123">
        <f>'2'!AS104</f>
        <v>0</v>
      </c>
      <c r="BF38" s="123">
        <f>'2'!AS57</f>
        <v>0</v>
      </c>
      <c r="BG38" s="123">
        <f>'2'!AS12</f>
        <v>0.214</v>
      </c>
      <c r="BH38" s="123">
        <f>'2'!EI57</f>
        <v>0</v>
      </c>
      <c r="BI38" s="123">
        <f>'2'!EI104</f>
        <v>0</v>
      </c>
      <c r="BJ38" s="123">
        <f>'2'!EI149</f>
        <v>0</v>
      </c>
      <c r="BK38" s="127"/>
      <c r="BL38" s="127"/>
      <c r="BM38" s="127"/>
      <c r="BN38" s="127"/>
      <c r="BO38" s="127"/>
      <c r="BP38" s="127"/>
      <c r="BQ38" s="127"/>
      <c r="BR38" s="127"/>
      <c r="BS38" s="127"/>
      <c r="BT38" s="127"/>
      <c r="BU38" s="127"/>
      <c r="BV38" s="127"/>
      <c r="BW38" s="127"/>
      <c r="BX38" s="127"/>
      <c r="BY38" s="127"/>
      <c r="BZ38" s="127"/>
      <c r="CA38" s="127"/>
      <c r="CB38" s="127"/>
      <c r="CC38" s="127"/>
      <c r="CD38" s="127"/>
      <c r="CE38" s="127"/>
      <c r="CF38" s="127"/>
    </row>
    <row r="39" spans="1:84" x14ac:dyDescent="0.25">
      <c r="A39" s="122">
        <v>0.5</v>
      </c>
      <c r="B39" s="123">
        <f>'2'!AH197</f>
        <v>0</v>
      </c>
      <c r="C39" s="123">
        <f>'2'!AH150</f>
        <v>0</v>
      </c>
      <c r="D39" s="123">
        <f>'2'!AH105</f>
        <v>0</v>
      </c>
      <c r="E39" s="123">
        <f>'2'!AH58</f>
        <v>0</v>
      </c>
      <c r="F39" s="123">
        <f>'2'!AH13</f>
        <v>143.13</v>
      </c>
      <c r="G39" s="123">
        <f>'2'!DX58</f>
        <v>0</v>
      </c>
      <c r="H39" s="123">
        <f>'2'!DX105</f>
        <v>0</v>
      </c>
      <c r="I39" s="123">
        <f>'2'!DX150</f>
        <v>0</v>
      </c>
      <c r="J39" s="124"/>
      <c r="K39" s="122">
        <v>0.5</v>
      </c>
      <c r="L39" s="123">
        <f>'2'!AI197</f>
        <v>0</v>
      </c>
      <c r="M39" s="123">
        <f>'2'!AI150</f>
        <v>0</v>
      </c>
      <c r="N39" s="123">
        <f>'2'!AI105</f>
        <v>0</v>
      </c>
      <c r="O39" s="123">
        <f>'2'!AI58</f>
        <v>0</v>
      </c>
      <c r="P39" s="123">
        <f>'2'!AI13</f>
        <v>0</v>
      </c>
      <c r="Q39" s="123">
        <f>'2'!DY58</f>
        <v>0</v>
      </c>
      <c r="R39" s="123">
        <f>'2'!DY105</f>
        <v>0</v>
      </c>
      <c r="S39" s="123">
        <f>'2'!DY150</f>
        <v>0</v>
      </c>
      <c r="U39" s="122">
        <v>0.5</v>
      </c>
      <c r="V39" s="123">
        <f>'2'!AJ197</f>
        <v>0</v>
      </c>
      <c r="W39" s="123">
        <f>'2'!AJ150</f>
        <v>0</v>
      </c>
      <c r="X39" s="123">
        <f>'2'!AJ105</f>
        <v>0</v>
      </c>
      <c r="Y39" s="123">
        <f>'2'!AJ58</f>
        <v>0</v>
      </c>
      <c r="Z39" s="123">
        <f>'2'!AJ13</f>
        <v>143.13</v>
      </c>
      <c r="AA39" s="123">
        <f>'2'!DZ58</f>
        <v>0</v>
      </c>
      <c r="AB39" s="123">
        <f>'2'!DZ105</f>
        <v>0</v>
      </c>
      <c r="AC39" s="123">
        <f>'2'!DZ150</f>
        <v>0</v>
      </c>
      <c r="AD39" s="124"/>
      <c r="AE39" s="124"/>
      <c r="AF39" s="122">
        <v>0.5</v>
      </c>
      <c r="AG39" s="125">
        <f>'2'!AO197</f>
        <v>0</v>
      </c>
      <c r="AH39" s="125">
        <f>'2'!AO150</f>
        <v>0</v>
      </c>
      <c r="AI39" s="125">
        <f>'2'!AO105</f>
        <v>0</v>
      </c>
      <c r="AJ39" s="125">
        <f>'2'!AO58</f>
        <v>0</v>
      </c>
      <c r="AK39" s="125">
        <f>'2'!AO13</f>
        <v>1.111</v>
      </c>
      <c r="AL39" s="125">
        <f>'2'!EE58</f>
        <v>0</v>
      </c>
      <c r="AM39" s="125">
        <f>'2'!EE105</f>
        <v>0</v>
      </c>
      <c r="AN39" s="125">
        <f>'2'!EE150</f>
        <v>0</v>
      </c>
      <c r="AO39" s="127"/>
      <c r="AP39" s="127"/>
      <c r="AQ39" s="122">
        <v>0.5</v>
      </c>
      <c r="AR39" s="125">
        <f>'2'!AP197</f>
        <v>0</v>
      </c>
      <c r="AS39" s="125">
        <f>'2'!AP150</f>
        <v>0</v>
      </c>
      <c r="AT39" s="125">
        <f>'2'!AP105</f>
        <v>0</v>
      </c>
      <c r="AU39" s="125">
        <f>'2'!AP58</f>
        <v>0</v>
      </c>
      <c r="AV39" s="125">
        <f>'2'!AP13</f>
        <v>0</v>
      </c>
      <c r="AW39" s="125">
        <f>'2'!EF58</f>
        <v>0</v>
      </c>
      <c r="AX39" s="125">
        <f>'2'!EF105</f>
        <v>0</v>
      </c>
      <c r="AY39" s="125">
        <f>'2'!EF150</f>
        <v>0</v>
      </c>
      <c r="AZ39" s="127"/>
      <c r="BA39" s="127"/>
      <c r="BB39" s="122">
        <v>0.5</v>
      </c>
      <c r="BC39" s="123">
        <f>'2'!AS197</f>
        <v>0</v>
      </c>
      <c r="BD39" s="123">
        <f>'2'!AS150</f>
        <v>0</v>
      </c>
      <c r="BE39" s="123">
        <f>'2'!AS105</f>
        <v>0</v>
      </c>
      <c r="BF39" s="123">
        <f>'2'!AS58</f>
        <v>0</v>
      </c>
      <c r="BG39" s="123">
        <f>'2'!AS13</f>
        <v>0.19600000000000001</v>
      </c>
      <c r="BH39" s="123">
        <f>'2'!EI58</f>
        <v>0</v>
      </c>
      <c r="BI39" s="123">
        <f>'2'!EI105</f>
        <v>0</v>
      </c>
      <c r="BJ39" s="123">
        <f>'2'!EI150</f>
        <v>0</v>
      </c>
      <c r="BK39" s="127"/>
      <c r="BL39" s="127"/>
      <c r="BM39" s="127"/>
      <c r="BN39" s="127"/>
      <c r="BO39" s="127"/>
      <c r="BP39" s="127"/>
      <c r="BQ39" s="127"/>
      <c r="BR39" s="127"/>
      <c r="BS39" s="127"/>
      <c r="BT39" s="127"/>
      <c r="BU39" s="127"/>
      <c r="BV39" s="127"/>
      <c r="BW39" s="127"/>
      <c r="BX39" s="127"/>
      <c r="BY39" s="127"/>
      <c r="BZ39" s="127"/>
      <c r="CA39" s="127"/>
      <c r="CB39" s="127"/>
      <c r="CC39" s="127"/>
      <c r="CD39" s="127"/>
      <c r="CE39" s="127"/>
      <c r="CF39" s="127"/>
    </row>
    <row r="40" spans="1:84" x14ac:dyDescent="0.25">
      <c r="A40" s="122">
        <v>0.4</v>
      </c>
      <c r="B40" s="123">
        <f>'2'!AH198</f>
        <v>0</v>
      </c>
      <c r="C40" s="123">
        <f>'2'!AH151</f>
        <v>0</v>
      </c>
      <c r="D40" s="123">
        <f>'2'!AH106</f>
        <v>0</v>
      </c>
      <c r="E40" s="123">
        <f>'2'!AH59</f>
        <v>0</v>
      </c>
      <c r="F40" s="123">
        <f>'2'!AH14</f>
        <v>148.88</v>
      </c>
      <c r="G40" s="123">
        <f>'2'!DX59</f>
        <v>0</v>
      </c>
      <c r="H40" s="123">
        <f>'2'!DX106</f>
        <v>0</v>
      </c>
      <c r="I40" s="123">
        <f>'2'!DX151</f>
        <v>0</v>
      </c>
      <c r="J40" s="124"/>
      <c r="K40" s="122">
        <v>0.4</v>
      </c>
      <c r="L40" s="123">
        <f>'2'!AI198</f>
        <v>0</v>
      </c>
      <c r="M40" s="123">
        <f>'2'!AI151</f>
        <v>0</v>
      </c>
      <c r="N40" s="123">
        <f>'2'!AI106</f>
        <v>0</v>
      </c>
      <c r="O40" s="123">
        <f>'2'!AI59</f>
        <v>0</v>
      </c>
      <c r="P40" s="123">
        <f>'2'!AI14</f>
        <v>0</v>
      </c>
      <c r="Q40" s="123">
        <f>'2'!DY59</f>
        <v>0</v>
      </c>
      <c r="R40" s="123">
        <f>'2'!DY106</f>
        <v>0</v>
      </c>
      <c r="S40" s="123">
        <f>'2'!DY151</f>
        <v>0</v>
      </c>
      <c r="U40" s="122">
        <v>0.4</v>
      </c>
      <c r="V40" s="123">
        <f>'2'!AJ198</f>
        <v>0</v>
      </c>
      <c r="W40" s="123">
        <f>'2'!AJ151</f>
        <v>0</v>
      </c>
      <c r="X40" s="123">
        <f>'2'!AJ106</f>
        <v>0</v>
      </c>
      <c r="Y40" s="123">
        <f>'2'!AJ59</f>
        <v>0</v>
      </c>
      <c r="Z40" s="123">
        <f>'2'!AJ14</f>
        <v>148.88</v>
      </c>
      <c r="AA40" s="123">
        <f>'2'!DZ59</f>
        <v>0</v>
      </c>
      <c r="AB40" s="123">
        <f>'2'!DZ106</f>
        <v>0</v>
      </c>
      <c r="AC40" s="123">
        <f>'2'!DZ151</f>
        <v>0</v>
      </c>
      <c r="AD40" s="124"/>
      <c r="AE40" s="124"/>
      <c r="AF40" s="122">
        <v>0.4</v>
      </c>
      <c r="AG40" s="125">
        <f>'2'!AO198</f>
        <v>0</v>
      </c>
      <c r="AH40" s="125">
        <f>'2'!AO151</f>
        <v>0</v>
      </c>
      <c r="AI40" s="125">
        <f>'2'!AO106</f>
        <v>0</v>
      </c>
      <c r="AJ40" s="125">
        <f>'2'!AO59</f>
        <v>0</v>
      </c>
      <c r="AK40" s="125">
        <f>'2'!AO14</f>
        <v>1.125</v>
      </c>
      <c r="AL40" s="125">
        <f>'2'!EE59</f>
        <v>0</v>
      </c>
      <c r="AM40" s="125">
        <f>'2'!EE106</f>
        <v>0</v>
      </c>
      <c r="AN40" s="125">
        <f>'2'!EE151</f>
        <v>0</v>
      </c>
      <c r="AO40" s="127"/>
      <c r="AP40" s="127"/>
      <c r="AQ40" s="122">
        <v>0.4</v>
      </c>
      <c r="AR40" s="125">
        <f>'2'!AP198</f>
        <v>0</v>
      </c>
      <c r="AS40" s="125">
        <f>'2'!AP151</f>
        <v>0</v>
      </c>
      <c r="AT40" s="125">
        <f>'2'!AP106</f>
        <v>0</v>
      </c>
      <c r="AU40" s="125">
        <f>'2'!AP59</f>
        <v>0</v>
      </c>
      <c r="AV40" s="125">
        <f>'2'!AP14</f>
        <v>0</v>
      </c>
      <c r="AW40" s="125">
        <f>'2'!EF59</f>
        <v>0</v>
      </c>
      <c r="AX40" s="125">
        <f>'2'!EF106</f>
        <v>0</v>
      </c>
      <c r="AY40" s="125">
        <f>'2'!EF151</f>
        <v>0</v>
      </c>
      <c r="AZ40" s="127"/>
      <c r="BA40" s="127"/>
      <c r="BB40" s="122">
        <v>0.4</v>
      </c>
      <c r="BC40" s="123">
        <f>'2'!AS198</f>
        <v>0</v>
      </c>
      <c r="BD40" s="123">
        <f>'2'!AS151</f>
        <v>0</v>
      </c>
      <c r="BE40" s="123">
        <f>'2'!AS106</f>
        <v>0</v>
      </c>
      <c r="BF40" s="123">
        <f>'2'!AS59</f>
        <v>0</v>
      </c>
      <c r="BG40" s="123">
        <f>'2'!AS14</f>
        <v>0.19600000000000001</v>
      </c>
      <c r="BH40" s="123">
        <f>'2'!EI59</f>
        <v>0</v>
      </c>
      <c r="BI40" s="123">
        <f>'2'!EI106</f>
        <v>0</v>
      </c>
      <c r="BJ40" s="123">
        <f>'2'!EI151</f>
        <v>0</v>
      </c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</row>
    <row r="41" spans="1:84" x14ac:dyDescent="0.25">
      <c r="A41" s="122">
        <v>0.3</v>
      </c>
      <c r="B41" s="123">
        <f>'2'!AH199</f>
        <v>0</v>
      </c>
      <c r="C41" s="123">
        <f>'2'!AH152</f>
        <v>0</v>
      </c>
      <c r="D41" s="123">
        <f>'2'!AH107</f>
        <v>0</v>
      </c>
      <c r="E41" s="123">
        <f>'2'!AH60</f>
        <v>0</v>
      </c>
      <c r="F41" s="123">
        <f>'2'!AH15</f>
        <v>161.6</v>
      </c>
      <c r="G41" s="123">
        <f>'2'!DX60</f>
        <v>0</v>
      </c>
      <c r="H41" s="123">
        <f>'2'!DX107</f>
        <v>0</v>
      </c>
      <c r="I41" s="123">
        <f>'2'!DX152</f>
        <v>0</v>
      </c>
      <c r="J41" s="124"/>
      <c r="K41" s="122">
        <v>0.3</v>
      </c>
      <c r="L41" s="123">
        <f>'2'!AI199</f>
        <v>0</v>
      </c>
      <c r="M41" s="123">
        <f>'2'!AI152</f>
        <v>0</v>
      </c>
      <c r="N41" s="123">
        <f>'2'!AI107</f>
        <v>0</v>
      </c>
      <c r="O41" s="123">
        <f>'2'!AI60</f>
        <v>0</v>
      </c>
      <c r="P41" s="123">
        <f>'2'!AI15</f>
        <v>0</v>
      </c>
      <c r="Q41" s="123">
        <f>'2'!DY60</f>
        <v>0</v>
      </c>
      <c r="R41" s="123">
        <f>'2'!DY107</f>
        <v>0</v>
      </c>
      <c r="S41" s="123">
        <f>'2'!DY152</f>
        <v>0</v>
      </c>
      <c r="U41" s="122">
        <v>0.3</v>
      </c>
      <c r="V41" s="123">
        <f>'2'!AJ199</f>
        <v>0</v>
      </c>
      <c r="W41" s="123">
        <f>'2'!AJ152</f>
        <v>0</v>
      </c>
      <c r="X41" s="123">
        <f>'2'!AJ107</f>
        <v>0</v>
      </c>
      <c r="Y41" s="123">
        <f>'2'!AJ60</f>
        <v>0</v>
      </c>
      <c r="Z41" s="123">
        <f>'2'!AJ15</f>
        <v>161.6</v>
      </c>
      <c r="AA41" s="123">
        <f>'2'!DZ60</f>
        <v>0</v>
      </c>
      <c r="AB41" s="123">
        <f>'2'!DZ107</f>
        <v>0</v>
      </c>
      <c r="AC41" s="123">
        <f>'2'!DZ152</f>
        <v>0</v>
      </c>
      <c r="AD41" s="124"/>
      <c r="AE41" s="124"/>
      <c r="AF41" s="122">
        <v>0.3</v>
      </c>
      <c r="AG41" s="125">
        <f>'2'!AO199</f>
        <v>0</v>
      </c>
      <c r="AH41" s="125">
        <f>'2'!AO152</f>
        <v>0</v>
      </c>
      <c r="AI41" s="125">
        <f>'2'!AO107</f>
        <v>0</v>
      </c>
      <c r="AJ41" s="125">
        <f>'2'!AO60</f>
        <v>0</v>
      </c>
      <c r="AK41" s="125">
        <f>'2'!AO15</f>
        <v>1.1539999999999999</v>
      </c>
      <c r="AL41" s="125">
        <f>'2'!EE60</f>
        <v>0</v>
      </c>
      <c r="AM41" s="125">
        <f>'2'!EE107</f>
        <v>0</v>
      </c>
      <c r="AN41" s="125">
        <f>'2'!EE152</f>
        <v>0</v>
      </c>
      <c r="AO41" s="127"/>
      <c r="AP41" s="127"/>
      <c r="AQ41" s="122">
        <v>0.3</v>
      </c>
      <c r="AR41" s="125">
        <f>'2'!AP199</f>
        <v>0</v>
      </c>
      <c r="AS41" s="125">
        <f>'2'!AP152</f>
        <v>0</v>
      </c>
      <c r="AT41" s="125">
        <f>'2'!AP107</f>
        <v>0</v>
      </c>
      <c r="AU41" s="125">
        <f>'2'!AP60</f>
        <v>0</v>
      </c>
      <c r="AV41" s="125">
        <f>'2'!AP15</f>
        <v>0</v>
      </c>
      <c r="AW41" s="125">
        <f>'2'!EF60</f>
        <v>0</v>
      </c>
      <c r="AX41" s="125">
        <f>'2'!EF107</f>
        <v>0</v>
      </c>
      <c r="AY41" s="125">
        <f>'2'!EF152</f>
        <v>0</v>
      </c>
      <c r="AZ41" s="127"/>
      <c r="BA41" s="127"/>
      <c r="BB41" s="122">
        <v>0.3</v>
      </c>
      <c r="BC41" s="123">
        <f>'2'!AS199</f>
        <v>0</v>
      </c>
      <c r="BD41" s="123">
        <f>'2'!AS152</f>
        <v>0</v>
      </c>
      <c r="BE41" s="123">
        <f>'2'!AS107</f>
        <v>0</v>
      </c>
      <c r="BF41" s="123">
        <f>'2'!AS60</f>
        <v>0</v>
      </c>
      <c r="BG41" s="123">
        <f>'2'!AS15</f>
        <v>0.191</v>
      </c>
      <c r="BH41" s="123">
        <f>'2'!EI60</f>
        <v>0</v>
      </c>
      <c r="BI41" s="123">
        <f>'2'!EI107</f>
        <v>0</v>
      </c>
      <c r="BJ41" s="123">
        <f>'2'!EI152</f>
        <v>0</v>
      </c>
      <c r="BK41" s="127"/>
      <c r="BL41" s="127"/>
      <c r="BM41" s="127"/>
      <c r="BN41" s="127"/>
      <c r="BO41" s="127"/>
      <c r="BP41" s="127"/>
      <c r="BQ41" s="127"/>
      <c r="BR41" s="127"/>
      <c r="BS41" s="127"/>
      <c r="BT41" s="127"/>
      <c r="BU41" s="127"/>
      <c r="BV41" s="127"/>
      <c r="BW41" s="127"/>
      <c r="BX41" s="127"/>
      <c r="BY41" s="127"/>
      <c r="BZ41" s="127"/>
      <c r="CA41" s="127"/>
      <c r="CB41" s="127"/>
      <c r="CC41" s="127"/>
      <c r="CD41" s="127"/>
      <c r="CE41" s="127"/>
      <c r="CF41" s="127"/>
    </row>
    <row r="42" spans="1:84" x14ac:dyDescent="0.25">
      <c r="A42" s="122">
        <v>0.2</v>
      </c>
      <c r="B42" s="123">
        <f>'2'!AH200</f>
        <v>0</v>
      </c>
      <c r="C42" s="123">
        <f>'2'!AH153</f>
        <v>0</v>
      </c>
      <c r="D42" s="123">
        <f>'2'!AH108</f>
        <v>0</v>
      </c>
      <c r="E42" s="123">
        <f>'2'!AH61</f>
        <v>0</v>
      </c>
      <c r="F42" s="123">
        <f>'2'!AH16</f>
        <v>159.19999999999999</v>
      </c>
      <c r="G42" s="123">
        <f>'2'!DX61</f>
        <v>0</v>
      </c>
      <c r="H42" s="123">
        <f>'2'!DX108</f>
        <v>0</v>
      </c>
      <c r="I42" s="123">
        <f>'2'!DX153</f>
        <v>0</v>
      </c>
      <c r="J42" s="124"/>
      <c r="K42" s="122">
        <v>0.2</v>
      </c>
      <c r="L42" s="123">
        <f>'2'!AI200</f>
        <v>0</v>
      </c>
      <c r="M42" s="123">
        <f>'2'!AI153</f>
        <v>0</v>
      </c>
      <c r="N42" s="123">
        <f>'2'!AI108</f>
        <v>0</v>
      </c>
      <c r="O42" s="123">
        <f>'2'!AI61</f>
        <v>0</v>
      </c>
      <c r="P42" s="123">
        <f>'2'!AI16</f>
        <v>0</v>
      </c>
      <c r="Q42" s="123">
        <f>'2'!DY61</f>
        <v>0</v>
      </c>
      <c r="R42" s="123">
        <f>'2'!DY108</f>
        <v>0</v>
      </c>
      <c r="S42" s="123">
        <f>'2'!DY153</f>
        <v>0</v>
      </c>
      <c r="U42" s="122">
        <v>0.2</v>
      </c>
      <c r="V42" s="123">
        <f>'2'!AJ200</f>
        <v>0</v>
      </c>
      <c r="W42" s="123">
        <f>'2'!AJ153</f>
        <v>0</v>
      </c>
      <c r="X42" s="123">
        <f>'2'!AJ108</f>
        <v>0</v>
      </c>
      <c r="Y42" s="123">
        <f>'2'!AJ61</f>
        <v>0</v>
      </c>
      <c r="Z42" s="123">
        <f>'2'!AJ16</f>
        <v>159.19999999999999</v>
      </c>
      <c r="AA42" s="123">
        <f>'2'!DZ61</f>
        <v>0</v>
      </c>
      <c r="AB42" s="123">
        <f>'2'!DZ108</f>
        <v>0</v>
      </c>
      <c r="AC42" s="123">
        <f>'2'!DZ153</f>
        <v>0</v>
      </c>
      <c r="AD42" s="124"/>
      <c r="AE42" s="124"/>
      <c r="AF42" s="122">
        <v>0.2</v>
      </c>
      <c r="AG42" s="125">
        <f>'2'!AO200</f>
        <v>0</v>
      </c>
      <c r="AH42" s="125">
        <f>'2'!AO153</f>
        <v>0</v>
      </c>
      <c r="AI42" s="125">
        <f>'2'!AO108</f>
        <v>0</v>
      </c>
      <c r="AJ42" s="125">
        <f>'2'!AO61</f>
        <v>0</v>
      </c>
      <c r="AK42" s="125">
        <f>'2'!AO16</f>
        <v>1.1639999999999999</v>
      </c>
      <c r="AL42" s="125">
        <f>'2'!EE61</f>
        <v>0</v>
      </c>
      <c r="AM42" s="125">
        <f>'2'!EE108</f>
        <v>0</v>
      </c>
      <c r="AN42" s="125">
        <f>'2'!EE153</f>
        <v>0</v>
      </c>
      <c r="AO42" s="127"/>
      <c r="AP42" s="127"/>
      <c r="AQ42" s="122">
        <v>0.2</v>
      </c>
      <c r="AR42" s="125">
        <f>'2'!AP200</f>
        <v>0</v>
      </c>
      <c r="AS42" s="125">
        <f>'2'!AP153</f>
        <v>0</v>
      </c>
      <c r="AT42" s="125">
        <f>'2'!AP108</f>
        <v>0</v>
      </c>
      <c r="AU42" s="125">
        <f>'2'!AP61</f>
        <v>0</v>
      </c>
      <c r="AV42" s="125">
        <f>'2'!AP16</f>
        <v>0</v>
      </c>
      <c r="AW42" s="125">
        <f>'2'!EF61</f>
        <v>0</v>
      </c>
      <c r="AX42" s="125">
        <f>'2'!EF108</f>
        <v>0</v>
      </c>
      <c r="AY42" s="125">
        <f>'2'!EF153</f>
        <v>0</v>
      </c>
      <c r="AZ42" s="127"/>
      <c r="BA42" s="127"/>
      <c r="BB42" s="122">
        <v>0.2</v>
      </c>
      <c r="BC42" s="123">
        <f>'2'!AS200</f>
        <v>0</v>
      </c>
      <c r="BD42" s="123">
        <f>'2'!AS153</f>
        <v>0</v>
      </c>
      <c r="BE42" s="123">
        <f>'2'!AS108</f>
        <v>0</v>
      </c>
      <c r="BF42" s="123">
        <f>'2'!AS61</f>
        <v>0</v>
      </c>
      <c r="BG42" s="123">
        <f>'2'!AS16</f>
        <v>0.20699999999999999</v>
      </c>
      <c r="BH42" s="123">
        <f>'2'!EI61</f>
        <v>0</v>
      </c>
      <c r="BI42" s="123">
        <f>'2'!EI108</f>
        <v>0</v>
      </c>
      <c r="BJ42" s="123">
        <f>'2'!EI153</f>
        <v>0</v>
      </c>
      <c r="BK42" s="127"/>
      <c r="BL42" s="127"/>
      <c r="BM42" s="127"/>
      <c r="BN42" s="127"/>
      <c r="BO42" s="127"/>
      <c r="BP42" s="127"/>
      <c r="BQ42" s="127"/>
      <c r="BR42" s="127"/>
      <c r="BS42" s="127"/>
      <c r="BT42" s="127"/>
      <c r="BU42" s="127"/>
      <c r="BV42" s="127"/>
      <c r="BW42" s="127"/>
      <c r="BX42" s="127"/>
      <c r="BY42" s="127"/>
      <c r="BZ42" s="127"/>
      <c r="CA42" s="127"/>
      <c r="CB42" s="127"/>
      <c r="CC42" s="127"/>
      <c r="CD42" s="127"/>
      <c r="CE42" s="127"/>
      <c r="CF42" s="127"/>
    </row>
    <row r="43" spans="1:84" x14ac:dyDescent="0.25">
      <c r="A43" s="122">
        <v>0.1</v>
      </c>
      <c r="B43" s="123">
        <f>'2'!AH201</f>
        <v>0</v>
      </c>
      <c r="C43" s="123">
        <f>'2'!AH154</f>
        <v>0</v>
      </c>
      <c r="D43" s="123">
        <f>'2'!AH109</f>
        <v>0</v>
      </c>
      <c r="E43" s="123">
        <f>'2'!AH62</f>
        <v>0</v>
      </c>
      <c r="F43" s="123">
        <f>'2'!AH17</f>
        <v>172.78</v>
      </c>
      <c r="G43" s="123">
        <f>'2'!DX62</f>
        <v>0</v>
      </c>
      <c r="H43" s="123">
        <f>'2'!DX109</f>
        <v>0</v>
      </c>
      <c r="I43" s="123">
        <f>'2'!DX154</f>
        <v>0</v>
      </c>
      <c r="J43" s="124"/>
      <c r="K43" s="122">
        <v>0.1</v>
      </c>
      <c r="L43" s="123">
        <f>'2'!AI201</f>
        <v>0</v>
      </c>
      <c r="M43" s="123">
        <f>'2'!AI154</f>
        <v>0</v>
      </c>
      <c r="N43" s="123">
        <f>'2'!AI109</f>
        <v>0</v>
      </c>
      <c r="O43" s="123">
        <f>'2'!AI62</f>
        <v>0</v>
      </c>
      <c r="P43" s="123">
        <f>'2'!AI17</f>
        <v>0</v>
      </c>
      <c r="Q43" s="123">
        <f>'2'!DY62</f>
        <v>0</v>
      </c>
      <c r="R43" s="123">
        <f>'2'!DY109</f>
        <v>0</v>
      </c>
      <c r="S43" s="123">
        <f>'2'!DY154</f>
        <v>0</v>
      </c>
      <c r="U43" s="122">
        <v>0.1</v>
      </c>
      <c r="V43" s="123">
        <f>'2'!AJ201</f>
        <v>0</v>
      </c>
      <c r="W43" s="123">
        <f>'2'!AJ154</f>
        <v>0</v>
      </c>
      <c r="X43" s="123">
        <f>'2'!AJ109</f>
        <v>0</v>
      </c>
      <c r="Y43" s="123">
        <f>'2'!AJ62</f>
        <v>0</v>
      </c>
      <c r="Z43" s="123">
        <f>'2'!AJ17</f>
        <v>172.78</v>
      </c>
      <c r="AA43" s="123">
        <f>'2'!DZ62</f>
        <v>0</v>
      </c>
      <c r="AB43" s="123">
        <f>'2'!DZ109</f>
        <v>0</v>
      </c>
      <c r="AC43" s="123">
        <f>'2'!DZ154</f>
        <v>0</v>
      </c>
      <c r="AD43" s="124"/>
      <c r="AE43" s="124"/>
      <c r="AF43" s="122">
        <v>0.1</v>
      </c>
      <c r="AG43" s="125">
        <f>'2'!AO201</f>
        <v>0</v>
      </c>
      <c r="AH43" s="125">
        <f>'2'!AO154</f>
        <v>0</v>
      </c>
      <c r="AI43" s="125">
        <f>'2'!AO109</f>
        <v>0</v>
      </c>
      <c r="AJ43" s="125">
        <f>'2'!AO62</f>
        <v>0</v>
      </c>
      <c r="AK43" s="125">
        <f>'2'!AO17</f>
        <v>1.139</v>
      </c>
      <c r="AL43" s="125">
        <f>'2'!EE62</f>
        <v>0</v>
      </c>
      <c r="AM43" s="125">
        <f>'2'!EE109</f>
        <v>0</v>
      </c>
      <c r="AN43" s="125">
        <f>'2'!EE154</f>
        <v>0</v>
      </c>
      <c r="AO43" s="127"/>
      <c r="AP43" s="127"/>
      <c r="AQ43" s="122">
        <v>0.1</v>
      </c>
      <c r="AR43" s="125">
        <f>'2'!AP201</f>
        <v>0</v>
      </c>
      <c r="AS43" s="125">
        <f>'2'!AP154</f>
        <v>0</v>
      </c>
      <c r="AT43" s="125">
        <f>'2'!AP109</f>
        <v>0</v>
      </c>
      <c r="AU43" s="125">
        <f>'2'!AP62</f>
        <v>0</v>
      </c>
      <c r="AV43" s="125">
        <f>'2'!AP17</f>
        <v>0</v>
      </c>
      <c r="AW43" s="125">
        <f>'2'!EF62</f>
        <v>0</v>
      </c>
      <c r="AX43" s="125">
        <f>'2'!EF109</f>
        <v>0</v>
      </c>
      <c r="AY43" s="125">
        <f>'2'!EF154</f>
        <v>0</v>
      </c>
      <c r="AZ43" s="127"/>
      <c r="BA43" s="127"/>
      <c r="BB43" s="122">
        <v>0.1</v>
      </c>
      <c r="BC43" s="123">
        <f>'2'!AS201</f>
        <v>0</v>
      </c>
      <c r="BD43" s="123">
        <f>'2'!AS154</f>
        <v>0</v>
      </c>
      <c r="BE43" s="123">
        <f>'2'!AS109</f>
        <v>0</v>
      </c>
      <c r="BF43" s="123">
        <f>'2'!AS62</f>
        <v>0</v>
      </c>
      <c r="BG43" s="123">
        <f>'2'!AS17</f>
        <v>0.193</v>
      </c>
      <c r="BH43" s="123">
        <f>'2'!EI62</f>
        <v>0</v>
      </c>
      <c r="BI43" s="123">
        <f>'2'!EI109</f>
        <v>0</v>
      </c>
      <c r="BJ43" s="123">
        <f>'2'!EI154</f>
        <v>0</v>
      </c>
      <c r="BK43" s="127"/>
      <c r="BL43" s="127"/>
      <c r="BM43" s="127"/>
      <c r="BN43" s="127"/>
      <c r="BO43" s="127"/>
      <c r="BP43" s="127"/>
      <c r="BQ43" s="127"/>
      <c r="BR43" s="127"/>
      <c r="BS43" s="127"/>
      <c r="BT43" s="127"/>
      <c r="BU43" s="127"/>
      <c r="BV43" s="127"/>
      <c r="BW43" s="127"/>
      <c r="BX43" s="127"/>
      <c r="BY43" s="127"/>
      <c r="BZ43" s="127"/>
      <c r="CA43" s="127"/>
      <c r="CB43" s="127"/>
      <c r="CC43" s="127"/>
      <c r="CD43" s="127"/>
      <c r="CE43" s="127"/>
      <c r="CF43" s="127"/>
    </row>
    <row r="44" spans="1:84" x14ac:dyDescent="0.25">
      <c r="A44" s="122">
        <v>0</v>
      </c>
      <c r="B44" s="123">
        <f>'2'!AH202</f>
        <v>0</v>
      </c>
      <c r="C44" s="123">
        <f>'2'!AH155</f>
        <v>0</v>
      </c>
      <c r="D44" s="123">
        <f>'2'!AH110</f>
        <v>0</v>
      </c>
      <c r="E44" s="123">
        <f>'2'!AH63</f>
        <v>0</v>
      </c>
      <c r="F44" s="123">
        <f>'2'!AH18</f>
        <v>177.49</v>
      </c>
      <c r="G44" s="123">
        <f>'2'!DX63</f>
        <v>0</v>
      </c>
      <c r="H44" s="123">
        <f>'2'!DX110</f>
        <v>0</v>
      </c>
      <c r="I44" s="123">
        <f>'2'!DX155</f>
        <v>0</v>
      </c>
      <c r="J44" s="124"/>
      <c r="K44" s="122">
        <v>0</v>
      </c>
      <c r="L44" s="123">
        <f>'2'!AI202</f>
        <v>0</v>
      </c>
      <c r="M44" s="123">
        <f>'2'!AI155</f>
        <v>0</v>
      </c>
      <c r="N44" s="123">
        <f>'2'!AI110</f>
        <v>0</v>
      </c>
      <c r="O44" s="123">
        <f>'2'!AI63</f>
        <v>0</v>
      </c>
      <c r="P44" s="123">
        <f>'2'!AI18</f>
        <v>0</v>
      </c>
      <c r="Q44" s="123">
        <f>'2'!DY63</f>
        <v>0</v>
      </c>
      <c r="R44" s="123">
        <f>'2'!DY110</f>
        <v>0</v>
      </c>
      <c r="S44" s="123">
        <f>'2'!DY155</f>
        <v>0</v>
      </c>
      <c r="U44" s="122">
        <v>0</v>
      </c>
      <c r="V44" s="123">
        <f>'2'!AJ202</f>
        <v>0</v>
      </c>
      <c r="W44" s="123">
        <f>'2'!AJ155</f>
        <v>0</v>
      </c>
      <c r="X44" s="123">
        <f>'2'!AJ110</f>
        <v>0</v>
      </c>
      <c r="Y44" s="123">
        <f>'2'!AJ63</f>
        <v>0</v>
      </c>
      <c r="Z44" s="123">
        <f>'2'!AJ18</f>
        <v>177.49</v>
      </c>
      <c r="AA44" s="123">
        <f>'2'!DZ63</f>
        <v>0</v>
      </c>
      <c r="AB44" s="123">
        <f>'2'!DZ110</f>
        <v>0</v>
      </c>
      <c r="AC44" s="123">
        <f>'2'!DZ155</f>
        <v>0</v>
      </c>
      <c r="AD44" s="124"/>
      <c r="AE44" s="124"/>
      <c r="AF44" s="122">
        <v>0</v>
      </c>
      <c r="AG44" s="125">
        <f>'2'!AO202</f>
        <v>0</v>
      </c>
      <c r="AH44" s="125">
        <f>'2'!AO155</f>
        <v>0</v>
      </c>
      <c r="AI44" s="125">
        <f>'2'!AO110</f>
        <v>0</v>
      </c>
      <c r="AJ44" s="125">
        <f>'2'!AO63</f>
        <v>0</v>
      </c>
      <c r="AK44" s="125">
        <f>'2'!AO18</f>
        <v>1.1379999999999999</v>
      </c>
      <c r="AL44" s="125">
        <f>'2'!EE63</f>
        <v>0</v>
      </c>
      <c r="AM44" s="125">
        <f>'2'!EE110</f>
        <v>0</v>
      </c>
      <c r="AN44" s="125">
        <f>'2'!EE155</f>
        <v>0</v>
      </c>
      <c r="AO44" s="127"/>
      <c r="AP44" s="127"/>
      <c r="AQ44" s="122">
        <v>0</v>
      </c>
      <c r="AR44" s="125">
        <f>'2'!AP202</f>
        <v>0</v>
      </c>
      <c r="AS44" s="125">
        <f>'2'!AP155</f>
        <v>0</v>
      </c>
      <c r="AT44" s="125">
        <f>'2'!AP110</f>
        <v>0</v>
      </c>
      <c r="AU44" s="125">
        <f>'2'!AP63</f>
        <v>0</v>
      </c>
      <c r="AV44" s="125">
        <f>'2'!AP18</f>
        <v>0</v>
      </c>
      <c r="AW44" s="125">
        <f>'2'!EF63</f>
        <v>0</v>
      </c>
      <c r="AX44" s="125">
        <f>'2'!EF110</f>
        <v>0</v>
      </c>
      <c r="AY44" s="125">
        <f>'2'!EF155</f>
        <v>0</v>
      </c>
      <c r="AZ44" s="127"/>
      <c r="BA44" s="127"/>
      <c r="BB44" s="122">
        <v>0</v>
      </c>
      <c r="BC44" s="123">
        <f>'2'!AS202</f>
        <v>0</v>
      </c>
      <c r="BD44" s="123">
        <f>'2'!AS155</f>
        <v>0</v>
      </c>
      <c r="BE44" s="123">
        <f>'2'!AS110</f>
        <v>0</v>
      </c>
      <c r="BF44" s="123">
        <f>'2'!AS63</f>
        <v>0</v>
      </c>
      <c r="BG44" s="123">
        <f>'2'!AS18</f>
        <v>0.192</v>
      </c>
      <c r="BH44" s="123">
        <f>'2'!EI63</f>
        <v>0</v>
      </c>
      <c r="BI44" s="123">
        <f>'2'!EI110</f>
        <v>0</v>
      </c>
      <c r="BJ44" s="123">
        <f>'2'!EI155</f>
        <v>0</v>
      </c>
      <c r="BK44" s="127"/>
      <c r="BL44" s="127"/>
      <c r="BM44" s="127"/>
      <c r="BN44" s="127"/>
      <c r="BO44" s="127"/>
      <c r="BP44" s="127"/>
      <c r="BQ44" s="127"/>
      <c r="BR44" s="127"/>
      <c r="BS44" s="127"/>
      <c r="BT44" s="127"/>
      <c r="BU44" s="127"/>
      <c r="BV44" s="127"/>
      <c r="BW44" s="127"/>
      <c r="BX44" s="127"/>
      <c r="BY44" s="127"/>
      <c r="BZ44" s="127"/>
      <c r="CA44" s="127"/>
      <c r="CB44" s="127"/>
      <c r="CC44" s="127"/>
      <c r="CD44" s="127"/>
      <c r="CE44" s="127"/>
      <c r="CF44" s="127"/>
    </row>
    <row r="45" spans="1:84" x14ac:dyDescent="0.25">
      <c r="A45" s="122">
        <v>-0.1</v>
      </c>
      <c r="B45" s="123">
        <f>'2'!AH203</f>
        <v>0</v>
      </c>
      <c r="C45" s="123">
        <f>'2'!AH156</f>
        <v>0</v>
      </c>
      <c r="D45" s="123">
        <f>'2'!AH111</f>
        <v>0</v>
      </c>
      <c r="E45" s="123">
        <f>'2'!AH64</f>
        <v>0</v>
      </c>
      <c r="F45" s="123">
        <f>'2'!AH19</f>
        <v>0</v>
      </c>
      <c r="G45" s="123">
        <f>'2'!DX64</f>
        <v>0</v>
      </c>
      <c r="H45" s="123">
        <f>'2'!DX111</f>
        <v>0</v>
      </c>
      <c r="I45" s="123">
        <f>'2'!DX156</f>
        <v>0</v>
      </c>
      <c r="J45" s="124"/>
      <c r="K45" s="122">
        <v>-0.1</v>
      </c>
      <c r="L45" s="123">
        <f>'2'!AI203</f>
        <v>0</v>
      </c>
      <c r="M45" s="123">
        <f>'2'!AI156</f>
        <v>0</v>
      </c>
      <c r="N45" s="123">
        <f>'2'!AI111</f>
        <v>0</v>
      </c>
      <c r="O45" s="123">
        <f>'2'!AI64</f>
        <v>0</v>
      </c>
      <c r="P45" s="123">
        <f>'2'!AI19</f>
        <v>0</v>
      </c>
      <c r="Q45" s="123">
        <f>'2'!DY64</f>
        <v>0</v>
      </c>
      <c r="R45" s="123">
        <f>'2'!DY111</f>
        <v>0</v>
      </c>
      <c r="S45" s="123">
        <f>'2'!DY156</f>
        <v>0</v>
      </c>
      <c r="U45" s="122">
        <v>-0.1</v>
      </c>
      <c r="V45" s="123">
        <f>'2'!AJ203</f>
        <v>0</v>
      </c>
      <c r="W45" s="123">
        <f>'2'!AJ156</f>
        <v>0</v>
      </c>
      <c r="X45" s="123">
        <f>'2'!AJ111</f>
        <v>0</v>
      </c>
      <c r="Y45" s="123">
        <f>'2'!AJ64</f>
        <v>0</v>
      </c>
      <c r="Z45" s="123">
        <f>'2'!AJ19</f>
        <v>0</v>
      </c>
      <c r="AA45" s="123">
        <f>'2'!DZ64</f>
        <v>0</v>
      </c>
      <c r="AB45" s="123">
        <f>'2'!DZ111</f>
        <v>0</v>
      </c>
      <c r="AC45" s="123">
        <f>'2'!DZ156</f>
        <v>0</v>
      </c>
      <c r="AD45" s="124"/>
      <c r="AE45" s="124"/>
      <c r="AF45" s="122">
        <v>-0.1</v>
      </c>
      <c r="AG45" s="125">
        <f>'2'!AO203</f>
        <v>0</v>
      </c>
      <c r="AH45" s="125">
        <f>'2'!AO156</f>
        <v>0</v>
      </c>
      <c r="AI45" s="125">
        <f>'2'!AO111</f>
        <v>0</v>
      </c>
      <c r="AJ45" s="125">
        <f>'2'!AO64</f>
        <v>0</v>
      </c>
      <c r="AK45" s="125">
        <f>'2'!AO19</f>
        <v>0</v>
      </c>
      <c r="AL45" s="125">
        <f>'2'!EE64</f>
        <v>0</v>
      </c>
      <c r="AM45" s="125">
        <f>'2'!EE111</f>
        <v>0</v>
      </c>
      <c r="AN45" s="125">
        <f>'2'!EE156</f>
        <v>0</v>
      </c>
      <c r="AO45" s="127"/>
      <c r="AP45" s="127"/>
      <c r="AQ45" s="122">
        <v>-0.1</v>
      </c>
      <c r="AR45" s="125">
        <f>'2'!AP203</f>
        <v>0</v>
      </c>
      <c r="AS45" s="125">
        <f>'2'!AP156</f>
        <v>0</v>
      </c>
      <c r="AT45" s="125">
        <f>'2'!AP111</f>
        <v>0</v>
      </c>
      <c r="AU45" s="125">
        <f>'2'!AP64</f>
        <v>0</v>
      </c>
      <c r="AV45" s="125">
        <f>'2'!AP19</f>
        <v>0</v>
      </c>
      <c r="AW45" s="125">
        <f>'2'!EF64</f>
        <v>0</v>
      </c>
      <c r="AX45" s="125">
        <f>'2'!EF111</f>
        <v>0</v>
      </c>
      <c r="AY45" s="125">
        <f>'2'!EF156</f>
        <v>0</v>
      </c>
      <c r="AZ45" s="127"/>
      <c r="BA45" s="127"/>
      <c r="BB45" s="122">
        <v>-0.1</v>
      </c>
      <c r="BC45" s="123">
        <f>'2'!AS203</f>
        <v>0</v>
      </c>
      <c r="BD45" s="123">
        <f>'2'!AS156</f>
        <v>0</v>
      </c>
      <c r="BE45" s="123">
        <f>'2'!AS111</f>
        <v>0</v>
      </c>
      <c r="BF45" s="123">
        <f>'2'!AS64</f>
        <v>0</v>
      </c>
      <c r="BG45" s="123">
        <f>'2'!AS19</f>
        <v>0</v>
      </c>
      <c r="BH45" s="123">
        <f>'2'!EI64</f>
        <v>0</v>
      </c>
      <c r="BI45" s="123">
        <f>'2'!EI111</f>
        <v>0</v>
      </c>
      <c r="BJ45" s="123">
        <f>'2'!EI156</f>
        <v>0</v>
      </c>
      <c r="BK45" s="127"/>
      <c r="BL45" s="127"/>
      <c r="BM45" s="127"/>
      <c r="BN45" s="127"/>
      <c r="BO45" s="127"/>
      <c r="BP45" s="127"/>
      <c r="BQ45" s="127"/>
      <c r="BR45" s="127"/>
      <c r="BS45" s="127"/>
      <c r="BT45" s="127"/>
      <c r="BU45" s="127"/>
      <c r="BV45" s="127"/>
      <c r="BW45" s="127"/>
      <c r="BX45" s="127"/>
      <c r="BY45" s="127"/>
      <c r="BZ45" s="127"/>
      <c r="CA45" s="127"/>
      <c r="CB45" s="127"/>
      <c r="CC45" s="127"/>
      <c r="CD45" s="127"/>
      <c r="CE45" s="127"/>
      <c r="CF45" s="127"/>
    </row>
    <row r="46" spans="1:84" x14ac:dyDescent="0.25">
      <c r="A46" s="122">
        <v>-0.2</v>
      </c>
      <c r="B46" s="123">
        <f>'2'!AH204</f>
        <v>0</v>
      </c>
      <c r="C46" s="123">
        <f>'2'!AH157</f>
        <v>0</v>
      </c>
      <c r="D46" s="123">
        <f>'2'!AH112</f>
        <v>0</v>
      </c>
      <c r="E46" s="123">
        <f>'2'!AH65</f>
        <v>0</v>
      </c>
      <c r="F46" s="123">
        <f>'2'!AH20</f>
        <v>0</v>
      </c>
      <c r="G46" s="123">
        <f>'2'!DX65</f>
        <v>0</v>
      </c>
      <c r="H46" s="123">
        <f>'2'!DX112</f>
        <v>0</v>
      </c>
      <c r="I46" s="123">
        <f>'2'!DX157</f>
        <v>0</v>
      </c>
      <c r="J46" s="124"/>
      <c r="K46" s="122">
        <v>-0.2</v>
      </c>
      <c r="L46" s="123">
        <f>'2'!AI204</f>
        <v>0</v>
      </c>
      <c r="M46" s="123">
        <f>'2'!AI157</f>
        <v>0</v>
      </c>
      <c r="N46" s="123">
        <f>'2'!AI112</f>
        <v>0</v>
      </c>
      <c r="O46" s="123">
        <f>'2'!AI65</f>
        <v>0</v>
      </c>
      <c r="P46" s="123">
        <f>'2'!AI20</f>
        <v>0</v>
      </c>
      <c r="Q46" s="123">
        <f>'2'!DY65</f>
        <v>0</v>
      </c>
      <c r="R46" s="123">
        <f>'2'!DY112</f>
        <v>0</v>
      </c>
      <c r="S46" s="123">
        <f>'2'!DY157</f>
        <v>0</v>
      </c>
      <c r="U46" s="122">
        <v>-0.2</v>
      </c>
      <c r="V46" s="123">
        <f>'2'!AJ204</f>
        <v>0</v>
      </c>
      <c r="W46" s="123">
        <f>'2'!AJ157</f>
        <v>0</v>
      </c>
      <c r="X46" s="123">
        <f>'2'!AJ112</f>
        <v>0</v>
      </c>
      <c r="Y46" s="123">
        <f>'2'!AJ65</f>
        <v>0</v>
      </c>
      <c r="Z46" s="123">
        <f>'2'!AJ20</f>
        <v>0</v>
      </c>
      <c r="AA46" s="123">
        <f>'2'!DZ65</f>
        <v>0</v>
      </c>
      <c r="AB46" s="123">
        <f>'2'!DZ112</f>
        <v>0</v>
      </c>
      <c r="AC46" s="123">
        <f>'2'!DZ157</f>
        <v>0</v>
      </c>
      <c r="AD46" s="124"/>
      <c r="AE46" s="124"/>
      <c r="AF46" s="122">
        <v>-0.2</v>
      </c>
      <c r="AG46" s="125">
        <f>'2'!AO204</f>
        <v>0</v>
      </c>
      <c r="AH46" s="125">
        <f>'2'!AO157</f>
        <v>0</v>
      </c>
      <c r="AI46" s="125">
        <f>'2'!AO112</f>
        <v>0</v>
      </c>
      <c r="AJ46" s="125">
        <f>'2'!AO65</f>
        <v>0</v>
      </c>
      <c r="AK46" s="125">
        <f>'2'!AO20</f>
        <v>0</v>
      </c>
      <c r="AL46" s="125">
        <f>'2'!EE65</f>
        <v>0</v>
      </c>
      <c r="AM46" s="125">
        <f>'2'!EE112</f>
        <v>0</v>
      </c>
      <c r="AN46" s="125">
        <f>'2'!EE157</f>
        <v>0</v>
      </c>
      <c r="AO46" s="127"/>
      <c r="AP46" s="127"/>
      <c r="AQ46" s="122">
        <v>-0.2</v>
      </c>
      <c r="AR46" s="125">
        <f>'2'!AP204</f>
        <v>0</v>
      </c>
      <c r="AS46" s="125">
        <f>'2'!AP157</f>
        <v>0</v>
      </c>
      <c r="AT46" s="125">
        <f>'2'!AP112</f>
        <v>0</v>
      </c>
      <c r="AU46" s="125">
        <f>'2'!AP65</f>
        <v>0</v>
      </c>
      <c r="AV46" s="125">
        <f>'2'!AP20</f>
        <v>0</v>
      </c>
      <c r="AW46" s="125">
        <f>'2'!EF65</f>
        <v>0</v>
      </c>
      <c r="AX46" s="125">
        <f>'2'!EF112</f>
        <v>0</v>
      </c>
      <c r="AY46" s="125">
        <f>'2'!EF157</f>
        <v>0</v>
      </c>
      <c r="AZ46" s="127"/>
      <c r="BA46" s="127"/>
      <c r="BB46" s="122">
        <v>-0.2</v>
      </c>
      <c r="BC46" s="123">
        <f>'2'!AS204</f>
        <v>0</v>
      </c>
      <c r="BD46" s="123">
        <f>'2'!AS157</f>
        <v>0</v>
      </c>
      <c r="BE46" s="123">
        <f>'2'!AS112</f>
        <v>0</v>
      </c>
      <c r="BF46" s="123">
        <f>'2'!AS65</f>
        <v>0</v>
      </c>
      <c r="BG46" s="123">
        <f>'2'!AS20</f>
        <v>0</v>
      </c>
      <c r="BH46" s="123">
        <f>'2'!EI65</f>
        <v>0</v>
      </c>
      <c r="BI46" s="123">
        <f>'2'!EI112</f>
        <v>0</v>
      </c>
      <c r="BJ46" s="123">
        <f>'2'!EI157</f>
        <v>0</v>
      </c>
      <c r="BK46" s="127"/>
      <c r="BL46" s="127"/>
      <c r="BM46" s="127"/>
      <c r="BN46" s="127"/>
      <c r="BO46" s="127"/>
      <c r="BP46" s="127"/>
      <c r="BQ46" s="127"/>
      <c r="BR46" s="127"/>
      <c r="BS46" s="127"/>
      <c r="BT46" s="127"/>
      <c r="BU46" s="127"/>
      <c r="BV46" s="127"/>
      <c r="BW46" s="127"/>
      <c r="BX46" s="127"/>
      <c r="BY46" s="127"/>
      <c r="BZ46" s="127"/>
      <c r="CA46" s="127"/>
      <c r="CB46" s="127"/>
      <c r="CC46" s="127"/>
      <c r="CD46" s="127"/>
      <c r="CE46" s="127"/>
      <c r="CF46" s="127"/>
    </row>
    <row r="47" spans="1:84" x14ac:dyDescent="0.25">
      <c r="A47" s="122">
        <v>-0.3</v>
      </c>
      <c r="B47" s="123">
        <f>'2'!AH205</f>
        <v>0</v>
      </c>
      <c r="C47" s="123">
        <f>'2'!AH158</f>
        <v>0</v>
      </c>
      <c r="D47" s="123">
        <f>'2'!AH113</f>
        <v>0</v>
      </c>
      <c r="E47" s="123">
        <f>'2'!AH66</f>
        <v>0</v>
      </c>
      <c r="F47" s="123">
        <f>'2'!AH21</f>
        <v>0</v>
      </c>
      <c r="G47" s="123">
        <f>'2'!DX66</f>
        <v>0</v>
      </c>
      <c r="H47" s="123">
        <f>'2'!DX113</f>
        <v>0</v>
      </c>
      <c r="I47" s="123">
        <f>'2'!DX158</f>
        <v>0</v>
      </c>
      <c r="J47" s="124"/>
      <c r="K47" s="122">
        <v>-0.3</v>
      </c>
      <c r="L47" s="123">
        <f>'2'!AI205</f>
        <v>0</v>
      </c>
      <c r="M47" s="123">
        <f>'2'!AI158</f>
        <v>0</v>
      </c>
      <c r="N47" s="123">
        <f>'2'!AI113</f>
        <v>0</v>
      </c>
      <c r="O47" s="123">
        <f>'2'!AI66</f>
        <v>0</v>
      </c>
      <c r="P47" s="123">
        <f>'2'!AI21</f>
        <v>0</v>
      </c>
      <c r="Q47" s="123">
        <f>'2'!DY66</f>
        <v>0</v>
      </c>
      <c r="R47" s="123">
        <f>'2'!DY113</f>
        <v>0</v>
      </c>
      <c r="S47" s="123">
        <f>'2'!DY158</f>
        <v>0</v>
      </c>
      <c r="U47" s="122">
        <v>-0.3</v>
      </c>
      <c r="V47" s="123">
        <f>'2'!AJ205</f>
        <v>0</v>
      </c>
      <c r="W47" s="123">
        <f>'2'!AJ158</f>
        <v>0</v>
      </c>
      <c r="X47" s="123">
        <f>'2'!AJ113</f>
        <v>0</v>
      </c>
      <c r="Y47" s="123">
        <f>'2'!AJ66</f>
        <v>0</v>
      </c>
      <c r="Z47" s="123">
        <f>'2'!AJ21</f>
        <v>0</v>
      </c>
      <c r="AA47" s="123">
        <f>'2'!DZ66</f>
        <v>0</v>
      </c>
      <c r="AB47" s="123">
        <f>'2'!DZ113</f>
        <v>0</v>
      </c>
      <c r="AC47" s="123">
        <f>'2'!DZ158</f>
        <v>0</v>
      </c>
      <c r="AD47" s="124"/>
      <c r="AE47" s="124"/>
      <c r="AF47" s="122">
        <v>-0.3</v>
      </c>
      <c r="AG47" s="125">
        <f>'2'!AO205</f>
        <v>0</v>
      </c>
      <c r="AH47" s="125">
        <f>'2'!AO158</f>
        <v>0</v>
      </c>
      <c r="AI47" s="125">
        <f>'2'!AO113</f>
        <v>0</v>
      </c>
      <c r="AJ47" s="125">
        <f>'2'!AO66</f>
        <v>0</v>
      </c>
      <c r="AK47" s="125">
        <f>'2'!AO21</f>
        <v>0</v>
      </c>
      <c r="AL47" s="125">
        <f>'2'!EE66</f>
        <v>0</v>
      </c>
      <c r="AM47" s="125">
        <f>'2'!EE113</f>
        <v>0</v>
      </c>
      <c r="AN47" s="125">
        <f>'2'!EE158</f>
        <v>0</v>
      </c>
      <c r="AO47" s="127"/>
      <c r="AP47" s="127"/>
      <c r="AQ47" s="122">
        <v>-0.3</v>
      </c>
      <c r="AR47" s="125">
        <f>'2'!AP205</f>
        <v>0</v>
      </c>
      <c r="AS47" s="125">
        <f>'2'!AP158</f>
        <v>0</v>
      </c>
      <c r="AT47" s="125">
        <f>'2'!AP113</f>
        <v>0</v>
      </c>
      <c r="AU47" s="125">
        <f>'2'!AP66</f>
        <v>0</v>
      </c>
      <c r="AV47" s="125">
        <f>'2'!AP21</f>
        <v>0</v>
      </c>
      <c r="AW47" s="125">
        <f>'2'!EF66</f>
        <v>0</v>
      </c>
      <c r="AX47" s="125">
        <f>'2'!EF113</f>
        <v>0</v>
      </c>
      <c r="AY47" s="125">
        <f>'2'!EF158</f>
        <v>0</v>
      </c>
      <c r="AZ47" s="127"/>
      <c r="BA47" s="127"/>
      <c r="BB47" s="122">
        <v>-0.3</v>
      </c>
      <c r="BC47" s="123">
        <f>'2'!AS205</f>
        <v>0</v>
      </c>
      <c r="BD47" s="123">
        <f>'2'!AS158</f>
        <v>0</v>
      </c>
      <c r="BE47" s="123">
        <f>'2'!AS113</f>
        <v>0</v>
      </c>
      <c r="BF47" s="123">
        <f>'2'!AS66</f>
        <v>0</v>
      </c>
      <c r="BG47" s="123">
        <f>'2'!AS21</f>
        <v>0</v>
      </c>
      <c r="BH47" s="123">
        <f>'2'!EI66</f>
        <v>0</v>
      </c>
      <c r="BI47" s="123">
        <f>'2'!EI113</f>
        <v>0</v>
      </c>
      <c r="BJ47" s="123">
        <f>'2'!EI158</f>
        <v>0</v>
      </c>
      <c r="BK47" s="127"/>
      <c r="BL47" s="127"/>
      <c r="BM47" s="127"/>
      <c r="BN47" s="127"/>
      <c r="BO47" s="127"/>
      <c r="BP47" s="127"/>
      <c r="BQ47" s="127"/>
      <c r="BR47" s="127"/>
      <c r="BS47" s="127"/>
      <c r="BT47" s="127"/>
      <c r="BU47" s="127"/>
      <c r="BV47" s="127"/>
      <c r="BW47" s="127"/>
      <c r="BX47" s="127"/>
      <c r="BY47" s="127"/>
      <c r="BZ47" s="127"/>
      <c r="CA47" s="127"/>
      <c r="CB47" s="127"/>
      <c r="CC47" s="127"/>
      <c r="CD47" s="127"/>
      <c r="CE47" s="127"/>
      <c r="CF47" s="127"/>
    </row>
    <row r="48" spans="1:84" x14ac:dyDescent="0.25">
      <c r="A48" s="122">
        <v>-0.4</v>
      </c>
      <c r="B48" s="123">
        <f>'2'!AH206</f>
        <v>0</v>
      </c>
      <c r="C48" s="123">
        <f>'2'!AH159</f>
        <v>0</v>
      </c>
      <c r="D48" s="123">
        <f>'2'!AH114</f>
        <v>0</v>
      </c>
      <c r="E48" s="123">
        <f>'2'!AH67</f>
        <v>0</v>
      </c>
      <c r="F48" s="123">
        <f>'2'!AH22</f>
        <v>0</v>
      </c>
      <c r="G48" s="123">
        <f>'2'!DX67</f>
        <v>0</v>
      </c>
      <c r="H48" s="123">
        <f>'2'!DX114</f>
        <v>0</v>
      </c>
      <c r="I48" s="123">
        <f>'2'!DX159</f>
        <v>0</v>
      </c>
      <c r="J48" s="124"/>
      <c r="K48" s="122">
        <v>-0.4</v>
      </c>
      <c r="L48" s="123">
        <f>'2'!AI206</f>
        <v>0</v>
      </c>
      <c r="M48" s="123">
        <f>'2'!AI159</f>
        <v>0</v>
      </c>
      <c r="N48" s="123">
        <f>'2'!AI114</f>
        <v>0</v>
      </c>
      <c r="O48" s="123">
        <f>'2'!AI67</f>
        <v>0</v>
      </c>
      <c r="P48" s="123">
        <f>'2'!AI22</f>
        <v>0</v>
      </c>
      <c r="Q48" s="123">
        <f>'2'!DY67</f>
        <v>0</v>
      </c>
      <c r="R48" s="123">
        <f>'2'!DY114</f>
        <v>0</v>
      </c>
      <c r="S48" s="123">
        <f>'2'!DY159</f>
        <v>0</v>
      </c>
      <c r="U48" s="122">
        <v>-0.4</v>
      </c>
      <c r="V48" s="123">
        <f>'2'!AJ206</f>
        <v>0</v>
      </c>
      <c r="W48" s="123">
        <f>'2'!AJ159</f>
        <v>0</v>
      </c>
      <c r="X48" s="123">
        <f>'2'!AJ114</f>
        <v>0</v>
      </c>
      <c r="Y48" s="123">
        <f>'2'!AJ67</f>
        <v>0</v>
      </c>
      <c r="Z48" s="123">
        <f>'2'!AJ22</f>
        <v>0</v>
      </c>
      <c r="AA48" s="123">
        <f>'2'!DZ67</f>
        <v>0</v>
      </c>
      <c r="AB48" s="123">
        <f>'2'!DZ114</f>
        <v>0</v>
      </c>
      <c r="AC48" s="123">
        <f>'2'!DZ159</f>
        <v>0</v>
      </c>
      <c r="AD48" s="124"/>
      <c r="AE48" s="124"/>
      <c r="AF48" s="122">
        <v>-0.4</v>
      </c>
      <c r="AG48" s="125">
        <f>'2'!AO206</f>
        <v>0</v>
      </c>
      <c r="AH48" s="125">
        <f>'2'!AO159</f>
        <v>0</v>
      </c>
      <c r="AI48" s="125">
        <f>'2'!AO114</f>
        <v>0</v>
      </c>
      <c r="AJ48" s="125">
        <f>'2'!AO67</f>
        <v>0</v>
      </c>
      <c r="AK48" s="125">
        <f>'2'!AO22</f>
        <v>0</v>
      </c>
      <c r="AL48" s="125">
        <f>'2'!EE67</f>
        <v>0</v>
      </c>
      <c r="AM48" s="125">
        <f>'2'!EE114</f>
        <v>0</v>
      </c>
      <c r="AN48" s="125">
        <f>'2'!EE159</f>
        <v>0</v>
      </c>
      <c r="AO48" s="127"/>
      <c r="AP48" s="127"/>
      <c r="AQ48" s="122">
        <v>-0.4</v>
      </c>
      <c r="AR48" s="125">
        <f>'2'!AP206</f>
        <v>0</v>
      </c>
      <c r="AS48" s="125">
        <f>'2'!AP159</f>
        <v>0</v>
      </c>
      <c r="AT48" s="125">
        <f>'2'!AP114</f>
        <v>0</v>
      </c>
      <c r="AU48" s="125">
        <f>'2'!AP67</f>
        <v>0</v>
      </c>
      <c r="AV48" s="125">
        <f>'2'!AP22</f>
        <v>0</v>
      </c>
      <c r="AW48" s="125">
        <f>'2'!EF67</f>
        <v>0</v>
      </c>
      <c r="AX48" s="125">
        <f>'2'!EF114</f>
        <v>0</v>
      </c>
      <c r="AY48" s="125">
        <f>'2'!EF159</f>
        <v>0</v>
      </c>
      <c r="AZ48" s="127"/>
      <c r="BA48" s="127"/>
      <c r="BB48" s="122">
        <v>-0.4</v>
      </c>
      <c r="BC48" s="123">
        <f>'2'!AS206</f>
        <v>0</v>
      </c>
      <c r="BD48" s="123">
        <f>'2'!AS159</f>
        <v>0</v>
      </c>
      <c r="BE48" s="123">
        <f>'2'!AS114</f>
        <v>0</v>
      </c>
      <c r="BF48" s="123">
        <f>'2'!AS67</f>
        <v>0</v>
      </c>
      <c r="BG48" s="123">
        <f>'2'!AS22</f>
        <v>0</v>
      </c>
      <c r="BH48" s="123">
        <f>'2'!EI67</f>
        <v>0</v>
      </c>
      <c r="BI48" s="123">
        <f>'2'!EI114</f>
        <v>0</v>
      </c>
      <c r="BJ48" s="123">
        <f>'2'!EI159</f>
        <v>0</v>
      </c>
      <c r="BK48" s="127"/>
      <c r="BL48" s="127"/>
      <c r="BM48" s="127"/>
      <c r="BN48" s="127"/>
      <c r="BO48" s="127"/>
      <c r="BP48" s="127"/>
      <c r="BQ48" s="127"/>
      <c r="BR48" s="127"/>
      <c r="BS48" s="127"/>
      <c r="BT48" s="127"/>
      <c r="BU48" s="127"/>
      <c r="BV48" s="127"/>
      <c r="BW48" s="127"/>
      <c r="BX48" s="127"/>
      <c r="BY48" s="127"/>
      <c r="BZ48" s="127"/>
      <c r="CA48" s="127"/>
      <c r="CB48" s="127"/>
      <c r="CC48" s="127"/>
      <c r="CD48" s="127"/>
      <c r="CE48" s="127"/>
      <c r="CF48" s="127"/>
    </row>
    <row r="49" spans="1:84" x14ac:dyDescent="0.25">
      <c r="A49" s="122">
        <v>-0.5</v>
      </c>
      <c r="B49" s="123">
        <f>'2'!AH207</f>
        <v>0</v>
      </c>
      <c r="C49" s="123">
        <f>'2'!AH160</f>
        <v>0</v>
      </c>
      <c r="D49" s="123">
        <f>'2'!AH115</f>
        <v>0</v>
      </c>
      <c r="E49" s="123">
        <f>'2'!AH68</f>
        <v>0</v>
      </c>
      <c r="F49" s="123">
        <f>'2'!AH23</f>
        <v>0</v>
      </c>
      <c r="G49" s="123">
        <f>'2'!DX68</f>
        <v>0</v>
      </c>
      <c r="H49" s="123">
        <f>'2'!DX115</f>
        <v>0</v>
      </c>
      <c r="I49" s="123">
        <f>'2'!DX160</f>
        <v>0</v>
      </c>
      <c r="J49" s="124"/>
      <c r="K49" s="122">
        <v>-0.5</v>
      </c>
      <c r="L49" s="123">
        <f>'2'!AI207</f>
        <v>0</v>
      </c>
      <c r="M49" s="123">
        <f>'2'!AI160</f>
        <v>0</v>
      </c>
      <c r="N49" s="123">
        <f>'2'!AI115</f>
        <v>0</v>
      </c>
      <c r="O49" s="123">
        <f>'2'!AI68</f>
        <v>0</v>
      </c>
      <c r="P49" s="123">
        <f>'2'!AI23</f>
        <v>0</v>
      </c>
      <c r="Q49" s="123">
        <f>'2'!DY68</f>
        <v>0</v>
      </c>
      <c r="R49" s="123">
        <f>'2'!DY115</f>
        <v>0</v>
      </c>
      <c r="S49" s="123">
        <f>'2'!DY160</f>
        <v>0</v>
      </c>
      <c r="U49" s="122">
        <v>-0.5</v>
      </c>
      <c r="V49" s="123">
        <f>'2'!AJ207</f>
        <v>0</v>
      </c>
      <c r="W49" s="123">
        <f>'2'!AJ160</f>
        <v>0</v>
      </c>
      <c r="X49" s="123">
        <f>'2'!AJ115</f>
        <v>0</v>
      </c>
      <c r="Y49" s="123">
        <f>'2'!AJ68</f>
        <v>0</v>
      </c>
      <c r="Z49" s="123">
        <f>'2'!AJ23</f>
        <v>0</v>
      </c>
      <c r="AA49" s="123">
        <f>'2'!DZ68</f>
        <v>0</v>
      </c>
      <c r="AB49" s="123">
        <f>'2'!DZ115</f>
        <v>0</v>
      </c>
      <c r="AC49" s="123">
        <f>'2'!DZ160</f>
        <v>0</v>
      </c>
      <c r="AD49" s="124"/>
      <c r="AE49" s="124"/>
      <c r="AF49" s="122">
        <v>-0.5</v>
      </c>
      <c r="AG49" s="125">
        <f>'2'!AO207</f>
        <v>0</v>
      </c>
      <c r="AH49" s="125">
        <f>'2'!AO160</f>
        <v>0</v>
      </c>
      <c r="AI49" s="125">
        <f>'2'!AO115</f>
        <v>0</v>
      </c>
      <c r="AJ49" s="125">
        <f>'2'!AO68</f>
        <v>0</v>
      </c>
      <c r="AK49" s="125">
        <f>'2'!AO23</f>
        <v>0</v>
      </c>
      <c r="AL49" s="125">
        <f>'2'!EE68</f>
        <v>0</v>
      </c>
      <c r="AM49" s="125">
        <f>'2'!EE115</f>
        <v>0</v>
      </c>
      <c r="AN49" s="125">
        <f>'2'!EE160</f>
        <v>0</v>
      </c>
      <c r="AO49" s="127"/>
      <c r="AP49" s="127"/>
      <c r="AQ49" s="122">
        <v>-0.5</v>
      </c>
      <c r="AR49" s="125">
        <f>'2'!AP207</f>
        <v>0</v>
      </c>
      <c r="AS49" s="125">
        <f>'2'!AP160</f>
        <v>0</v>
      </c>
      <c r="AT49" s="125">
        <f>'2'!AP115</f>
        <v>0</v>
      </c>
      <c r="AU49" s="125">
        <f>'2'!AP68</f>
        <v>0</v>
      </c>
      <c r="AV49" s="125">
        <f>'2'!AP23</f>
        <v>0</v>
      </c>
      <c r="AW49" s="125">
        <f>'2'!EF68</f>
        <v>0</v>
      </c>
      <c r="AX49" s="125">
        <f>'2'!EF115</f>
        <v>0</v>
      </c>
      <c r="AY49" s="125">
        <f>'2'!EF160</f>
        <v>0</v>
      </c>
      <c r="AZ49" s="127"/>
      <c r="BA49" s="127"/>
      <c r="BB49" s="122">
        <v>-0.5</v>
      </c>
      <c r="BC49" s="123">
        <f>'2'!AS207</f>
        <v>0</v>
      </c>
      <c r="BD49" s="123">
        <f>'2'!AS160</f>
        <v>0</v>
      </c>
      <c r="BE49" s="123">
        <f>'2'!AS115</f>
        <v>0</v>
      </c>
      <c r="BF49" s="123">
        <f>'2'!AS68</f>
        <v>0</v>
      </c>
      <c r="BG49" s="123">
        <f>'2'!AS23</f>
        <v>0</v>
      </c>
      <c r="BH49" s="123">
        <f>'2'!EI68</f>
        <v>0</v>
      </c>
      <c r="BI49" s="123">
        <f>'2'!EI115</f>
        <v>0</v>
      </c>
      <c r="BJ49" s="123">
        <f>'2'!EI160</f>
        <v>0</v>
      </c>
      <c r="BK49" s="127"/>
      <c r="BL49" s="127"/>
      <c r="BM49" s="127"/>
      <c r="BN49" s="127"/>
      <c r="BO49" s="127"/>
      <c r="BP49" s="127"/>
      <c r="BQ49" s="127"/>
      <c r="BR49" s="127"/>
      <c r="BS49" s="127"/>
      <c r="BT49" s="127"/>
      <c r="BU49" s="127"/>
      <c r="BV49" s="127"/>
      <c r="BW49" s="127"/>
      <c r="BX49" s="127"/>
      <c r="BY49" s="127"/>
      <c r="BZ49" s="127"/>
      <c r="CA49" s="127"/>
      <c r="CB49" s="127"/>
      <c r="CC49" s="127"/>
      <c r="CD49" s="127"/>
      <c r="CE49" s="127"/>
      <c r="CF49" s="127"/>
    </row>
    <row r="50" spans="1:84" x14ac:dyDescent="0.25">
      <c r="A50" s="122">
        <v>-0.6</v>
      </c>
      <c r="B50" s="123">
        <f>'2'!AH208</f>
        <v>0</v>
      </c>
      <c r="C50" s="123">
        <f>'2'!AH161</f>
        <v>0</v>
      </c>
      <c r="D50" s="123">
        <f>'2'!AH116</f>
        <v>0</v>
      </c>
      <c r="E50" s="123">
        <f>'2'!AH69</f>
        <v>0</v>
      </c>
      <c r="F50" s="123">
        <f>'2'!AH24</f>
        <v>0</v>
      </c>
      <c r="G50" s="123">
        <f>'2'!DX69</f>
        <v>0</v>
      </c>
      <c r="H50" s="123">
        <f>'2'!DX116</f>
        <v>0</v>
      </c>
      <c r="I50" s="123">
        <f>'2'!DX161</f>
        <v>0</v>
      </c>
      <c r="J50" s="124"/>
      <c r="K50" s="122">
        <v>-0.6</v>
      </c>
      <c r="L50" s="123">
        <f>'2'!AI208</f>
        <v>0</v>
      </c>
      <c r="M50" s="123">
        <f>'2'!AI161</f>
        <v>0</v>
      </c>
      <c r="N50" s="123">
        <f>'2'!AI116</f>
        <v>0</v>
      </c>
      <c r="O50" s="123">
        <f>'2'!AI69</f>
        <v>0</v>
      </c>
      <c r="P50" s="123">
        <f>'2'!AI24</f>
        <v>0</v>
      </c>
      <c r="Q50" s="123">
        <f>'2'!DY69</f>
        <v>0</v>
      </c>
      <c r="R50" s="123">
        <f>'2'!DY116</f>
        <v>0</v>
      </c>
      <c r="S50" s="123">
        <f>'2'!DY161</f>
        <v>0</v>
      </c>
      <c r="U50" s="122">
        <v>-0.6</v>
      </c>
      <c r="V50" s="123">
        <f>'2'!AJ208</f>
        <v>0</v>
      </c>
      <c r="W50" s="123">
        <f>'2'!AJ161</f>
        <v>0</v>
      </c>
      <c r="X50" s="123">
        <f>'2'!AJ116</f>
        <v>0</v>
      </c>
      <c r="Y50" s="123">
        <f>'2'!AJ69</f>
        <v>0</v>
      </c>
      <c r="Z50" s="123">
        <f>'2'!AJ24</f>
        <v>0</v>
      </c>
      <c r="AA50" s="123">
        <f>'2'!DZ69</f>
        <v>0</v>
      </c>
      <c r="AB50" s="123">
        <f>'2'!DZ116</f>
        <v>0</v>
      </c>
      <c r="AC50" s="123">
        <f>'2'!DZ161</f>
        <v>0</v>
      </c>
      <c r="AD50" s="124"/>
      <c r="AE50" s="124"/>
      <c r="AF50" s="122">
        <v>-0.6</v>
      </c>
      <c r="AG50" s="125">
        <f>'2'!AO208</f>
        <v>0</v>
      </c>
      <c r="AH50" s="125">
        <f>'2'!AO161</f>
        <v>0</v>
      </c>
      <c r="AI50" s="125">
        <f>'2'!AO116</f>
        <v>0</v>
      </c>
      <c r="AJ50" s="125">
        <f>'2'!AO69</f>
        <v>0</v>
      </c>
      <c r="AK50" s="125">
        <f>'2'!AO24</f>
        <v>0</v>
      </c>
      <c r="AL50" s="125">
        <f>'2'!EE69</f>
        <v>0</v>
      </c>
      <c r="AM50" s="125">
        <f>'2'!EE116</f>
        <v>0</v>
      </c>
      <c r="AN50" s="125">
        <f>'2'!EE161</f>
        <v>0</v>
      </c>
      <c r="AO50" s="127"/>
      <c r="AP50" s="127"/>
      <c r="AQ50" s="122">
        <v>-0.6</v>
      </c>
      <c r="AR50" s="125">
        <f>'2'!AP208</f>
        <v>0</v>
      </c>
      <c r="AS50" s="125">
        <f>'2'!AP161</f>
        <v>0</v>
      </c>
      <c r="AT50" s="125">
        <f>'2'!AP116</f>
        <v>0</v>
      </c>
      <c r="AU50" s="125">
        <f>'2'!AP69</f>
        <v>0</v>
      </c>
      <c r="AV50" s="125">
        <f>'2'!AP24</f>
        <v>0</v>
      </c>
      <c r="AW50" s="125">
        <f>'2'!EF69</f>
        <v>0</v>
      </c>
      <c r="AX50" s="125">
        <f>'2'!EF116</f>
        <v>0</v>
      </c>
      <c r="AY50" s="125">
        <f>'2'!EF161</f>
        <v>0</v>
      </c>
      <c r="AZ50" s="127"/>
      <c r="BA50" s="127"/>
      <c r="BB50" s="122">
        <v>-0.6</v>
      </c>
      <c r="BC50" s="123">
        <f>'2'!AS208</f>
        <v>0</v>
      </c>
      <c r="BD50" s="123">
        <f>'2'!AS161</f>
        <v>0</v>
      </c>
      <c r="BE50" s="123">
        <f>'2'!AS116</f>
        <v>0</v>
      </c>
      <c r="BF50" s="123">
        <f>'2'!AS69</f>
        <v>0</v>
      </c>
      <c r="BG50" s="123">
        <f>'2'!AS24</f>
        <v>0</v>
      </c>
      <c r="BH50" s="123">
        <f>'2'!EI69</f>
        <v>0</v>
      </c>
      <c r="BI50" s="123">
        <f>'2'!EI116</f>
        <v>0</v>
      </c>
      <c r="BJ50" s="123">
        <f>'2'!EI161</f>
        <v>0</v>
      </c>
    </row>
    <row r="51" spans="1:84" x14ac:dyDescent="0.25">
      <c r="A51" s="122">
        <v>-0.7</v>
      </c>
      <c r="B51" s="123">
        <f>'2'!AH209</f>
        <v>0</v>
      </c>
      <c r="C51" s="123">
        <f>'2'!AH162</f>
        <v>0</v>
      </c>
      <c r="D51" s="123">
        <f>'2'!AH117</f>
        <v>0</v>
      </c>
      <c r="E51" s="123">
        <f>'2'!AH70</f>
        <v>0</v>
      </c>
      <c r="F51" s="123">
        <f>'2'!AH25</f>
        <v>0</v>
      </c>
      <c r="G51" s="123">
        <f>'2'!DX70</f>
        <v>0</v>
      </c>
      <c r="H51" s="123">
        <f>'2'!DX117</f>
        <v>0</v>
      </c>
      <c r="I51" s="123">
        <f>'2'!DX162</f>
        <v>0</v>
      </c>
      <c r="J51" s="124"/>
      <c r="K51" s="122">
        <v>-0.7</v>
      </c>
      <c r="L51" s="123">
        <f>'2'!AI209</f>
        <v>0</v>
      </c>
      <c r="M51" s="123">
        <f>'2'!AI162</f>
        <v>0</v>
      </c>
      <c r="N51" s="123">
        <f>'2'!AI117</f>
        <v>0</v>
      </c>
      <c r="O51" s="123">
        <f>'2'!AI70</f>
        <v>0</v>
      </c>
      <c r="P51" s="123">
        <f>'2'!AI25</f>
        <v>0</v>
      </c>
      <c r="Q51" s="123">
        <f>'2'!DY70</f>
        <v>0</v>
      </c>
      <c r="R51" s="123">
        <f>'2'!DY117</f>
        <v>0</v>
      </c>
      <c r="S51" s="123">
        <f>'2'!DY162</f>
        <v>0</v>
      </c>
      <c r="U51" s="122">
        <v>-0.7</v>
      </c>
      <c r="V51" s="123">
        <f>'2'!AJ209</f>
        <v>0</v>
      </c>
      <c r="W51" s="123">
        <f>'2'!AJ162</f>
        <v>0</v>
      </c>
      <c r="X51" s="123">
        <f>'2'!AJ117</f>
        <v>0</v>
      </c>
      <c r="Y51" s="123">
        <f>'2'!AJ70</f>
        <v>0</v>
      </c>
      <c r="Z51" s="123">
        <f>'2'!AJ25</f>
        <v>0</v>
      </c>
      <c r="AA51" s="123">
        <f>'2'!DZ70</f>
        <v>0</v>
      </c>
      <c r="AB51" s="123">
        <f>'2'!DZ117</f>
        <v>0</v>
      </c>
      <c r="AC51" s="123">
        <f>'2'!DZ162</f>
        <v>0</v>
      </c>
      <c r="AD51" s="124"/>
      <c r="AE51" s="124"/>
      <c r="AF51" s="122">
        <v>-0.7</v>
      </c>
      <c r="AG51" s="125">
        <f>'2'!AO209</f>
        <v>0</v>
      </c>
      <c r="AH51" s="125">
        <f>'2'!AO162</f>
        <v>0</v>
      </c>
      <c r="AI51" s="125">
        <f>'2'!AO117</f>
        <v>0</v>
      </c>
      <c r="AJ51" s="125">
        <f>'2'!AO70</f>
        <v>0</v>
      </c>
      <c r="AK51" s="125">
        <f>'2'!AO25</f>
        <v>0</v>
      </c>
      <c r="AL51" s="125">
        <f>'2'!EE70</f>
        <v>0</v>
      </c>
      <c r="AM51" s="125">
        <f>'2'!EE117</f>
        <v>0</v>
      </c>
      <c r="AN51" s="125">
        <f>'2'!EE162</f>
        <v>0</v>
      </c>
      <c r="AO51" s="127"/>
      <c r="AP51" s="127"/>
      <c r="AQ51" s="122">
        <v>-0.7</v>
      </c>
      <c r="AR51" s="125">
        <f>'2'!AP209</f>
        <v>0</v>
      </c>
      <c r="AS51" s="125">
        <f>'2'!AP162</f>
        <v>0</v>
      </c>
      <c r="AT51" s="125">
        <f>'2'!AP117</f>
        <v>0</v>
      </c>
      <c r="AU51" s="125">
        <f>'2'!AP70</f>
        <v>0</v>
      </c>
      <c r="AV51" s="125">
        <f>'2'!AP25</f>
        <v>0</v>
      </c>
      <c r="AW51" s="125">
        <f>'2'!EF70</f>
        <v>0</v>
      </c>
      <c r="AX51" s="125">
        <f>'2'!EF117</f>
        <v>0</v>
      </c>
      <c r="AY51" s="125">
        <f>'2'!EF162</f>
        <v>0</v>
      </c>
      <c r="AZ51" s="127"/>
      <c r="BA51" s="127"/>
      <c r="BB51" s="122">
        <v>-0.7</v>
      </c>
      <c r="BC51" s="123">
        <f>'2'!AS209</f>
        <v>0</v>
      </c>
      <c r="BD51" s="123">
        <f>'2'!AS162</f>
        <v>0</v>
      </c>
      <c r="BE51" s="123">
        <f>'2'!AS117</f>
        <v>0</v>
      </c>
      <c r="BF51" s="123">
        <f>'2'!AS70</f>
        <v>0</v>
      </c>
      <c r="BG51" s="123">
        <f>'2'!AS25</f>
        <v>0</v>
      </c>
      <c r="BH51" s="123">
        <f>'2'!EI70</f>
        <v>0</v>
      </c>
      <c r="BI51" s="123">
        <f>'2'!EI117</f>
        <v>0</v>
      </c>
      <c r="BJ51" s="123">
        <f>'2'!EI162</f>
        <v>0</v>
      </c>
    </row>
    <row r="52" spans="1:84" x14ac:dyDescent="0.25">
      <c r="A52" s="122">
        <v>-0.8</v>
      </c>
      <c r="B52" s="123">
        <f>'2'!AH210</f>
        <v>0</v>
      </c>
      <c r="C52" s="123">
        <f>'2'!AH163</f>
        <v>0</v>
      </c>
      <c r="D52" s="123">
        <f>'2'!AH118</f>
        <v>0</v>
      </c>
      <c r="E52" s="123">
        <f>'2'!AH71</f>
        <v>0</v>
      </c>
      <c r="F52" s="123">
        <f>'2'!AH26</f>
        <v>0</v>
      </c>
      <c r="G52" s="123">
        <f>'2'!DX71</f>
        <v>0</v>
      </c>
      <c r="H52" s="123">
        <f>'2'!DX118</f>
        <v>0</v>
      </c>
      <c r="I52" s="123">
        <f>'2'!DX163</f>
        <v>0</v>
      </c>
      <c r="J52" s="124"/>
      <c r="K52" s="122">
        <v>-0.8</v>
      </c>
      <c r="L52" s="123">
        <f>'2'!AI210</f>
        <v>0</v>
      </c>
      <c r="M52" s="123">
        <f>'2'!AI163</f>
        <v>0</v>
      </c>
      <c r="N52" s="123">
        <f>'2'!AI118</f>
        <v>0</v>
      </c>
      <c r="O52" s="123">
        <f>'2'!AI71</f>
        <v>0</v>
      </c>
      <c r="P52" s="123">
        <f>'2'!AI26</f>
        <v>0</v>
      </c>
      <c r="Q52" s="123">
        <f>'2'!DY71</f>
        <v>0</v>
      </c>
      <c r="R52" s="123">
        <f>'2'!DY118</f>
        <v>0</v>
      </c>
      <c r="S52" s="123">
        <f>'2'!DY163</f>
        <v>0</v>
      </c>
      <c r="U52" s="122">
        <v>-0.8</v>
      </c>
      <c r="V52" s="123">
        <f>'2'!AJ210</f>
        <v>0</v>
      </c>
      <c r="W52" s="123">
        <f>'2'!AJ163</f>
        <v>0</v>
      </c>
      <c r="X52" s="123">
        <f>'2'!AJ118</f>
        <v>0</v>
      </c>
      <c r="Y52" s="123">
        <f>'2'!AJ71</f>
        <v>0</v>
      </c>
      <c r="Z52" s="123">
        <f>'2'!AJ26</f>
        <v>0</v>
      </c>
      <c r="AA52" s="123">
        <f>'2'!DZ71</f>
        <v>0</v>
      </c>
      <c r="AB52" s="123">
        <f>'2'!DZ118</f>
        <v>0</v>
      </c>
      <c r="AC52" s="123">
        <f>'2'!DZ163</f>
        <v>0</v>
      </c>
      <c r="AD52" s="124"/>
      <c r="AE52" s="124"/>
      <c r="AF52" s="122">
        <v>-0.8</v>
      </c>
      <c r="AG52" s="125">
        <f>'2'!AO210</f>
        <v>0</v>
      </c>
      <c r="AH52" s="125">
        <f>'2'!AO163</f>
        <v>0</v>
      </c>
      <c r="AI52" s="125">
        <f>'2'!AO118</f>
        <v>0</v>
      </c>
      <c r="AJ52" s="125">
        <f>'2'!AO71</f>
        <v>0</v>
      </c>
      <c r="AK52" s="125">
        <f>'2'!AO26</f>
        <v>0</v>
      </c>
      <c r="AL52" s="125">
        <f>'2'!EE71</f>
        <v>0</v>
      </c>
      <c r="AM52" s="125">
        <f>'2'!EE118</f>
        <v>0</v>
      </c>
      <c r="AN52" s="125">
        <f>'2'!EE163</f>
        <v>0</v>
      </c>
      <c r="AO52" s="127"/>
      <c r="AP52" s="127"/>
      <c r="AQ52" s="122">
        <v>-0.8</v>
      </c>
      <c r="AR52" s="125">
        <f>'2'!AP210</f>
        <v>0</v>
      </c>
      <c r="AS52" s="125">
        <f>'2'!AP163</f>
        <v>0</v>
      </c>
      <c r="AT52" s="125">
        <f>'2'!AP118</f>
        <v>0</v>
      </c>
      <c r="AU52" s="125">
        <f>'2'!AP71</f>
        <v>0</v>
      </c>
      <c r="AV52" s="125">
        <f>'2'!AP26</f>
        <v>0</v>
      </c>
      <c r="AW52" s="125">
        <f>'2'!EF71</f>
        <v>0</v>
      </c>
      <c r="AX52" s="125">
        <f>'2'!EF118</f>
        <v>0</v>
      </c>
      <c r="AY52" s="125">
        <f>'2'!EF163</f>
        <v>0</v>
      </c>
      <c r="AZ52" s="127"/>
      <c r="BA52" s="127"/>
      <c r="BB52" s="122">
        <v>-0.8</v>
      </c>
      <c r="BC52" s="123">
        <f>'2'!AS210</f>
        <v>0</v>
      </c>
      <c r="BD52" s="123">
        <f>'2'!AS163</f>
        <v>0</v>
      </c>
      <c r="BE52" s="123">
        <f>'2'!AS118</f>
        <v>0</v>
      </c>
      <c r="BF52" s="123">
        <f>'2'!AS71</f>
        <v>0</v>
      </c>
      <c r="BG52" s="123">
        <f>'2'!AS26</f>
        <v>0</v>
      </c>
      <c r="BH52" s="123">
        <f>'2'!EI71</f>
        <v>0</v>
      </c>
      <c r="BI52" s="123">
        <f>'2'!EI118</f>
        <v>0</v>
      </c>
      <c r="BJ52" s="123">
        <f>'2'!EI163</f>
        <v>0</v>
      </c>
    </row>
    <row r="53" spans="1:84" x14ac:dyDescent="0.25">
      <c r="A53" s="122">
        <v>-0.9</v>
      </c>
      <c r="B53" s="123">
        <f>'2'!AH211</f>
        <v>0</v>
      </c>
      <c r="C53" s="123">
        <f>'2'!AH164</f>
        <v>0</v>
      </c>
      <c r="D53" s="123">
        <f>'2'!AH119</f>
        <v>0</v>
      </c>
      <c r="E53" s="123">
        <f>'2'!AH72</f>
        <v>0</v>
      </c>
      <c r="F53" s="123">
        <f>'2'!AH27</f>
        <v>0</v>
      </c>
      <c r="G53" s="123">
        <f>'2'!DX72</f>
        <v>0</v>
      </c>
      <c r="H53" s="123">
        <f>'2'!DX119</f>
        <v>0</v>
      </c>
      <c r="I53" s="123">
        <f>'2'!DX164</f>
        <v>0</v>
      </c>
      <c r="J53" s="124"/>
      <c r="K53" s="122">
        <v>-0.9</v>
      </c>
      <c r="L53" s="123">
        <f>'2'!AI211</f>
        <v>0</v>
      </c>
      <c r="M53" s="123">
        <f>'2'!AI164</f>
        <v>0</v>
      </c>
      <c r="N53" s="123">
        <f>'2'!AI119</f>
        <v>0</v>
      </c>
      <c r="O53" s="123">
        <f>'2'!AI72</f>
        <v>0</v>
      </c>
      <c r="P53" s="123">
        <f>'2'!AI27</f>
        <v>0</v>
      </c>
      <c r="Q53" s="123">
        <f>'2'!DY72</f>
        <v>0</v>
      </c>
      <c r="R53" s="123">
        <f>'2'!DY119</f>
        <v>0</v>
      </c>
      <c r="S53" s="123">
        <f>'2'!DY164</f>
        <v>0</v>
      </c>
      <c r="U53" s="122">
        <v>-0.9</v>
      </c>
      <c r="V53" s="123">
        <f>'2'!AJ211</f>
        <v>0</v>
      </c>
      <c r="W53" s="123">
        <f>'2'!AJ164</f>
        <v>0</v>
      </c>
      <c r="X53" s="123">
        <f>'2'!AJ119</f>
        <v>0</v>
      </c>
      <c r="Y53" s="123">
        <f>'2'!AJ72</f>
        <v>0</v>
      </c>
      <c r="Z53" s="123">
        <f>'2'!AJ27</f>
        <v>0</v>
      </c>
      <c r="AA53" s="123">
        <f>'2'!DZ72</f>
        <v>0</v>
      </c>
      <c r="AB53" s="123">
        <f>'2'!DZ119</f>
        <v>0</v>
      </c>
      <c r="AC53" s="123">
        <f>'2'!DZ164</f>
        <v>0</v>
      </c>
      <c r="AD53" s="124"/>
      <c r="AE53" s="124"/>
      <c r="AF53" s="122">
        <v>-0.9</v>
      </c>
      <c r="AG53" s="125">
        <f>'2'!AO211</f>
        <v>0</v>
      </c>
      <c r="AH53" s="125">
        <f>'2'!AO164</f>
        <v>0</v>
      </c>
      <c r="AI53" s="125">
        <f>'2'!AO119</f>
        <v>0</v>
      </c>
      <c r="AJ53" s="125">
        <f>'2'!AO72</f>
        <v>0</v>
      </c>
      <c r="AK53" s="125">
        <f>'2'!AO27</f>
        <v>0</v>
      </c>
      <c r="AL53" s="125">
        <f>'2'!EE72</f>
        <v>0</v>
      </c>
      <c r="AM53" s="125">
        <f>'2'!EE119</f>
        <v>0</v>
      </c>
      <c r="AN53" s="125">
        <f>'2'!EE164</f>
        <v>0</v>
      </c>
      <c r="AO53" s="127"/>
      <c r="AP53" s="127"/>
      <c r="AQ53" s="122">
        <v>-0.9</v>
      </c>
      <c r="AR53" s="125">
        <f>'2'!AP211</f>
        <v>0</v>
      </c>
      <c r="AS53" s="125">
        <f>'2'!AP164</f>
        <v>0</v>
      </c>
      <c r="AT53" s="125">
        <f>'2'!AP119</f>
        <v>0</v>
      </c>
      <c r="AU53" s="125">
        <f>'2'!AP72</f>
        <v>0</v>
      </c>
      <c r="AV53" s="125">
        <f>'2'!AP27</f>
        <v>0</v>
      </c>
      <c r="AW53" s="125">
        <f>'2'!EF72</f>
        <v>0</v>
      </c>
      <c r="AX53" s="125">
        <f>'2'!EF119</f>
        <v>0</v>
      </c>
      <c r="AY53" s="125">
        <f>'2'!EF164</f>
        <v>0</v>
      </c>
      <c r="AZ53" s="127"/>
      <c r="BA53" s="127"/>
      <c r="BB53" s="122">
        <v>-0.9</v>
      </c>
      <c r="BC53" s="123">
        <f>'2'!AS211</f>
        <v>0</v>
      </c>
      <c r="BD53" s="123">
        <f>'2'!AS164</f>
        <v>0</v>
      </c>
      <c r="BE53" s="123">
        <f>'2'!AS119</f>
        <v>0</v>
      </c>
      <c r="BF53" s="123">
        <f>'2'!AS72</f>
        <v>0</v>
      </c>
      <c r="BG53" s="123">
        <f>'2'!AS27</f>
        <v>0</v>
      </c>
      <c r="BH53" s="123">
        <f>'2'!EI72</f>
        <v>0</v>
      </c>
      <c r="BI53" s="123">
        <f>'2'!EI119</f>
        <v>0</v>
      </c>
      <c r="BJ53" s="123">
        <f>'2'!EI164</f>
        <v>0</v>
      </c>
    </row>
    <row r="54" spans="1:84" x14ac:dyDescent="0.25">
      <c r="A54" s="122">
        <v>-1</v>
      </c>
      <c r="B54" s="123">
        <v>0</v>
      </c>
      <c r="C54" s="123">
        <v>0</v>
      </c>
      <c r="D54" s="123">
        <v>0</v>
      </c>
      <c r="E54" s="123">
        <v>0</v>
      </c>
      <c r="F54" s="123">
        <v>0</v>
      </c>
      <c r="G54" s="123">
        <v>0</v>
      </c>
      <c r="H54" s="123">
        <v>0</v>
      </c>
      <c r="I54" s="123">
        <v>0</v>
      </c>
      <c r="J54" s="124"/>
      <c r="K54" s="122">
        <v>-1</v>
      </c>
      <c r="L54" s="123">
        <v>0</v>
      </c>
      <c r="M54" s="123">
        <v>0</v>
      </c>
      <c r="N54" s="123">
        <v>0</v>
      </c>
      <c r="O54" s="123">
        <v>0</v>
      </c>
      <c r="P54" s="123">
        <v>0</v>
      </c>
      <c r="Q54" s="123">
        <v>0</v>
      </c>
      <c r="R54" s="123">
        <v>0</v>
      </c>
      <c r="S54" s="123">
        <v>0</v>
      </c>
      <c r="U54" s="122">
        <v>-1</v>
      </c>
      <c r="V54" s="123">
        <f>'2'!AJ212</f>
        <v>0</v>
      </c>
      <c r="W54" s="123">
        <f>'2'!AJ165</f>
        <v>0</v>
      </c>
      <c r="X54" s="123">
        <f>'2'!AJ120</f>
        <v>0</v>
      </c>
      <c r="Y54" s="123">
        <f>'2'!AJ73</f>
        <v>0</v>
      </c>
      <c r="Z54" s="123">
        <f>'2'!AJ28</f>
        <v>0</v>
      </c>
      <c r="AA54" s="123">
        <v>0</v>
      </c>
      <c r="AB54" s="123">
        <f t="shared" ref="AB54" si="0">X54</f>
        <v>0</v>
      </c>
      <c r="AC54" s="123">
        <f t="shared" ref="AC54" si="1">W54</f>
        <v>0</v>
      </c>
      <c r="AD54" s="124"/>
      <c r="AE54" s="124"/>
      <c r="AF54" s="122">
        <v>-1</v>
      </c>
      <c r="AG54" s="125">
        <v>0</v>
      </c>
      <c r="AH54" s="125">
        <v>0</v>
      </c>
      <c r="AI54" s="125">
        <v>0</v>
      </c>
      <c r="AJ54" s="125">
        <v>0</v>
      </c>
      <c r="AK54" s="125">
        <v>0</v>
      </c>
      <c r="AL54" s="125">
        <v>0</v>
      </c>
      <c r="AM54" s="125">
        <v>0</v>
      </c>
      <c r="AN54" s="125">
        <v>0</v>
      </c>
      <c r="AO54" s="127"/>
      <c r="AP54" s="127"/>
      <c r="AQ54" s="122">
        <v>-1</v>
      </c>
      <c r="AR54" s="125">
        <v>0</v>
      </c>
      <c r="AS54" s="125">
        <v>0</v>
      </c>
      <c r="AT54" s="125">
        <v>0</v>
      </c>
      <c r="AU54" s="125">
        <v>0</v>
      </c>
      <c r="AV54" s="125">
        <v>0</v>
      </c>
      <c r="AW54" s="125">
        <v>0</v>
      </c>
      <c r="AX54" s="125">
        <v>0</v>
      </c>
      <c r="AY54" s="125">
        <v>0</v>
      </c>
      <c r="AZ54" s="127"/>
      <c r="BA54" s="127"/>
      <c r="BB54" s="122">
        <v>-1</v>
      </c>
      <c r="BC54" s="125">
        <v>0</v>
      </c>
      <c r="BD54" s="125">
        <v>0</v>
      </c>
      <c r="BE54" s="125">
        <v>0</v>
      </c>
      <c r="BF54" s="125">
        <v>0</v>
      </c>
      <c r="BG54" s="125">
        <v>0</v>
      </c>
      <c r="BH54" s="125">
        <v>0</v>
      </c>
      <c r="BI54" s="125">
        <v>0</v>
      </c>
      <c r="BJ54" s="125">
        <v>0</v>
      </c>
    </row>
    <row r="55" spans="1:84" x14ac:dyDescent="0.25">
      <c r="H55" s="126" t="s">
        <v>209</v>
      </c>
      <c r="I55" s="125">
        <f>'2'!H246</f>
        <v>77.814133333333331</v>
      </c>
      <c r="R55" s="126" t="s">
        <v>210</v>
      </c>
      <c r="S55" s="123">
        <f>'2'!I246</f>
        <v>0</v>
      </c>
      <c r="V55" s="124"/>
      <c r="AB55" s="126" t="s">
        <v>211</v>
      </c>
      <c r="AC55" s="123">
        <f>'2'!J246</f>
        <v>77.814133333333331</v>
      </c>
      <c r="AG55" s="127"/>
      <c r="AH55" s="127"/>
      <c r="AI55" s="127"/>
      <c r="AJ55" s="127"/>
      <c r="AK55" s="127"/>
      <c r="AL55" s="127"/>
      <c r="AM55" s="125" t="s">
        <v>213</v>
      </c>
      <c r="AN55" s="125">
        <f>'2'!AB249</f>
        <v>1.0476872860441049</v>
      </c>
      <c r="AO55" s="127"/>
      <c r="AP55" s="127"/>
      <c r="AQ55" s="127"/>
      <c r="AR55" s="127"/>
      <c r="AS55" s="127"/>
      <c r="AT55" s="127"/>
      <c r="AU55" s="127"/>
      <c r="AV55" s="127"/>
      <c r="AW55" s="127"/>
      <c r="AX55" s="125" t="s">
        <v>212</v>
      </c>
      <c r="AY55" s="125" t="e">
        <f>'2'!AC249</f>
        <v>#DIV/0!</v>
      </c>
      <c r="AZ55" s="127"/>
      <c r="BA55" s="127"/>
      <c r="BB55" s="127"/>
      <c r="BC55" s="127"/>
      <c r="BD55" s="127"/>
      <c r="BE55" s="127"/>
      <c r="BF55" s="127"/>
      <c r="BG55" s="127"/>
      <c r="BH55" s="127"/>
      <c r="BI55" s="125"/>
      <c r="BJ55" s="125"/>
    </row>
  </sheetData>
  <sortState xmlns:xlrd2="http://schemas.microsoft.com/office/spreadsheetml/2017/richdata2" columnSort="1" ref="BC33:BJ50">
    <sortCondition ref="AG33:AN33"/>
  </sortState>
  <mergeCells count="28">
    <mergeCell ref="V32:AC32"/>
    <mergeCell ref="D30:G30"/>
    <mergeCell ref="B32:I32"/>
    <mergeCell ref="N30:Q30"/>
    <mergeCell ref="L32:S32"/>
    <mergeCell ref="V4:AC4"/>
    <mergeCell ref="AG4:AN4"/>
    <mergeCell ref="X30:AA30"/>
    <mergeCell ref="AI30:AL30"/>
    <mergeCell ref="E2:F2"/>
    <mergeCell ref="B4:I4"/>
    <mergeCell ref="O2:P2"/>
    <mergeCell ref="L4:S4"/>
    <mergeCell ref="Y2:Z2"/>
    <mergeCell ref="AT30:AW30"/>
    <mergeCell ref="AR32:AY32"/>
    <mergeCell ref="BE2:BH2"/>
    <mergeCell ref="BC4:BJ4"/>
    <mergeCell ref="AG32:AN32"/>
    <mergeCell ref="BE30:BH30"/>
    <mergeCell ref="BC32:BJ32"/>
    <mergeCell ref="AI2:AL2"/>
    <mergeCell ref="BP2:BS2"/>
    <mergeCell ref="BN4:BU4"/>
    <mergeCell ref="CA2:CD2"/>
    <mergeCell ref="BY4:CF4"/>
    <mergeCell ref="AT2:AW2"/>
    <mergeCell ref="AR4:AY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FA9D3-07AB-4D9F-ACAD-DB960BE67E99}">
  <sheetPr codeName="Sheet5"/>
  <dimension ref="A1:P233"/>
  <sheetViews>
    <sheetView workbookViewId="0">
      <selection activeCell="M207" sqref="M207"/>
    </sheetView>
  </sheetViews>
  <sheetFormatPr defaultColWidth="9" defaultRowHeight="15" x14ac:dyDescent="0.25"/>
  <cols>
    <col min="4" max="4" width="10.42578125" bestFit="1" customWidth="1"/>
    <col min="5" max="5" width="11.7109375" bestFit="1" customWidth="1"/>
    <col min="9" max="9" width="12.42578125" bestFit="1" customWidth="1"/>
    <col min="10" max="10" width="13.140625" bestFit="1" customWidth="1"/>
  </cols>
  <sheetData>
    <row r="1" spans="1:16" ht="15.75" thickBot="1" x14ac:dyDescent="0.3">
      <c r="B1" t="s">
        <v>261</v>
      </c>
      <c r="C1">
        <f>(0.316/E4^0.25*(1/(1-'2'!G246))^0.25)*('1'!W23+'1'!F5)^3/(2*0.0254)</f>
        <v>0.226385063118791</v>
      </c>
      <c r="I1" t="s">
        <v>243</v>
      </c>
      <c r="J1" t="s">
        <v>244</v>
      </c>
    </row>
    <row r="2" spans="1:16" ht="15.75" thickBot="1" x14ac:dyDescent="0.3">
      <c r="B2" t="s">
        <v>245</v>
      </c>
      <c r="C2">
        <v>3</v>
      </c>
      <c r="I2" t="e">
        <f>(('2'!J246^2/'2'!G246)*'5'!G5)*SQRT(1-('5'!C3/'5'!H5))*EXP(-'5'!C3/'5'!H5)</f>
        <v>#NUM!</v>
      </c>
      <c r="J2">
        <f>('2'!H246^2*'5'!G5)/('5'!C4^(1/3)-'2'!G246^(1/3))*(1-EXP(-'5'!C2*('5'!C4^(1/3)*'2'!G246^(1/3))/('5'!C4^(1/3)-'2'!G246^(1/3))))</f>
        <v>1272.0285820984809</v>
      </c>
      <c r="L2" s="184" t="s">
        <v>246</v>
      </c>
      <c r="M2" s="54" t="s">
        <v>247</v>
      </c>
    </row>
    <row r="3" spans="1:16" ht="15.75" thickBot="1" x14ac:dyDescent="0.3">
      <c r="B3" t="s">
        <v>248</v>
      </c>
      <c r="C3">
        <v>5</v>
      </c>
      <c r="E3" t="s">
        <v>249</v>
      </c>
      <c r="F3" t="s">
        <v>250</v>
      </c>
      <c r="G3" t="s">
        <v>251</v>
      </c>
      <c r="H3" t="s">
        <v>252</v>
      </c>
      <c r="I3" t="s">
        <v>253</v>
      </c>
      <c r="J3" t="s">
        <v>254</v>
      </c>
      <c r="L3" s="185" t="e">
        <f>I4/I2</f>
        <v>#DIV/0!</v>
      </c>
      <c r="M3" s="186" t="e">
        <f>J4/J2</f>
        <v>#DIV/0!</v>
      </c>
    </row>
    <row r="4" spans="1:16" x14ac:dyDescent="0.25">
      <c r="B4" t="s">
        <v>255</v>
      </c>
      <c r="C4">
        <v>0.75</v>
      </c>
      <c r="E4">
        <f>(E33+2*(E82+E133+E182)+E233)/8</f>
        <v>19011.899999999998</v>
      </c>
      <c r="F4">
        <f t="shared" ref="F4:H4" si="0">(F33+2*(F82+F133+F182)+F233)/8</f>
        <v>1.5438153001352211</v>
      </c>
      <c r="G4" t="e">
        <f t="shared" si="0"/>
        <v>#DIV/0!</v>
      </c>
      <c r="H4" t="e">
        <f t="shared" si="0"/>
        <v>#DIV/0!</v>
      </c>
      <c r="I4" t="e">
        <f>(I33+2*(I82+I133+I182)+I233)/8</f>
        <v>#DIV/0!</v>
      </c>
      <c r="J4" t="e">
        <f>(J33+2*(J82+J133+J182)+J233)/8</f>
        <v>#DIV/0!</v>
      </c>
    </row>
    <row r="5" spans="1:16" ht="15.75" thickBot="1" x14ac:dyDescent="0.3">
      <c r="G5">
        <f>1.4*C1^(1/3)*('2'!T252/1000)^(1/3)</f>
        <v>0.13414733270590265</v>
      </c>
      <c r="H5">
        <f>998*(1.4*C1^(1/3)*(6*'2'!G246/'2'!J246)^(1/3))^2*(6*'2'!G246/'2'!J246)/0.07078</f>
        <v>0.98100116026695827</v>
      </c>
    </row>
    <row r="6" spans="1:16" ht="15.75" thickBot="1" x14ac:dyDescent="0.3">
      <c r="A6" s="236" t="s">
        <v>14</v>
      </c>
      <c r="B6" s="236" t="s">
        <v>49</v>
      </c>
      <c r="C6" s="238" t="s">
        <v>10</v>
      </c>
      <c r="D6" s="240" t="s">
        <v>58</v>
      </c>
      <c r="E6" s="230" t="s">
        <v>256</v>
      </c>
      <c r="F6" s="231"/>
      <c r="G6" s="231"/>
      <c r="H6" s="231"/>
      <c r="I6" s="231"/>
      <c r="J6" s="231"/>
      <c r="K6" s="232"/>
      <c r="L6" s="230"/>
      <c r="M6" s="231"/>
      <c r="N6" s="231"/>
      <c r="O6" s="231"/>
      <c r="P6" s="232"/>
    </row>
    <row r="7" spans="1:16" ht="15.75" thickBot="1" x14ac:dyDescent="0.3">
      <c r="A7" s="237"/>
      <c r="B7" s="237"/>
      <c r="C7" s="239"/>
      <c r="D7" s="241"/>
      <c r="E7" s="16" t="s">
        <v>257</v>
      </c>
      <c r="F7" s="17" t="s">
        <v>250</v>
      </c>
      <c r="G7" s="17" t="s">
        <v>258</v>
      </c>
      <c r="H7" s="17" t="s">
        <v>252</v>
      </c>
      <c r="I7" s="18" t="s">
        <v>259</v>
      </c>
      <c r="J7" s="18" t="s">
        <v>260</v>
      </c>
      <c r="K7" s="19" t="s">
        <v>21</v>
      </c>
      <c r="L7" s="20"/>
      <c r="M7" s="18"/>
      <c r="N7" s="18"/>
      <c r="O7" s="18"/>
      <c r="P7" s="19"/>
    </row>
    <row r="8" spans="1:16" x14ac:dyDescent="0.25">
      <c r="A8" s="111">
        <f t="shared" ref="A8:A19" si="1">B8</f>
        <v>1</v>
      </c>
      <c r="B8" s="111">
        <v>1</v>
      </c>
      <c r="C8" s="96"/>
      <c r="D8" s="112"/>
      <c r="E8" s="96">
        <f>(0.0254/0.001)*(998*'1'!$F$5+1.2*'1'!$W$23)</f>
        <v>19011.899999999998</v>
      </c>
      <c r="F8" s="96">
        <f>1.3753*(998*'1'!$F$5+1.2*'1'!$W$23)/(998*0.0254^(1/3)*'5'!E8^(1/12))</f>
        <v>1.5438153001352213</v>
      </c>
      <c r="G8" s="96"/>
      <c r="H8" s="96"/>
      <c r="I8" s="96">
        <f>IF(AND((H8&gt;$C$3), ('2'!AC8&lt;0.11)),(('2'!AJ8^2/'2'!AC8)*'5'!G8)*SQRT(1-('5'!$C$3/H8))*EXP(-'5'!$C$3/H8), 0)</f>
        <v>0</v>
      </c>
      <c r="J8" s="96"/>
      <c r="K8" s="96"/>
      <c r="L8" s="111"/>
      <c r="M8" s="96"/>
      <c r="N8" s="96"/>
      <c r="O8" s="96"/>
      <c r="P8" s="96"/>
    </row>
    <row r="9" spans="1:16" x14ac:dyDescent="0.25">
      <c r="A9" s="111">
        <f t="shared" si="1"/>
        <v>0.93</v>
      </c>
      <c r="B9" s="111">
        <v>0.93</v>
      </c>
      <c r="C9" s="96">
        <v>30</v>
      </c>
      <c r="D9" s="112">
        <v>50000</v>
      </c>
      <c r="E9" s="96">
        <f>(0.0254/0.001)*(998*'1'!$F$5+1.2*'1'!$W$23)</f>
        <v>19011.899999999998</v>
      </c>
      <c r="F9" s="96">
        <f>1.3753*(998*'1'!$F$5+1.2*'1'!$W$23)/(998*0.0254^(1/3)*'5'!E9^(1/12))</f>
        <v>1.5438153001352213</v>
      </c>
      <c r="G9" s="96"/>
      <c r="H9" s="96"/>
      <c r="I9" s="96" t="e">
        <f>IF(AND((H9&gt;$C$3), ('2'!#REF!&lt;0.11)),(('2'!#REF!^2/'2'!#REF!)*'5'!G9)*SQRT(1-('5'!$C$3/H9))*EXP(-'5'!$C$3/H9), 0)</f>
        <v>#REF!</v>
      </c>
      <c r="J9" s="96"/>
      <c r="K9" s="96"/>
      <c r="L9" s="111"/>
      <c r="M9" s="96"/>
      <c r="N9" s="96"/>
      <c r="O9" s="96"/>
      <c r="P9" s="112"/>
    </row>
    <row r="10" spans="1:16" x14ac:dyDescent="0.25">
      <c r="A10" s="111">
        <f t="shared" si="1"/>
        <v>0.9</v>
      </c>
      <c r="B10" s="111">
        <v>0.9</v>
      </c>
      <c r="C10" s="96">
        <v>30</v>
      </c>
      <c r="D10" s="112">
        <v>50000</v>
      </c>
      <c r="E10" s="96">
        <f>(0.0254/0.001)*(998*'1'!$F$5+1.2*'1'!$W$23)</f>
        <v>19011.899999999998</v>
      </c>
      <c r="F10" s="96">
        <f>1.3753*(998*'1'!$F$5+1.2*'1'!$W$23)/(998*0.0254^(1/3)*'5'!E10^(1/12))</f>
        <v>1.5438153001352213</v>
      </c>
      <c r="G10" s="96">
        <f>F10*(1/(1-'2'!AC9))*('2'!AC9/'2'!AJ9)^(1/3)</f>
        <v>0.14411122747744035</v>
      </c>
      <c r="H10" s="96">
        <f>6*998*F10^2/(0.072*(1-'2'!AC9)^2)*('2'!AC9/'2'!AJ9)^(5/3)</f>
        <v>1.0531342480778665</v>
      </c>
      <c r="I10" s="96">
        <f>IF(AND((H10&gt;$C$3), ('2'!AC9&lt;0.11)),(('2'!AJ9^2/'2'!AC9)*'5'!G10)*SQRT(1-('5'!$C$3/H10))*EXP(-'5'!$C$3/H10), 0)</f>
        <v>0</v>
      </c>
      <c r="J10" s="96">
        <f>IF(('2'!AC9&lt;0.11),'2'!AJ9^2*'5'!G10/(('5'!$C$4^(1/3)-'2'!AC9^(1/3)))*(1-EXP(-$C$2*($C$4^(1/3)*'2'!AC9^(1/3))/('5'!$C$4^(1/3)-'2'!AC9^(1/3)))), 0)</f>
        <v>6619.6616283896819</v>
      </c>
      <c r="K10" s="96"/>
      <c r="L10" s="111"/>
      <c r="M10" s="96"/>
      <c r="N10" s="96"/>
      <c r="O10" s="96"/>
      <c r="P10" s="112"/>
    </row>
    <row r="11" spans="1:16" x14ac:dyDescent="0.25">
      <c r="A11" s="111">
        <f t="shared" si="1"/>
        <v>0.85</v>
      </c>
      <c r="B11" s="111">
        <v>0.85</v>
      </c>
      <c r="C11" s="96">
        <v>30</v>
      </c>
      <c r="D11" s="112">
        <v>50000</v>
      </c>
      <c r="E11" s="96">
        <f>(0.0254/0.001)*(998*'1'!$F$5+1.2*'1'!$W$23)</f>
        <v>19011.899999999998</v>
      </c>
      <c r="F11" s="96">
        <f>1.3753*(998*'1'!$F$5+1.2*'1'!$W$23)/(998*0.0254^(1/3)*'5'!E11^(1/12))</f>
        <v>1.5438153001352213</v>
      </c>
      <c r="G11" s="96"/>
      <c r="H11" s="96"/>
      <c r="I11" s="96" t="e">
        <f>IF(AND((H11&gt;$C$3), ('2'!#REF!&lt;0.11)),(('2'!#REF!^2/'2'!#REF!)*'5'!G11)*SQRT(1-('5'!$C$3/H11))*EXP(-'5'!$C$3/H11), 0)</f>
        <v>#REF!</v>
      </c>
      <c r="J11" s="96" t="e">
        <f>IF(('2'!#REF!&lt;0.11),'2'!#REF!^2*'5'!G11/(('5'!$C$4^(1/3)-'2'!#REF!^(1/3)))*(1-EXP(-$C$2*($C$4^(1/3)*'2'!#REF!^(1/3))/('5'!$C$4^(1/3)-'2'!#REF!^(1/3)))), 0)</f>
        <v>#REF!</v>
      </c>
      <c r="K11" s="96"/>
      <c r="L11" s="111"/>
      <c r="M11" s="96"/>
      <c r="N11" s="96"/>
      <c r="O11" s="96"/>
      <c r="P11" s="112"/>
    </row>
    <row r="12" spans="1:16" x14ac:dyDescent="0.25">
      <c r="A12" s="111">
        <f t="shared" si="1"/>
        <v>0.8</v>
      </c>
      <c r="B12" s="111">
        <v>0.8</v>
      </c>
      <c r="C12" s="96">
        <v>30</v>
      </c>
      <c r="D12" s="112">
        <v>50000</v>
      </c>
      <c r="E12" s="96">
        <f>(0.0254/0.001)*(998*'1'!$F$5+1.2*'1'!$W$23)</f>
        <v>19011.899999999998</v>
      </c>
      <c r="F12" s="96">
        <f>1.3753*(998*'1'!$F$5+1.2*'1'!$W$23)/(998*0.0254^(1/3)*'5'!E12^(1/12))</f>
        <v>1.5438153001352213</v>
      </c>
      <c r="G12" s="96">
        <f>F12*(1/(1-'2'!AC10))*('2'!AC10/'2'!AJ10)^(1/3)</f>
        <v>0.16296981596121227</v>
      </c>
      <c r="H12" s="96">
        <f>6*998*F12^2/(0.072*(1-'2'!AC10)^2)*('2'!AC10/'2'!AJ10)^(5/3)</f>
        <v>1.6211953512676844</v>
      </c>
      <c r="I12" s="96">
        <f>IF(AND((H12&gt;$C$3), ('2'!AC10&lt;0.11)),(('2'!AJ10^2/'2'!AC10)*'5'!G12)*SQRT(1-('5'!$C$3/H12))*EXP(-'5'!$C$3/H12), 0)</f>
        <v>0</v>
      </c>
      <c r="J12" s="96">
        <f>IF(('2'!AC10&lt;0.11),'2'!AJ10^2*'5'!G12/(('5'!$C$4^(1/3)-'2'!AC10^(1/3)))*(1-EXP(-$C$2*($C$4^(1/3)*'2'!AC10^(1/3))/('5'!$C$4^(1/3)-'2'!AC10^(1/3)))), 0)</f>
        <v>0</v>
      </c>
      <c r="K12" s="96"/>
      <c r="L12" s="111"/>
      <c r="M12" s="96"/>
      <c r="N12" s="96"/>
      <c r="O12" s="96"/>
      <c r="P12" s="112"/>
    </row>
    <row r="13" spans="1:16" x14ac:dyDescent="0.25">
      <c r="A13" s="111">
        <f t="shared" si="1"/>
        <v>0.7</v>
      </c>
      <c r="B13" s="111">
        <v>0.7</v>
      </c>
      <c r="C13" s="96">
        <v>30</v>
      </c>
      <c r="D13" s="112">
        <v>50000</v>
      </c>
      <c r="E13" s="96">
        <f>(0.0254/0.001)*(998*'1'!$F$5+1.2*'1'!$W$23)</f>
        <v>19011.899999999998</v>
      </c>
      <c r="F13" s="96">
        <f>1.3753*(998*'1'!$F$5+1.2*'1'!$W$23)/(998*0.0254^(1/3)*'5'!E13^(1/12))</f>
        <v>1.5438153001352213</v>
      </c>
      <c r="G13" s="96">
        <f>F13*(1/(1-'2'!AC11))*('2'!AC11/'2'!AJ11)^(1/3)</f>
        <v>0.15230553476407729</v>
      </c>
      <c r="H13" s="96">
        <f>6*998*F13^2/(0.072*(1-'2'!AC11)^2)*('2'!AC11/'2'!AJ11)^(5/3)</f>
        <v>1.2346118189167958</v>
      </c>
      <c r="I13" s="96">
        <f>IF(AND((H13&gt;$C$3), ('2'!AC11&lt;0.11)),(('2'!AJ11^2/'2'!AC11)*'5'!G13)*SQRT(1-('5'!$C$3/H13))*EXP(-'5'!$C$3/H13), 0)</f>
        <v>0</v>
      </c>
      <c r="J13" s="96">
        <f>IF(('2'!AC11&lt;0.11),'2'!AJ11^2*'5'!G13/(('5'!$C$4^(1/3)-'2'!AC11^(1/3)))*(1-EXP(-$C$2*($C$4^(1/3)*'2'!AC11^(1/3))/('5'!$C$4^(1/3)-'2'!AC11^(1/3)))), 0)</f>
        <v>0</v>
      </c>
      <c r="K13" s="96"/>
      <c r="L13" s="111"/>
      <c r="M13" s="96"/>
      <c r="N13" s="96"/>
      <c r="O13" s="96"/>
      <c r="P13" s="112"/>
    </row>
    <row r="14" spans="1:16" x14ac:dyDescent="0.25">
      <c r="A14" s="111">
        <f t="shared" si="1"/>
        <v>0.6</v>
      </c>
      <c r="B14" s="111">
        <v>0.6</v>
      </c>
      <c r="C14" s="96">
        <v>30</v>
      </c>
      <c r="D14" s="112">
        <v>50000</v>
      </c>
      <c r="E14" s="96">
        <f>(0.0254/0.001)*(998*'1'!$F$5+1.2*'1'!$W$23)</f>
        <v>19011.899999999998</v>
      </c>
      <c r="F14" s="96">
        <f>1.3753*(998*'1'!$F$5+1.2*'1'!$W$23)/(998*0.0254^(1/3)*'5'!E14^(1/12))</f>
        <v>1.5438153001352213</v>
      </c>
      <c r="G14" s="96">
        <f>F14*(1/(1-'2'!AC12))*('2'!AC12/'2'!AJ12)^(1/3)</f>
        <v>0.14570755312424027</v>
      </c>
      <c r="H14" s="96">
        <f>6*998*F14^2/(0.072*(1-'2'!AC12)^2)*('2'!AC12/'2'!AJ12)^(5/3)</f>
        <v>1.0890523573261137</v>
      </c>
      <c r="I14" s="96">
        <f>IF(AND((H14&gt;$C$3), ('2'!AC12&lt;0.11)),(('2'!AJ12^2/'2'!AC12)*'5'!G14)*SQRT(1-('5'!$C$3/H14))*EXP(-'5'!$C$3/H14), 0)</f>
        <v>0</v>
      </c>
      <c r="J14" s="96">
        <f>IF(('2'!AC12&lt;0.11),'2'!AJ12^2*'5'!G14/(('5'!$C$4^(1/3)-'2'!AC12^(1/3)))*(1-EXP(-$C$2*($C$4^(1/3)*'2'!AC12^(1/3))/('5'!$C$4^(1/3)-'2'!AC12^(1/3)))), 0)</f>
        <v>7743.2935655454557</v>
      </c>
      <c r="K14" s="96"/>
      <c r="L14" s="111"/>
      <c r="M14" s="96"/>
      <c r="N14" s="96"/>
      <c r="O14" s="96"/>
      <c r="P14" s="112"/>
    </row>
    <row r="15" spans="1:16" x14ac:dyDescent="0.25">
      <c r="A15" s="111">
        <f t="shared" si="1"/>
        <v>0.5</v>
      </c>
      <c r="B15" s="111">
        <v>0.5</v>
      </c>
      <c r="C15" s="96">
        <v>30</v>
      </c>
      <c r="D15" s="112">
        <v>50000</v>
      </c>
      <c r="E15" s="96">
        <f>(0.0254/0.001)*(998*'1'!$F$5+1.2*'1'!$W$23)</f>
        <v>19011.899999999998</v>
      </c>
      <c r="F15" s="96">
        <f>1.3753*(998*'1'!$F$5+1.2*'1'!$W$23)/(998*0.0254^(1/3)*'5'!E15^(1/12))</f>
        <v>1.5438153001352213</v>
      </c>
      <c r="G15" s="96">
        <f>F15*(1/(1-'2'!AC13))*('2'!AC13/'2'!AJ13)^(1/3)</f>
        <v>0.14666391658504563</v>
      </c>
      <c r="H15" s="96">
        <f>6*998*F15^2/(0.072*(1-'2'!AC13)^2)*('2'!AC13/'2'!AJ13)^(5/3)</f>
        <v>1.1486314207278439</v>
      </c>
      <c r="I15" s="96">
        <f>IF(AND((H15&gt;$C$3), ('2'!AC13&lt;0.11)),(('2'!AJ13^2/'2'!AC13)*'5'!G15)*SQRT(1-('5'!$C$3/H15))*EXP(-'5'!$C$3/H15), 0)</f>
        <v>0</v>
      </c>
      <c r="J15" s="96">
        <f>IF(('2'!AC13&lt;0.11),'2'!AJ13^2*'5'!G15/(('5'!$C$4^(1/3)-'2'!AC13^(1/3)))*(1-EXP(-$C$2*($C$4^(1/3)*'2'!AC13^(1/3))/('5'!$C$4^(1/3)-'2'!AC13^(1/3)))), 0)</f>
        <v>6124.355717704394</v>
      </c>
      <c r="K15" s="96"/>
      <c r="L15" s="111"/>
      <c r="M15" s="96"/>
      <c r="N15" s="96"/>
      <c r="O15" s="96"/>
      <c r="P15" s="112"/>
    </row>
    <row r="16" spans="1:16" x14ac:dyDescent="0.25">
      <c r="A16" s="111">
        <f t="shared" si="1"/>
        <v>0.4</v>
      </c>
      <c r="B16" s="111">
        <v>0.4</v>
      </c>
      <c r="C16" s="96">
        <v>30</v>
      </c>
      <c r="D16" s="112">
        <v>50000</v>
      </c>
      <c r="E16" s="96">
        <f>(0.0254/0.001)*(998*'1'!$F$5+1.2*'1'!$W$23)</f>
        <v>19011.899999999998</v>
      </c>
      <c r="F16" s="96">
        <f>1.3753*(998*'1'!$F$5+1.2*'1'!$W$23)/(998*0.0254^(1/3)*'5'!E16^(1/12))</f>
        <v>1.5438153001352213</v>
      </c>
      <c r="G16" s="96">
        <f>F16*(1/(1-'2'!AC14))*('2'!AC14/'2'!AJ14)^(1/3)</f>
        <v>0.14814555913160518</v>
      </c>
      <c r="H16" s="96">
        <f>6*998*F16^2/(0.072*(1-'2'!AC14)^2)*('2'!AC14/'2'!AJ14)^(5/3)</f>
        <v>1.1879932882325248</v>
      </c>
      <c r="I16" s="96">
        <f>IF(AND((H16&gt;$C$3), ('2'!AC14&lt;0.11)),(('2'!AJ14^2/'2'!AC14)*'5'!G16)*SQRT(1-('5'!$C$3/H16))*EXP(-'5'!$C$3/H16), 0)</f>
        <v>0</v>
      </c>
      <c r="J16" s="96">
        <f>IF(('2'!AC14&lt;0.11),'2'!AJ14^2*'5'!G16/(('5'!$C$4^(1/3)-'2'!AC14^(1/3)))*(1-EXP(-$C$2*($C$4^(1/3)*'2'!AC14^(1/3))/('5'!$C$4^(1/3)-'2'!AC14^(1/3)))), 0)</f>
        <v>6858.8769358229283</v>
      </c>
      <c r="K16" s="96"/>
      <c r="L16" s="111"/>
      <c r="M16" s="96"/>
      <c r="N16" s="96"/>
      <c r="O16" s="96"/>
      <c r="P16" s="112"/>
    </row>
    <row r="17" spans="1:16" x14ac:dyDescent="0.25">
      <c r="A17" s="111">
        <f t="shared" si="1"/>
        <v>0.3</v>
      </c>
      <c r="B17" s="111">
        <v>0.3</v>
      </c>
      <c r="C17" s="96">
        <v>30</v>
      </c>
      <c r="D17" s="112">
        <v>50000</v>
      </c>
      <c r="E17" s="96">
        <f>(0.0254/0.001)*(998*'1'!$F$5+1.2*'1'!$W$23)</f>
        <v>19011.899999999998</v>
      </c>
      <c r="F17" s="96">
        <f>1.3753*(998*'1'!$F$5+1.2*'1'!$W$23)/(998*0.0254^(1/3)*'5'!E17^(1/12))</f>
        <v>1.5438153001352213</v>
      </c>
      <c r="G17" s="96">
        <f>F17*(1/(1-'2'!AC15))*('2'!AC15/'2'!AJ15)^(1/3)</f>
        <v>0.14940149832055841</v>
      </c>
      <c r="H17" s="96">
        <f>6*998*F17^2/(0.072*(1-'2'!AC15)^2)*('2'!AC15/'2'!AJ15)^(5/3)</f>
        <v>1.2061661710642677</v>
      </c>
      <c r="I17" s="96">
        <f>IF(AND((H17&gt;$C$3), ('2'!AC15&lt;0.11)),(('2'!AJ15^2/'2'!AC15)*'5'!G17)*SQRT(1-('5'!$C$3/H17))*EXP(-'5'!$C$3/H17), 0)</f>
        <v>0</v>
      </c>
      <c r="J17" s="96">
        <f>IF(('2'!AC15&lt;0.11),'2'!AJ15^2*'5'!G17/(('5'!$C$4^(1/3)-'2'!AC15^(1/3)))*(1-EXP(-$C$2*($C$4^(1/3)*'2'!AC15^(1/3))/('5'!$C$4^(1/3)-'2'!AC15^(1/3)))), 0)</f>
        <v>8461.9667442642676</v>
      </c>
      <c r="K17" s="96"/>
      <c r="L17" s="111"/>
      <c r="M17" s="96"/>
      <c r="N17" s="96"/>
      <c r="O17" s="96"/>
      <c r="P17" s="112"/>
    </row>
    <row r="18" spans="1:16" x14ac:dyDescent="0.25">
      <c r="A18" s="111">
        <f t="shared" si="1"/>
        <v>0.2</v>
      </c>
      <c r="B18" s="111">
        <v>0.2</v>
      </c>
      <c r="C18" s="96">
        <v>30</v>
      </c>
      <c r="D18" s="112">
        <v>50000</v>
      </c>
      <c r="E18" s="96">
        <f>(0.0254/0.001)*(998*'1'!$F$5+1.2*'1'!$W$23)</f>
        <v>19011.899999999998</v>
      </c>
      <c r="F18" s="96">
        <f>1.3753*(998*'1'!$F$5+1.2*'1'!$W$23)/(998*0.0254^(1/3)*'5'!E18^(1/12))</f>
        <v>1.5438153001352213</v>
      </c>
      <c r="G18" s="96">
        <f>F18*(1/(1-'2'!AC16))*('2'!AC16/'2'!AJ16)^(1/3)</f>
        <v>0.1489859401286262</v>
      </c>
      <c r="H18" s="96">
        <f>6*998*F18^2/(0.072*(1-'2'!AC16)^2)*('2'!AC16/'2'!AJ16)^(5/3)</f>
        <v>1.19667577841437</v>
      </c>
      <c r="I18" s="96">
        <f>IF(AND((H18&gt;$C$3), ('2'!AC16&lt;0.11)),(('2'!AJ16^2/'2'!AC16)*'5'!G18)*SQRT(1-('5'!$C$3/H18))*EXP(-'5'!$C$3/H18), 0)</f>
        <v>0</v>
      </c>
      <c r="J18" s="96">
        <f>IF(('2'!AC16&lt;0.11),'2'!AJ16^2*'5'!G18/(('5'!$C$4^(1/3)-'2'!AC16^(1/3)))*(1-EXP(-$C$2*($C$4^(1/3)*'2'!AC16^(1/3))/('5'!$C$4^(1/3)-'2'!AC16^(1/3)))), 0)</f>
        <v>8123.0173366277259</v>
      </c>
      <c r="K18" s="96"/>
      <c r="L18" s="111"/>
      <c r="M18" s="96"/>
      <c r="N18" s="96"/>
      <c r="O18" s="96"/>
      <c r="P18" s="112"/>
    </row>
    <row r="19" spans="1:16" ht="15.75" thickBot="1" x14ac:dyDescent="0.3">
      <c r="A19" s="111">
        <f t="shared" si="1"/>
        <v>0.1</v>
      </c>
      <c r="B19" s="111">
        <v>0.1</v>
      </c>
      <c r="C19" s="96">
        <v>30</v>
      </c>
      <c r="D19" s="112">
        <v>50000</v>
      </c>
      <c r="E19" s="96">
        <f>(0.0254/0.001)*(998*'1'!$F$5+1.2*'1'!$W$23)</f>
        <v>19011.899999999998</v>
      </c>
      <c r="F19" s="96">
        <f>1.3753*(998*'1'!$F$5+1.2*'1'!$W$23)/(998*0.0254^(1/3)*'5'!E19^(1/12))</f>
        <v>1.5438153001352213</v>
      </c>
      <c r="G19" s="96">
        <f>F19*(1/(1-'2'!AC17))*('2'!AC17/'2'!AJ17)^(1/3)</f>
        <v>0.14959558211613727</v>
      </c>
      <c r="H19" s="96">
        <f>6*998*F19^2/(0.072*(1-'2'!AC17)^2)*('2'!AC17/'2'!AJ17)^(5/3)</f>
        <v>1.1913750167164026</v>
      </c>
      <c r="I19" s="96">
        <f>IF(AND((H19&gt;$C$3), ('2'!AC17&lt;0.11)),(('2'!AJ17^2/'2'!AC17)*'5'!G19)*SQRT(1-('5'!$C$3/H19))*EXP(-'5'!$C$3/H19), 0)</f>
        <v>0</v>
      </c>
      <c r="J19" s="96">
        <f>IF(('2'!AC17&lt;0.11),'2'!AJ17^2*'5'!G19/(('5'!$C$4^(1/3)-'2'!AC17^(1/3)))*(1-EXP(-$C$2*($C$4^(1/3)*'2'!AC17^(1/3))/('5'!$C$4^(1/3)-'2'!AC17^(1/3)))), 0)</f>
        <v>0</v>
      </c>
      <c r="K19" s="96"/>
      <c r="L19" s="111"/>
      <c r="M19" s="96"/>
      <c r="N19" s="96"/>
      <c r="O19" s="96"/>
      <c r="P19" s="112"/>
    </row>
    <row r="20" spans="1:16" ht="15.75" thickBot="1" x14ac:dyDescent="0.3">
      <c r="A20" s="36">
        <f t="shared" ref="A20" si="2">-B20</f>
        <v>0</v>
      </c>
      <c r="B20" s="117">
        <v>0</v>
      </c>
      <c r="C20" s="118">
        <v>30</v>
      </c>
      <c r="D20" s="144">
        <v>50000</v>
      </c>
      <c r="E20" s="96">
        <f>(0.0254/0.001)*(998*'1'!$F$5+1.2*'1'!$W$23)</f>
        <v>19011.899999999998</v>
      </c>
      <c r="F20" s="96">
        <f>1.3753*(998*'1'!$F$5+1.2*'1'!$W$23)/(998*0.0254^(1/3)*'5'!E20^(1/12))</f>
        <v>1.5438153001352213</v>
      </c>
      <c r="G20" s="96">
        <f>F20*(1/(1-'2'!AC18))*('2'!AC18/'2'!AJ18)^(1/3)</f>
        <v>0.15052182538395195</v>
      </c>
      <c r="H20" s="96">
        <f>6*998*F20^2/(0.072*(1-'2'!AC18)^2)*('2'!AC18/'2'!AJ18)^(5/3)</f>
        <v>1.21344637607311</v>
      </c>
      <c r="I20" s="96">
        <f>IF(AND((H20&gt;$C$3), ('2'!AC18&lt;0.11)),(('2'!AJ18^2/'2'!AC18)*'5'!G20)*SQRT(1-('5'!$C$3/H20))*EXP(-'5'!$C$3/H20), 0)</f>
        <v>0</v>
      </c>
      <c r="J20" s="96">
        <f>IF(('2'!AC18&lt;0.11),'2'!AJ18^2*'5'!G20/(('5'!$C$4^(1/3)-'2'!AC18^(1/3)))*(1-EXP(-$C$2*($C$4^(1/3)*'2'!AC18^(1/3))/('5'!$C$4^(1/3)-'2'!AC18^(1/3)))), 0)</f>
        <v>0</v>
      </c>
      <c r="K20" s="118"/>
      <c r="L20" s="117"/>
      <c r="M20" s="118"/>
      <c r="N20" s="118"/>
      <c r="O20" s="118"/>
      <c r="P20" s="144"/>
    </row>
    <row r="21" spans="1:16" x14ac:dyDescent="0.25">
      <c r="A21" s="147">
        <f>-B21</f>
        <v>-0.1</v>
      </c>
      <c r="B21" s="110">
        <v>0.1</v>
      </c>
      <c r="C21" s="96">
        <v>30</v>
      </c>
      <c r="D21" s="115">
        <v>50000</v>
      </c>
      <c r="E21" s="96">
        <f>(0.0254/0.001)*(998*'1'!$F$5+1.2*'1'!$W$23)</f>
        <v>19011.899999999998</v>
      </c>
      <c r="F21" s="96">
        <f>1.3753*(998*'1'!$F$5+1.2*'1'!$W$23)/(998*0.0254^(1/3)*'5'!E21^(1/12))</f>
        <v>1.5438153001352213</v>
      </c>
      <c r="G21" s="96" t="e">
        <f>F21*(1/(1-'2'!AC19))*('2'!AC19/'2'!AJ19)^(1/3)</f>
        <v>#DIV/0!</v>
      </c>
      <c r="H21" s="96" t="e">
        <f>6*998*F21^2/(0.072*(1-'2'!AC19)^2)*('2'!AC19/'2'!AJ19)^(5/3)</f>
        <v>#DIV/0!</v>
      </c>
      <c r="I21" s="96" t="e">
        <f>IF(AND((H21&gt;$C$3), ('2'!AC19&lt;0.11)),(('2'!AJ19^2/'2'!AC19)*'5'!G21)*SQRT(1-('5'!$C$3/H21))*EXP(-'5'!$C$3/H21), 0)</f>
        <v>#DIV/0!</v>
      </c>
      <c r="J21" s="96" t="e">
        <f>IF(('2'!AC19&lt;0.11),'2'!AJ19^2*'5'!G21/(('5'!$C$4^(1/3)-'2'!AC19^(1/3)))*(1-EXP(-$C$2*($C$4^(1/3)*'2'!AC19^(1/3))/('5'!$C$4^(1/3)-'2'!AC19^(1/3)))), 0)</f>
        <v>#DIV/0!</v>
      </c>
      <c r="K21" s="109"/>
      <c r="L21" s="114"/>
      <c r="M21" s="110"/>
      <c r="N21" s="110"/>
      <c r="O21" s="110"/>
      <c r="P21" s="115"/>
    </row>
    <row r="22" spans="1:16" x14ac:dyDescent="0.25">
      <c r="A22" s="147">
        <f t="shared" ref="A22:A32" si="3">-B22</f>
        <v>-0.2</v>
      </c>
      <c r="B22" s="110">
        <v>0.2</v>
      </c>
      <c r="C22" s="96">
        <v>30</v>
      </c>
      <c r="D22" s="115">
        <v>50000</v>
      </c>
      <c r="E22" s="96">
        <f>(0.0254/0.001)*(998*'1'!$F$5+1.2*'1'!$W$23)</f>
        <v>19011.899999999998</v>
      </c>
      <c r="F22" s="96">
        <f>1.3753*(998*'1'!$F$5+1.2*'1'!$W$23)/(998*0.0254^(1/3)*'5'!E22^(1/12))</f>
        <v>1.5438153001352213</v>
      </c>
      <c r="G22" s="96" t="e">
        <f>F22*(1/(1-'2'!AC20))*('2'!AC20/'2'!AJ20)^(1/3)</f>
        <v>#DIV/0!</v>
      </c>
      <c r="H22" s="96" t="e">
        <f>6*998*F22^2/(0.072*(1-'2'!AC20)^2)*('2'!AC20/'2'!AJ20)^(5/3)</f>
        <v>#DIV/0!</v>
      </c>
      <c r="I22" s="96" t="e">
        <f>IF(AND((H22&gt;$C$3), ('2'!AC20&lt;0.11)),(('2'!AJ20^2/'2'!AC20)*'5'!G22)*SQRT(1-('5'!$C$3/H22))*EXP(-'5'!$C$3/H22), 0)</f>
        <v>#DIV/0!</v>
      </c>
      <c r="J22" s="96" t="e">
        <f>IF(('2'!AC20&lt;0.11),'2'!AJ20^2*'5'!G22/(('5'!$C$4^(1/3)-'2'!AC20^(1/3)))*(1-EXP(-$C$2*($C$4^(1/3)*'2'!AC20^(1/3))/('5'!$C$4^(1/3)-'2'!AC20^(1/3)))), 0)</f>
        <v>#DIV/0!</v>
      </c>
      <c r="K22" s="109"/>
      <c r="L22" s="114"/>
      <c r="M22" s="110"/>
      <c r="N22" s="110"/>
      <c r="O22" s="110"/>
      <c r="P22" s="115"/>
    </row>
    <row r="23" spans="1:16" x14ac:dyDescent="0.25">
      <c r="A23" s="147">
        <f t="shared" si="3"/>
        <v>-0.3</v>
      </c>
      <c r="B23" s="110">
        <v>0.3</v>
      </c>
      <c r="C23" s="96">
        <v>30</v>
      </c>
      <c r="D23" s="115">
        <v>50000</v>
      </c>
      <c r="E23" s="96">
        <f>(0.0254/0.001)*(998*'1'!$F$5+1.2*'1'!$W$23)</f>
        <v>19011.899999999998</v>
      </c>
      <c r="F23" s="96">
        <f>1.3753*(998*'1'!$F$5+1.2*'1'!$W$23)/(998*0.0254^(1/3)*'5'!E23^(1/12))</f>
        <v>1.5438153001352213</v>
      </c>
      <c r="G23" s="96" t="e">
        <f>F23*(1/(1-'2'!AC21))*('2'!AC21/'2'!AJ21)^(1/3)</f>
        <v>#DIV/0!</v>
      </c>
      <c r="H23" s="96" t="e">
        <f>6*998*F23^2/(0.072*(1-'2'!AC21)^2)*('2'!AC21/'2'!AJ21)^(5/3)</f>
        <v>#DIV/0!</v>
      </c>
      <c r="I23" s="96" t="e">
        <f>IF(AND((H23&gt;$C$3), ('2'!AC21&lt;0.11)),(('2'!AJ21^2/'2'!AC21)*'5'!G23)*SQRT(1-('5'!$C$3/H23))*EXP(-'5'!$C$3/H23), 0)</f>
        <v>#DIV/0!</v>
      </c>
      <c r="J23" s="96" t="e">
        <f>IF(('2'!AC21&lt;0.11),'2'!AJ21^2*'5'!G23/(('5'!$C$4^(1/3)-'2'!AC21^(1/3)))*(1-EXP(-$C$2*($C$4^(1/3)*'2'!AC21^(1/3))/('5'!$C$4^(1/3)-'2'!AC21^(1/3)))), 0)</f>
        <v>#DIV/0!</v>
      </c>
      <c r="K23" s="109"/>
      <c r="L23" s="114"/>
      <c r="M23" s="110"/>
      <c r="N23" s="110"/>
      <c r="O23" s="110"/>
      <c r="P23" s="115"/>
    </row>
    <row r="24" spans="1:16" x14ac:dyDescent="0.25">
      <c r="A24" s="147">
        <f t="shared" si="3"/>
        <v>-0.4</v>
      </c>
      <c r="B24" s="110">
        <v>0.4</v>
      </c>
      <c r="C24" s="96">
        <v>30</v>
      </c>
      <c r="D24" s="115">
        <v>50000</v>
      </c>
      <c r="E24" s="96">
        <f>(0.0254/0.001)*(998*'1'!$F$5+1.2*'1'!$W$23)</f>
        <v>19011.899999999998</v>
      </c>
      <c r="F24" s="96">
        <f>1.3753*(998*'1'!$F$5+1.2*'1'!$W$23)/(998*0.0254^(1/3)*'5'!E24^(1/12))</f>
        <v>1.5438153001352213</v>
      </c>
      <c r="G24" s="96"/>
      <c r="H24" s="96"/>
      <c r="I24" s="96">
        <f>IF(AND((H24&gt;$C$3), ('2'!AC22&lt;0.11)),(('2'!AJ22^2/'2'!AC22)*'5'!G24)*SQRT(1-('5'!$C$3/H24))*EXP(-'5'!$C$3/H24), 0)</f>
        <v>0</v>
      </c>
      <c r="J24" s="96"/>
      <c r="K24" s="109"/>
      <c r="L24" s="114"/>
      <c r="M24" s="110"/>
      <c r="N24" s="110"/>
      <c r="O24" s="110"/>
      <c r="P24" s="115"/>
    </row>
    <row r="25" spans="1:16" x14ac:dyDescent="0.25">
      <c r="A25" s="147">
        <f t="shared" si="3"/>
        <v>-0.5</v>
      </c>
      <c r="B25" s="110">
        <v>0.5</v>
      </c>
      <c r="C25" s="96">
        <v>30</v>
      </c>
      <c r="D25" s="115">
        <v>50000</v>
      </c>
      <c r="E25" s="96">
        <f>(0.0254/0.001)*(998*'1'!$F$5+1.2*'1'!$W$23)</f>
        <v>19011.899999999998</v>
      </c>
      <c r="F25" s="96">
        <f>1.3753*(998*'1'!$F$5+1.2*'1'!$W$23)/(998*0.0254^(1/3)*'5'!E25^(1/12))</f>
        <v>1.5438153001352213</v>
      </c>
      <c r="G25" s="96"/>
      <c r="H25" s="96"/>
      <c r="I25" s="96">
        <f>IF(AND((H25&gt;$C$3), ('2'!AC23&lt;0.11)),(('2'!AJ23^2/'2'!AC23)*'5'!G25)*SQRT(1-('5'!$C$3/H25))*EXP(-'5'!$C$3/H25), 0)</f>
        <v>0</v>
      </c>
      <c r="J25" s="96"/>
      <c r="K25" s="109"/>
      <c r="L25" s="114"/>
      <c r="M25" s="110"/>
      <c r="N25" s="110"/>
      <c r="O25" s="110"/>
      <c r="P25" s="115"/>
    </row>
    <row r="26" spans="1:16" x14ac:dyDescent="0.25">
      <c r="A26" s="147">
        <f t="shared" si="3"/>
        <v>-0.6</v>
      </c>
      <c r="B26" s="110">
        <v>0.6</v>
      </c>
      <c r="C26" s="96">
        <v>30</v>
      </c>
      <c r="D26" s="115">
        <v>50000</v>
      </c>
      <c r="E26" s="96">
        <f>(0.0254/0.001)*(998*'1'!$F$5+1.2*'1'!$W$23)</f>
        <v>19011.899999999998</v>
      </c>
      <c r="F26" s="96">
        <f>1.3753*(998*'1'!$F$5+1.2*'1'!$W$23)/(998*0.0254^(1/3)*'5'!E26^(1/12))</f>
        <v>1.5438153001352213</v>
      </c>
      <c r="G26" s="96"/>
      <c r="H26" s="96"/>
      <c r="I26" s="96">
        <f>IF(AND((H26&gt;$C$3), ('2'!AC24&lt;0.11)),(('2'!AJ24^2/'2'!AC24)*'5'!G26)*SQRT(1-('5'!$C$3/H26))*EXP(-'5'!$C$3/H26), 0)</f>
        <v>0</v>
      </c>
      <c r="J26" s="96"/>
      <c r="K26" s="109"/>
      <c r="L26" s="114"/>
      <c r="M26" s="110"/>
      <c r="N26" s="110"/>
      <c r="O26" s="110"/>
      <c r="P26" s="115"/>
    </row>
    <row r="27" spans="1:16" x14ac:dyDescent="0.25">
      <c r="A27" s="147">
        <f t="shared" si="3"/>
        <v>-0.7</v>
      </c>
      <c r="B27" s="110">
        <v>0.7</v>
      </c>
      <c r="C27" s="96">
        <v>30</v>
      </c>
      <c r="D27" s="115">
        <v>50000</v>
      </c>
      <c r="E27" s="96">
        <f>(0.0254/0.001)*(998*'1'!$F$5+1.2*'1'!$W$23)</f>
        <v>19011.899999999998</v>
      </c>
      <c r="F27" s="96">
        <f>1.3753*(998*'1'!$F$5+1.2*'1'!$W$23)/(998*0.0254^(1/3)*'5'!E27^(1/12))</f>
        <v>1.5438153001352213</v>
      </c>
      <c r="G27" s="96"/>
      <c r="H27" s="96"/>
      <c r="I27" s="96">
        <f>IF(AND((H27&gt;$C$3), ('2'!AC25&lt;0.11)),(('2'!AJ25^2/'2'!AC25)*'5'!G27)*SQRT(1-('5'!$C$3/H27))*EXP(-'5'!$C$3/H27), 0)</f>
        <v>0</v>
      </c>
      <c r="J27" s="96"/>
      <c r="K27" s="109"/>
      <c r="L27" s="114"/>
      <c r="M27" s="110"/>
      <c r="N27" s="110"/>
      <c r="O27" s="110"/>
      <c r="P27" s="115"/>
    </row>
    <row r="28" spans="1:16" x14ac:dyDescent="0.25">
      <c r="A28" s="147">
        <f t="shared" si="3"/>
        <v>-0.8</v>
      </c>
      <c r="B28" s="111">
        <v>0.8</v>
      </c>
      <c r="C28" s="96">
        <v>30</v>
      </c>
      <c r="D28" s="112">
        <v>50000</v>
      </c>
      <c r="E28" s="96">
        <f>(0.0254/0.001)*(998*'1'!$F$5+1.2*'1'!$W$23)</f>
        <v>19011.899999999998</v>
      </c>
      <c r="F28" s="96">
        <f>1.3753*(998*'1'!$F$5+1.2*'1'!$W$23)/(998*0.0254^(1/3)*'5'!E28^(1/12))</f>
        <v>1.5438153001352213</v>
      </c>
      <c r="G28" s="96"/>
      <c r="H28" s="96"/>
      <c r="I28" s="96">
        <f>IF(AND((H28&gt;$C$3), ('2'!AC26&lt;0.11)),(('2'!AJ26^2/'2'!AC26)*'5'!G28)*SQRT(1-('5'!$C$3/H28))*EXP(-'5'!$C$3/H28), 0)</f>
        <v>0</v>
      </c>
      <c r="J28" s="96"/>
      <c r="K28" s="109"/>
      <c r="L28" s="114"/>
      <c r="M28" s="110"/>
      <c r="N28" s="110"/>
      <c r="O28" s="110"/>
      <c r="P28" s="115"/>
    </row>
    <row r="29" spans="1:16" x14ac:dyDescent="0.25">
      <c r="A29" s="147">
        <f t="shared" si="3"/>
        <v>-0.85</v>
      </c>
      <c r="B29" s="110">
        <v>0.85</v>
      </c>
      <c r="C29" s="96">
        <v>30</v>
      </c>
      <c r="D29" s="115">
        <v>50000</v>
      </c>
      <c r="E29" s="96">
        <f>(0.0254/0.001)*(998*'1'!$F$5+1.2*'1'!$W$23)</f>
        <v>19011.899999999998</v>
      </c>
      <c r="F29" s="96">
        <f>1.3753*(998*'1'!$F$5+1.2*'1'!$W$23)/(998*0.0254^(1/3)*'5'!E29^(1/12))</f>
        <v>1.5438153001352213</v>
      </c>
      <c r="G29" s="96"/>
      <c r="H29" s="96"/>
      <c r="I29" s="96" t="e">
        <f>IF(AND((H29&gt;$C$3), ('2'!#REF!&lt;0.11)),(('2'!#REF!^2/'2'!#REF!)*'5'!G29)*SQRT(1-('5'!$C$3/H29))*EXP(-'5'!$C$3/H29), 0)</f>
        <v>#REF!</v>
      </c>
      <c r="J29" s="96"/>
      <c r="K29" s="109"/>
      <c r="L29" s="114"/>
      <c r="M29" s="110"/>
      <c r="N29" s="110"/>
      <c r="O29" s="110"/>
      <c r="P29" s="115"/>
    </row>
    <row r="30" spans="1:16" x14ac:dyDescent="0.25">
      <c r="A30" s="147">
        <f t="shared" si="3"/>
        <v>-0.9</v>
      </c>
      <c r="B30" s="110">
        <v>0.9</v>
      </c>
      <c r="C30" s="96"/>
      <c r="D30" s="115"/>
      <c r="E30" s="96">
        <f>(0.0254/0.001)*(998*'1'!$F$5+1.2*'1'!$W$23)</f>
        <v>19011.899999999998</v>
      </c>
      <c r="F30" s="96">
        <f>1.3753*(998*'1'!$F$5+1.2*'1'!$W$23)/(998*0.0254^(1/3)*'5'!E30^(1/12))</f>
        <v>1.5438153001352213</v>
      </c>
      <c r="G30" s="96"/>
      <c r="H30" s="110"/>
      <c r="I30" s="96">
        <f>IF(AND((H30&gt;$C$3), ('2'!AC27&lt;0.11)),(('2'!AJ27^2/'2'!AC27)*'5'!G30)*SQRT(1-('5'!$C$3/H30))*EXP(-'5'!$C$3/H30), 0)</f>
        <v>0</v>
      </c>
      <c r="J30" s="96"/>
      <c r="K30" s="109"/>
      <c r="L30" s="114"/>
      <c r="M30" s="110"/>
      <c r="N30" s="110"/>
      <c r="O30" s="110"/>
      <c r="P30" s="115"/>
    </row>
    <row r="31" spans="1:16" x14ac:dyDescent="0.25">
      <c r="A31" s="147">
        <f t="shared" si="3"/>
        <v>-0.95</v>
      </c>
      <c r="B31" s="96">
        <v>0.95</v>
      </c>
      <c r="C31" s="96">
        <v>30</v>
      </c>
      <c r="D31" s="115"/>
      <c r="E31" s="96">
        <f>(0.0254/0.001)*(998*'1'!$F$5+1.2*'1'!$W$23)</f>
        <v>19011.899999999998</v>
      </c>
      <c r="F31" s="96">
        <f>1.3753*(998*'1'!$F$5+1.2*'1'!$W$23)/(998*0.0254^(1/3)*'5'!E31^(1/12))</f>
        <v>1.5438153001352213</v>
      </c>
      <c r="G31" s="96"/>
      <c r="H31" s="110"/>
      <c r="I31" s="96" t="e">
        <f>IF(AND((H31&gt;$C$3), ('2'!#REF!&lt;0.11)),(('2'!#REF!^2/'2'!#REF!)*'5'!G31)*SQRT(1-('5'!$C$3/H31))*EXP(-'5'!$C$3/H31), 0)</f>
        <v>#REF!</v>
      </c>
      <c r="J31" s="110"/>
      <c r="K31" s="109"/>
      <c r="L31" s="114"/>
      <c r="M31" s="110"/>
      <c r="N31" s="110"/>
      <c r="O31" s="110"/>
      <c r="P31" s="115"/>
    </row>
    <row r="32" spans="1:16" ht="15.75" thickBot="1" x14ac:dyDescent="0.3">
      <c r="A32" s="147">
        <f t="shared" si="3"/>
        <v>-1</v>
      </c>
      <c r="B32" s="110">
        <v>1</v>
      </c>
      <c r="C32" s="110"/>
      <c r="D32" s="115"/>
      <c r="E32" s="96">
        <f>(0.0254/0.001)*(998*'1'!$F$5+1.2*'1'!$W$23)</f>
        <v>19011.899999999998</v>
      </c>
      <c r="F32" s="96">
        <f>1.3753*(998*'1'!$F$5+1.2*'1'!$W$23)/(998*0.0254^(1/3)*'5'!E32^(1/12))</f>
        <v>1.5438153001352213</v>
      </c>
      <c r="G32" s="96"/>
      <c r="H32" s="110"/>
      <c r="I32" s="96">
        <f>IF(AND((H32&gt;$C$3), ('2'!AC28&lt;0.11)),(('2'!AJ28^2/'2'!AC28)*'5'!G32)*SQRT(1-('5'!$C$3/H32))*EXP(-'5'!$C$3/H32), 0)</f>
        <v>0</v>
      </c>
      <c r="J32" s="110"/>
      <c r="K32" s="109"/>
      <c r="L32" s="114"/>
      <c r="M32" s="110"/>
      <c r="N32" s="110"/>
      <c r="O32" s="110"/>
      <c r="P32" s="115"/>
    </row>
    <row r="33" spans="1:16" ht="30.75" thickBot="1" x14ac:dyDescent="0.3">
      <c r="A33" s="233" t="s">
        <v>55</v>
      </c>
      <c r="B33" s="234"/>
      <c r="C33" s="235"/>
      <c r="D33" s="39" t="s">
        <v>54</v>
      </c>
      <c r="E33" s="38">
        <f>0.1/3*($B8*E8+4*$B10*E10+2*$B12*E12+4*$B13*E13+2*$B14*E14+4*$B15*E15+2*$B16*E16+4*$B17*E17+2*$B18*E18+4*$B19*E19+2*$B20*E20+4*$B21*E21+1*$B22*E22)+0.2/3*($B22*E22+4*$B24*E24+2*$B26*E26+4*$B28*E28+$B32*E32)</f>
        <v>19011.899999999998</v>
      </c>
      <c r="F33" s="38">
        <f t="shared" ref="F33:K33" si="4">0.1/3*($B8*F8+4*$B10*F10+2*$B12*F12+4*$B13*F13+2*$B14*F14+4*$B15*F15+2*$B16*F16+4*$B17*F17+2*$B18*F18+4*$B19*F19+2*$B20*F20+4*$B21*F21+1*$B22*F22)+0.2/3*($B22*F22+4*$B24*F24+2*$B26*F26+4*$B28*F28+$B32*F32)</f>
        <v>1.5438153001352211</v>
      </c>
      <c r="G33" s="38" t="e">
        <f t="shared" si="4"/>
        <v>#DIV/0!</v>
      </c>
      <c r="H33" s="38" t="e">
        <f t="shared" si="4"/>
        <v>#DIV/0!</v>
      </c>
      <c r="I33" s="38" t="e">
        <f t="shared" si="4"/>
        <v>#DIV/0!</v>
      </c>
      <c r="J33" s="38" t="e">
        <f t="shared" si="4"/>
        <v>#DIV/0!</v>
      </c>
      <c r="K33" s="38">
        <f t="shared" si="4"/>
        <v>0</v>
      </c>
      <c r="L33" s="38"/>
      <c r="M33" s="38"/>
      <c r="N33" s="38"/>
      <c r="O33" s="38"/>
      <c r="P33" s="38"/>
    </row>
    <row r="34" spans="1:1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</row>
    <row r="35" spans="1:1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</row>
    <row r="36" spans="1:1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</row>
    <row r="37" spans="1:1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</row>
    <row r="38" spans="1:1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</row>
    <row r="39" spans="1:1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</row>
    <row r="40" spans="1:1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</row>
    <row r="41" spans="1:1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</row>
    <row r="42" spans="1:1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</row>
    <row r="43" spans="1:1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</row>
    <row r="44" spans="1:1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</row>
    <row r="45" spans="1:1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</row>
    <row r="46" spans="1:1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</row>
    <row r="47" spans="1:1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</row>
    <row r="48" spans="1:1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</row>
    <row r="49" spans="1:1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</row>
    <row r="50" spans="1:1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</row>
    <row r="51" spans="1:16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</row>
    <row r="52" spans="1:16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</row>
    <row r="53" spans="1:16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</row>
    <row r="54" spans="1:16" ht="15.75" thickBot="1" x14ac:dyDescent="0.3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</row>
    <row r="55" spans="1:16" ht="15.75" thickBot="1" x14ac:dyDescent="0.3">
      <c r="A55" s="236" t="s">
        <v>14</v>
      </c>
      <c r="B55" s="236" t="s">
        <v>49</v>
      </c>
      <c r="C55" s="238" t="s">
        <v>10</v>
      </c>
      <c r="D55" s="240" t="s">
        <v>58</v>
      </c>
      <c r="E55" s="230" t="s">
        <v>256</v>
      </c>
      <c r="F55" s="231"/>
      <c r="G55" s="231"/>
      <c r="H55" s="231"/>
      <c r="I55" s="231"/>
      <c r="J55" s="231"/>
      <c r="K55" s="232"/>
      <c r="L55" s="230"/>
      <c r="M55" s="231"/>
      <c r="N55" s="231"/>
      <c r="O55" s="231"/>
      <c r="P55" s="232"/>
    </row>
    <row r="56" spans="1:16" ht="15.75" thickBot="1" x14ac:dyDescent="0.3">
      <c r="A56" s="237"/>
      <c r="B56" s="237"/>
      <c r="C56" s="239"/>
      <c r="D56" s="241"/>
      <c r="E56" s="16" t="s">
        <v>257</v>
      </c>
      <c r="F56" s="17" t="s">
        <v>250</v>
      </c>
      <c r="G56" s="17" t="s">
        <v>258</v>
      </c>
      <c r="H56" s="17" t="s">
        <v>252</v>
      </c>
      <c r="I56" s="18" t="s">
        <v>259</v>
      </c>
      <c r="J56" s="18" t="s">
        <v>260</v>
      </c>
      <c r="K56" s="19" t="s">
        <v>21</v>
      </c>
      <c r="L56" s="20"/>
      <c r="M56" s="18"/>
      <c r="N56" s="18"/>
      <c r="O56" s="18"/>
      <c r="P56" s="19"/>
    </row>
    <row r="57" spans="1:16" x14ac:dyDescent="0.25">
      <c r="A57" s="111">
        <f t="shared" ref="A57:A68" si="5">B57</f>
        <v>1</v>
      </c>
      <c r="B57" s="111">
        <v>1</v>
      </c>
      <c r="C57" s="96"/>
      <c r="D57" s="112"/>
      <c r="E57" s="96">
        <f>(0.0254/0.001)*(998*'1'!$F$5+1.2*'1'!$W$23)</f>
        <v>19011.899999999998</v>
      </c>
      <c r="F57" s="96">
        <f>1.3753*(998*'1'!$F$5+1.2*'1'!$W$23)/(998*0.0254^(1/3)*'5'!E57^(1/12))</f>
        <v>1.5438153001352213</v>
      </c>
      <c r="G57" s="96"/>
      <c r="H57" s="96"/>
      <c r="I57" s="96">
        <f>IF(AND((H57&gt;$C$3), ('2'!AC53&lt;0.11)),(('2'!AJ53^2/'2'!AC53)*'5'!G57)*SQRT(1-('5'!$C$3/H57))*EXP(-'5'!$C$3/H57), 0)</f>
        <v>0</v>
      </c>
      <c r="J57" s="96"/>
      <c r="K57" s="96"/>
      <c r="L57" s="111"/>
      <c r="M57" s="96"/>
      <c r="N57" s="96"/>
      <c r="O57" s="96"/>
      <c r="P57" s="96"/>
    </row>
    <row r="58" spans="1:16" x14ac:dyDescent="0.25">
      <c r="A58" s="111">
        <f t="shared" si="5"/>
        <v>0.93</v>
      </c>
      <c r="B58" s="111">
        <v>0.93</v>
      </c>
      <c r="C58" s="96">
        <v>30</v>
      </c>
      <c r="D58" s="112">
        <v>50000</v>
      </c>
      <c r="E58" s="96">
        <f>(0.0254/0.001)*(998*'1'!$F$5+1.2*'1'!$W$23)</f>
        <v>19011.899999999998</v>
      </c>
      <c r="F58" s="96">
        <f>1.3753*(998*'1'!$F$5+1.2*'1'!$W$23)/(998*0.0254^(1/3)*'5'!E58^(1/12))</f>
        <v>1.5438153001352213</v>
      </c>
      <c r="G58" s="96"/>
      <c r="H58" s="96"/>
      <c r="I58" s="96" t="e">
        <f>IF(AND((H58&gt;$C$3), ('2'!#REF!&lt;0.11)),(('2'!#REF!^2/'2'!#REF!)*'5'!G58)*SQRT(1-('5'!$C$3/H58))*EXP(-'5'!$C$3/H58), 0)</f>
        <v>#REF!</v>
      </c>
      <c r="J58" s="96"/>
      <c r="K58" s="96"/>
      <c r="L58" s="111"/>
      <c r="M58" s="96"/>
      <c r="N58" s="96"/>
      <c r="O58" s="96"/>
      <c r="P58" s="112"/>
    </row>
    <row r="59" spans="1:16" x14ac:dyDescent="0.25">
      <c r="A59" s="111">
        <f t="shared" si="5"/>
        <v>0.9</v>
      </c>
      <c r="B59" s="111">
        <v>0.9</v>
      </c>
      <c r="C59" s="96">
        <v>30</v>
      </c>
      <c r="D59" s="112">
        <v>50000</v>
      </c>
      <c r="E59" s="96">
        <f>(0.0254/0.001)*(998*'1'!$F$5+1.2*'1'!$W$23)</f>
        <v>19011.899999999998</v>
      </c>
      <c r="F59" s="96">
        <f>1.3753*(998*'1'!$F$5+1.2*'1'!$W$23)/(998*0.0254^(1/3)*'5'!E59^(1/12))</f>
        <v>1.5438153001352213</v>
      </c>
      <c r="G59" s="96" t="e">
        <f>F59*(1/(1-'2'!AC54))*('2'!AC54/'2'!AJ54)^(1/3)</f>
        <v>#DIV/0!</v>
      </c>
      <c r="H59" s="96" t="e">
        <f>6*998*F59^2/(0.072*(1-'2'!AC54)^2)*('2'!AC54/'2'!AJ54)^(5/3)</f>
        <v>#DIV/0!</v>
      </c>
      <c r="I59" s="96" t="e">
        <f>IF(AND((H59&gt;$C$3), ('2'!AC54&lt;0.11)),(('2'!AJ54^2/'2'!AC54)*'5'!G59)*SQRT(1-('5'!$C$3/H59))*EXP(-'5'!$C$3/H59), 0)</f>
        <v>#DIV/0!</v>
      </c>
      <c r="J59" s="96" t="e">
        <f>IF(('2'!AC54&lt;0.11),'2'!AJ54^2*'5'!G59/(('5'!$C$4^(1/3)-'2'!AC54^(1/3)))*(1-EXP(-$C$2*($C$4^(1/3)*'2'!AC54^(1/3))/('5'!$C$4^(1/3)-'2'!AC54^(1/3)))), 0)</f>
        <v>#DIV/0!</v>
      </c>
      <c r="K59" s="96"/>
      <c r="L59" s="111"/>
      <c r="M59" s="96"/>
      <c r="N59" s="96"/>
      <c r="O59" s="96"/>
      <c r="P59" s="112"/>
    </row>
    <row r="60" spans="1:16" x14ac:dyDescent="0.25">
      <c r="A60" s="111">
        <f t="shared" si="5"/>
        <v>0.85</v>
      </c>
      <c r="B60" s="111">
        <v>0.85</v>
      </c>
      <c r="C60" s="96">
        <v>30</v>
      </c>
      <c r="D60" s="112">
        <v>50000</v>
      </c>
      <c r="E60" s="96">
        <f>(0.0254/0.001)*(998*'1'!$F$5+1.2*'1'!$W$23)</f>
        <v>19011.899999999998</v>
      </c>
      <c r="F60" s="96">
        <f>1.3753*(998*'1'!$F$5+1.2*'1'!$W$23)/(998*0.0254^(1/3)*'5'!E60^(1/12))</f>
        <v>1.5438153001352213</v>
      </c>
      <c r="G60" s="96"/>
      <c r="H60" s="96"/>
      <c r="I60" s="96" t="e">
        <f>IF(AND((H60&gt;$C$3), ('2'!#REF!&lt;0.11)),(('2'!#REF!^2/'2'!#REF!)*'5'!G60)*SQRT(1-('5'!$C$3/H60))*EXP(-'5'!$C$3/H60), 0)</f>
        <v>#REF!</v>
      </c>
      <c r="J60" s="96" t="e">
        <f>IF(('2'!#REF!&lt;0.11),'2'!#REF!^2*'5'!G60/(('5'!$C$4^(1/3)-'2'!#REF!^(1/3)))*(1-EXP(-$C$2*($C$4^(1/3)*'2'!#REF!^(1/3))/('5'!$C$4^(1/3)-'2'!#REF!^(1/3)))), 0)</f>
        <v>#REF!</v>
      </c>
      <c r="K60" s="96"/>
      <c r="L60" s="111"/>
      <c r="M60" s="96"/>
      <c r="N60" s="96"/>
      <c r="O60" s="96"/>
      <c r="P60" s="112"/>
    </row>
    <row r="61" spans="1:16" x14ac:dyDescent="0.25">
      <c r="A61" s="111">
        <f t="shared" si="5"/>
        <v>0.8</v>
      </c>
      <c r="B61" s="111">
        <v>0.8</v>
      </c>
      <c r="C61" s="96">
        <v>30</v>
      </c>
      <c r="D61" s="112">
        <v>50000</v>
      </c>
      <c r="E61" s="96">
        <f>(0.0254/0.001)*(998*'1'!$F$5+1.2*'1'!$W$23)</f>
        <v>19011.899999999998</v>
      </c>
      <c r="F61" s="96">
        <f>1.3753*(998*'1'!$F$5+1.2*'1'!$W$23)/(998*0.0254^(1/3)*'5'!E61^(1/12))</f>
        <v>1.5438153001352213</v>
      </c>
      <c r="G61" s="96" t="e">
        <f>F61*(1/(1-'2'!AC55))*('2'!AC55/'2'!AJ55)^(1/3)</f>
        <v>#DIV/0!</v>
      </c>
      <c r="H61" s="96" t="e">
        <f>6*998*F61^2/(0.072*(1-'2'!AC55)^2)*('2'!AC55/'2'!AJ55)^(5/3)</f>
        <v>#DIV/0!</v>
      </c>
      <c r="I61" s="96" t="e">
        <f>IF(AND((H61&gt;$C$3), ('2'!AC55&lt;0.11)),(('2'!AJ55^2/'2'!AC55)*'5'!G61)*SQRT(1-('5'!$C$3/H61))*EXP(-'5'!$C$3/H61), 0)</f>
        <v>#DIV/0!</v>
      </c>
      <c r="J61" s="96" t="e">
        <f>IF(('2'!AC55&lt;0.11),'2'!AJ55^2*'5'!G61/(('5'!$C$4^(1/3)-'2'!AC55^(1/3)))*(1-EXP(-$C$2*($C$4^(1/3)*'2'!AC55^(1/3))/('5'!$C$4^(1/3)-'2'!AC55^(1/3)))), 0)</f>
        <v>#DIV/0!</v>
      </c>
      <c r="K61" s="96"/>
      <c r="L61" s="111"/>
      <c r="M61" s="96"/>
      <c r="N61" s="96"/>
      <c r="O61" s="96"/>
      <c r="P61" s="112"/>
    </row>
    <row r="62" spans="1:16" x14ac:dyDescent="0.25">
      <c r="A62" s="111">
        <f t="shared" si="5"/>
        <v>0.7</v>
      </c>
      <c r="B62" s="111">
        <v>0.7</v>
      </c>
      <c r="C62" s="96">
        <v>30</v>
      </c>
      <c r="D62" s="112">
        <v>50000</v>
      </c>
      <c r="E62" s="96">
        <f>(0.0254/0.001)*(998*'1'!$F$5+1.2*'1'!$W$23)</f>
        <v>19011.899999999998</v>
      </c>
      <c r="F62" s="96">
        <f>1.3753*(998*'1'!$F$5+1.2*'1'!$W$23)/(998*0.0254^(1/3)*'5'!E62^(1/12))</f>
        <v>1.5438153001352213</v>
      </c>
      <c r="G62" s="96" t="e">
        <f>F62*(1/(1-'2'!AC56))*('2'!AC56/'2'!AJ56)^(1/3)</f>
        <v>#DIV/0!</v>
      </c>
      <c r="H62" s="96" t="e">
        <f>6*998*F62^2/(0.072*(1-'2'!AC56)^2)*('2'!AC56/'2'!AJ56)^(5/3)</f>
        <v>#DIV/0!</v>
      </c>
      <c r="I62" s="96" t="e">
        <f>IF(AND((H62&gt;$C$3), ('2'!AC56&lt;0.11)),(('2'!AJ56^2/'2'!AC56)*'5'!G62)*SQRT(1-('5'!$C$3/H62))*EXP(-'5'!$C$3/H62), 0)</f>
        <v>#DIV/0!</v>
      </c>
      <c r="J62" s="96" t="e">
        <f>IF(('2'!AC56&lt;0.11),'2'!AJ56^2*'5'!G62/(('5'!$C$4^(1/3)-'2'!AC56^(1/3)))*(1-EXP(-$C$2*($C$4^(1/3)*'2'!AC56^(1/3))/('5'!$C$4^(1/3)-'2'!AC56^(1/3)))), 0)</f>
        <v>#DIV/0!</v>
      </c>
      <c r="K62" s="96"/>
      <c r="L62" s="111"/>
      <c r="M62" s="96"/>
      <c r="N62" s="96"/>
      <c r="O62" s="96"/>
      <c r="P62" s="112"/>
    </row>
    <row r="63" spans="1:16" x14ac:dyDescent="0.25">
      <c r="A63" s="111">
        <f t="shared" si="5"/>
        <v>0.6</v>
      </c>
      <c r="B63" s="111">
        <v>0.6</v>
      </c>
      <c r="C63" s="96">
        <v>30</v>
      </c>
      <c r="D63" s="112">
        <v>50000</v>
      </c>
      <c r="E63" s="96">
        <f>(0.0254/0.001)*(998*'1'!$F$5+1.2*'1'!$W$23)</f>
        <v>19011.899999999998</v>
      </c>
      <c r="F63" s="96">
        <f>1.3753*(998*'1'!$F$5+1.2*'1'!$W$23)/(998*0.0254^(1/3)*'5'!E63^(1/12))</f>
        <v>1.5438153001352213</v>
      </c>
      <c r="G63" s="96" t="e">
        <f>F63*(1/(1-'2'!AC57))*('2'!AC57/'2'!AJ57)^(1/3)</f>
        <v>#DIV/0!</v>
      </c>
      <c r="H63" s="96" t="e">
        <f>6*998*F63^2/(0.072*(1-'2'!AC57)^2)*('2'!AC57/'2'!AJ57)^(5/3)</f>
        <v>#DIV/0!</v>
      </c>
      <c r="I63" s="96" t="e">
        <f>IF(AND((H63&gt;$C$3), ('2'!AC57&lt;0.11)),(('2'!AJ57^2/'2'!AC57)*'5'!G63)*SQRT(1-('5'!$C$3/H63))*EXP(-'5'!$C$3/H63), 0)</f>
        <v>#DIV/0!</v>
      </c>
      <c r="J63" s="96" t="e">
        <f>IF(('2'!AC57&lt;0.11),'2'!AJ57^2*'5'!G63/(('5'!$C$4^(1/3)-'2'!AC57^(1/3)))*(1-EXP(-$C$2*($C$4^(1/3)*'2'!AC57^(1/3))/('5'!$C$4^(1/3)-'2'!AC57^(1/3)))), 0)</f>
        <v>#DIV/0!</v>
      </c>
      <c r="K63" s="96"/>
      <c r="L63" s="111"/>
      <c r="M63" s="96"/>
      <c r="N63" s="96"/>
      <c r="O63" s="96"/>
      <c r="P63" s="112"/>
    </row>
    <row r="64" spans="1:16" x14ac:dyDescent="0.25">
      <c r="A64" s="111">
        <f t="shared" si="5"/>
        <v>0.5</v>
      </c>
      <c r="B64" s="111">
        <v>0.5</v>
      </c>
      <c r="C64" s="96">
        <v>30</v>
      </c>
      <c r="D64" s="112">
        <v>50000</v>
      </c>
      <c r="E64" s="96">
        <f>(0.0254/0.001)*(998*'1'!$F$5+1.2*'1'!$W$23)</f>
        <v>19011.899999999998</v>
      </c>
      <c r="F64" s="96">
        <f>1.3753*(998*'1'!$F$5+1.2*'1'!$W$23)/(998*0.0254^(1/3)*'5'!E64^(1/12))</f>
        <v>1.5438153001352213</v>
      </c>
      <c r="G64" s="96" t="e">
        <f>F64*(1/(1-'2'!AC58))*('2'!AC58/'2'!AJ58)^(1/3)</f>
        <v>#DIV/0!</v>
      </c>
      <c r="H64" s="96" t="e">
        <f>6*998*F64^2/(0.072*(1-'2'!AC58)^2)*('2'!AC58/'2'!AJ58)^(5/3)</f>
        <v>#DIV/0!</v>
      </c>
      <c r="I64" s="96" t="e">
        <f>IF(AND((H64&gt;$C$3), ('2'!AC58&lt;0.11)),(('2'!AJ58^2/'2'!AC58)*'5'!G64)*SQRT(1-('5'!$C$3/H64))*EXP(-'5'!$C$3/H64), 0)</f>
        <v>#DIV/0!</v>
      </c>
      <c r="J64" s="96" t="e">
        <f>IF(('2'!AC58&lt;0.11),'2'!AJ58^2*'5'!G64/(('5'!$C$4^(1/3)-'2'!AC58^(1/3)))*(1-EXP(-$C$2*($C$4^(1/3)*'2'!AC58^(1/3))/('5'!$C$4^(1/3)-'2'!AC58^(1/3)))), 0)</f>
        <v>#DIV/0!</v>
      </c>
      <c r="K64" s="96"/>
      <c r="L64" s="111"/>
      <c r="M64" s="96"/>
      <c r="N64" s="96"/>
      <c r="O64" s="96"/>
      <c r="P64" s="112"/>
    </row>
    <row r="65" spans="1:16" x14ac:dyDescent="0.25">
      <c r="A65" s="111">
        <f t="shared" si="5"/>
        <v>0.4</v>
      </c>
      <c r="B65" s="111">
        <v>0.4</v>
      </c>
      <c r="C65" s="96">
        <v>30</v>
      </c>
      <c r="D65" s="112">
        <v>50000</v>
      </c>
      <c r="E65" s="96">
        <f>(0.0254/0.001)*(998*'1'!$F$5+1.2*'1'!$W$23)</f>
        <v>19011.899999999998</v>
      </c>
      <c r="F65" s="96">
        <f>1.3753*(998*'1'!$F$5+1.2*'1'!$W$23)/(998*0.0254^(1/3)*'5'!E65^(1/12))</f>
        <v>1.5438153001352213</v>
      </c>
      <c r="G65" s="96" t="e">
        <f>F65*(1/(1-'2'!AC59))*('2'!AC59/'2'!AJ59)^(1/3)</f>
        <v>#DIV/0!</v>
      </c>
      <c r="H65" s="96" t="e">
        <f>6*998*F65^2/(0.072*(1-'2'!AC59)^2)*('2'!AC59/'2'!AJ59)^(5/3)</f>
        <v>#DIV/0!</v>
      </c>
      <c r="I65" s="96" t="e">
        <f>IF(AND((H65&gt;$C$3), ('2'!AC59&lt;0.11)),(('2'!AJ59^2/'2'!AC59)*'5'!G65)*SQRT(1-('5'!$C$3/H65))*EXP(-'5'!$C$3/H65), 0)</f>
        <v>#DIV/0!</v>
      </c>
      <c r="J65" s="96" t="e">
        <f>IF(('2'!AC59&lt;0.11),'2'!AJ59^2*'5'!G65/(('5'!$C$4^(1/3)-'2'!AC59^(1/3)))*(1-EXP(-$C$2*($C$4^(1/3)*'2'!AC59^(1/3))/('5'!$C$4^(1/3)-'2'!AC59^(1/3)))), 0)</f>
        <v>#DIV/0!</v>
      </c>
      <c r="K65" s="96"/>
      <c r="L65" s="111"/>
      <c r="M65" s="96"/>
      <c r="N65" s="96"/>
      <c r="O65" s="96"/>
      <c r="P65" s="112"/>
    </row>
    <row r="66" spans="1:16" x14ac:dyDescent="0.25">
      <c r="A66" s="111">
        <f t="shared" si="5"/>
        <v>0.3</v>
      </c>
      <c r="B66" s="111">
        <v>0.3</v>
      </c>
      <c r="C66" s="96">
        <v>30</v>
      </c>
      <c r="D66" s="112">
        <v>50000</v>
      </c>
      <c r="E66" s="96">
        <f>(0.0254/0.001)*(998*'1'!$F$5+1.2*'1'!$W$23)</f>
        <v>19011.899999999998</v>
      </c>
      <c r="F66" s="96">
        <f>1.3753*(998*'1'!$F$5+1.2*'1'!$W$23)/(998*0.0254^(1/3)*'5'!E66^(1/12))</f>
        <v>1.5438153001352213</v>
      </c>
      <c r="G66" s="96" t="e">
        <f>F66*(1/(1-'2'!AC60))*('2'!AC60/'2'!AJ60)^(1/3)</f>
        <v>#DIV/0!</v>
      </c>
      <c r="H66" s="96" t="e">
        <f>6*998*F66^2/(0.072*(1-'2'!AC60)^2)*('2'!AC60/'2'!AJ60)^(5/3)</f>
        <v>#DIV/0!</v>
      </c>
      <c r="I66" s="96" t="e">
        <f>IF(AND((H66&gt;$C$3), ('2'!AC60&lt;0.11)),(('2'!AJ60^2/'2'!AC60)*'5'!G66)*SQRT(1-('5'!$C$3/H66))*EXP(-'5'!$C$3/H66), 0)</f>
        <v>#DIV/0!</v>
      </c>
      <c r="J66" s="96" t="e">
        <f>IF(('2'!AC60&lt;0.11),'2'!AJ60^2*'5'!G66/(('5'!$C$4^(1/3)-'2'!AC60^(1/3)))*(1-EXP(-$C$2*($C$4^(1/3)*'2'!AC60^(1/3))/('5'!$C$4^(1/3)-'2'!AC60^(1/3)))), 0)</f>
        <v>#DIV/0!</v>
      </c>
      <c r="K66" s="96"/>
      <c r="L66" s="111"/>
      <c r="M66" s="96"/>
      <c r="N66" s="96"/>
      <c r="O66" s="96"/>
      <c r="P66" s="112"/>
    </row>
    <row r="67" spans="1:16" x14ac:dyDescent="0.25">
      <c r="A67" s="111">
        <f t="shared" si="5"/>
        <v>0.2</v>
      </c>
      <c r="B67" s="111">
        <v>0.2</v>
      </c>
      <c r="C67" s="96">
        <v>30</v>
      </c>
      <c r="D67" s="112">
        <v>50000</v>
      </c>
      <c r="E67" s="96">
        <f>(0.0254/0.001)*(998*'1'!$F$5+1.2*'1'!$W$23)</f>
        <v>19011.899999999998</v>
      </c>
      <c r="F67" s="96">
        <f>1.3753*(998*'1'!$F$5+1.2*'1'!$W$23)/(998*0.0254^(1/3)*'5'!E67^(1/12))</f>
        <v>1.5438153001352213</v>
      </c>
      <c r="G67" s="96" t="e">
        <f>F67*(1/(1-'2'!AC61))*('2'!AC61/'2'!AJ61)^(1/3)</f>
        <v>#DIV/0!</v>
      </c>
      <c r="H67" s="96" t="e">
        <f>6*998*F67^2/(0.072*(1-'2'!AC61)^2)*('2'!AC61/'2'!AJ61)^(5/3)</f>
        <v>#DIV/0!</v>
      </c>
      <c r="I67" s="96" t="e">
        <f>IF(AND((H67&gt;$C$3), ('2'!AC61&lt;0.11)),(('2'!AJ61^2/'2'!AC61)*'5'!G67)*SQRT(1-('5'!$C$3/H67))*EXP(-'5'!$C$3/H67), 0)</f>
        <v>#DIV/0!</v>
      </c>
      <c r="J67" s="96" t="e">
        <f>IF(('2'!AC61&lt;0.11),'2'!AJ61^2*'5'!G67/(('5'!$C$4^(1/3)-'2'!AC61^(1/3)))*(1-EXP(-$C$2*($C$4^(1/3)*'2'!AC61^(1/3))/('5'!$C$4^(1/3)-'2'!AC61^(1/3)))), 0)</f>
        <v>#DIV/0!</v>
      </c>
      <c r="K67" s="96"/>
      <c r="L67" s="111"/>
      <c r="M67" s="96"/>
      <c r="N67" s="96"/>
      <c r="O67" s="96"/>
      <c r="P67" s="112"/>
    </row>
    <row r="68" spans="1:16" ht="15.75" thickBot="1" x14ac:dyDescent="0.3">
      <c r="A68" s="111">
        <f t="shared" si="5"/>
        <v>0.1</v>
      </c>
      <c r="B68" s="111">
        <v>0.1</v>
      </c>
      <c r="C68" s="96">
        <v>30</v>
      </c>
      <c r="D68" s="112">
        <v>50000</v>
      </c>
      <c r="E68" s="96">
        <f>(0.0254/0.001)*(998*'1'!$F$5+1.2*'1'!$W$23)</f>
        <v>19011.899999999998</v>
      </c>
      <c r="F68" s="96">
        <f>1.3753*(998*'1'!$F$5+1.2*'1'!$W$23)/(998*0.0254^(1/3)*'5'!E68^(1/12))</f>
        <v>1.5438153001352213</v>
      </c>
      <c r="G68" s="96" t="e">
        <f>F68*(1/(1-'2'!AC62))*('2'!AC62/'2'!AJ62)^(1/3)</f>
        <v>#DIV/0!</v>
      </c>
      <c r="H68" s="96" t="e">
        <f>6*998*F68^2/(0.072*(1-'2'!AC62)^2)*('2'!AC62/'2'!AJ62)^(5/3)</f>
        <v>#DIV/0!</v>
      </c>
      <c r="I68" s="96" t="e">
        <f>IF(AND((H68&gt;$C$3), ('2'!AC62&lt;0.11)),(('2'!AJ62^2/'2'!AC62)*'5'!G68)*SQRT(1-('5'!$C$3/H68))*EXP(-'5'!$C$3/H68), 0)</f>
        <v>#DIV/0!</v>
      </c>
      <c r="J68" s="96" t="e">
        <f>IF(('2'!AC62&lt;0.11),'2'!AJ62^2*'5'!G68/(('5'!$C$4^(1/3)-'2'!AC62^(1/3)))*(1-EXP(-$C$2*($C$4^(1/3)*'2'!AC62^(1/3))/('5'!$C$4^(1/3)-'2'!AC62^(1/3)))), 0)</f>
        <v>#DIV/0!</v>
      </c>
      <c r="K68" s="96"/>
      <c r="L68" s="111"/>
      <c r="M68" s="96"/>
      <c r="N68" s="96"/>
      <c r="O68" s="96"/>
      <c r="P68" s="112"/>
    </row>
    <row r="69" spans="1:16" ht="15.75" thickBot="1" x14ac:dyDescent="0.3">
      <c r="A69" s="36">
        <f t="shared" ref="A69:A77" si="6">-B69</f>
        <v>0</v>
      </c>
      <c r="B69" s="117">
        <v>0</v>
      </c>
      <c r="C69" s="118">
        <v>30</v>
      </c>
      <c r="D69" s="144">
        <v>50000</v>
      </c>
      <c r="E69" s="96">
        <f>(0.0254/0.001)*(998*'1'!$F$5+1.2*'1'!$W$23)</f>
        <v>19011.899999999998</v>
      </c>
      <c r="F69" s="96">
        <f>1.3753*(998*'1'!$F$5+1.2*'1'!$W$23)/(998*0.0254^(1/3)*'5'!E69^(1/12))</f>
        <v>1.5438153001352213</v>
      </c>
      <c r="G69" s="96" t="e">
        <f>F69*(1/(1-'2'!AC63))*('2'!AC63/'2'!AJ63)^(1/3)</f>
        <v>#DIV/0!</v>
      </c>
      <c r="H69" s="96" t="e">
        <f>6*998*F69^2/(0.072*(1-'2'!AC63)^2)*('2'!AC63/'2'!AJ63)^(5/3)</f>
        <v>#DIV/0!</v>
      </c>
      <c r="I69" s="96" t="e">
        <f>IF(AND((H69&gt;$C$3), ('2'!AC63&lt;0.11)),(('2'!AJ63^2/'2'!AC63)*'5'!G69)*SQRT(1-('5'!$C$3/H69))*EXP(-'5'!$C$3/H69), 0)</f>
        <v>#DIV/0!</v>
      </c>
      <c r="J69" s="96" t="e">
        <f>IF(('2'!AC63&lt;0.11),'2'!AJ63^2*'5'!G69/(('5'!$C$4^(1/3)-'2'!AC63^(1/3)))*(1-EXP(-$C$2*($C$4^(1/3)*'2'!AC63^(1/3))/('5'!$C$4^(1/3)-'2'!AC63^(1/3)))), 0)</f>
        <v>#DIV/0!</v>
      </c>
      <c r="K69" s="118"/>
      <c r="L69" s="117"/>
      <c r="M69" s="118"/>
      <c r="N69" s="118"/>
      <c r="O69" s="118"/>
      <c r="P69" s="144"/>
    </row>
    <row r="70" spans="1:16" x14ac:dyDescent="0.25">
      <c r="A70" s="147">
        <f t="shared" si="6"/>
        <v>-0.1</v>
      </c>
      <c r="B70" s="110">
        <v>0.1</v>
      </c>
      <c r="C70" s="110">
        <v>30</v>
      </c>
      <c r="D70" s="115">
        <v>50000</v>
      </c>
      <c r="E70" s="96">
        <f>(0.0254/0.001)*(998*'1'!$F$5+1.2*'1'!$W$23)</f>
        <v>19011.899999999998</v>
      </c>
      <c r="F70" s="96">
        <f>1.3753*(998*'1'!$F$5+1.2*'1'!$W$23)/(998*0.0254^(1/3)*'5'!E70^(1/12))</f>
        <v>1.5438153001352213</v>
      </c>
      <c r="G70" s="96" t="e">
        <f>F70*(1/(1-'2'!AC64))*('2'!AC64/'2'!AJ64)^(1/3)</f>
        <v>#DIV/0!</v>
      </c>
      <c r="H70" s="96" t="e">
        <f>6*998*F70^2/(0.072*(1-'2'!AC64)^2)*('2'!AC64/'2'!AJ64)^(5/3)</f>
        <v>#DIV/0!</v>
      </c>
      <c r="I70" s="96" t="e">
        <f>IF(AND((H70&gt;$C$3), ('2'!AC64&lt;0.11)),(('2'!AJ64^2/'2'!AC64)*'5'!G70)*SQRT(1-('5'!$C$3/H70))*EXP(-'5'!$C$3/H70), 0)</f>
        <v>#DIV/0!</v>
      </c>
      <c r="J70" s="96" t="e">
        <f>IF(('2'!AC64&lt;0.11),'2'!AJ64^2*'5'!G70/(('5'!$C$4^(1/3)-'2'!AC64^(1/3)))*(1-EXP(-$C$2*($C$4^(1/3)*'2'!AC64^(1/3))/('5'!$C$4^(1/3)-'2'!AC64^(1/3)))), 0)</f>
        <v>#DIV/0!</v>
      </c>
      <c r="K70" s="109"/>
      <c r="L70" s="114"/>
      <c r="M70" s="110"/>
      <c r="N70" s="110"/>
      <c r="O70" s="110"/>
      <c r="P70" s="115"/>
    </row>
    <row r="71" spans="1:16" x14ac:dyDescent="0.25">
      <c r="A71" s="147">
        <f t="shared" si="6"/>
        <v>-0.2</v>
      </c>
      <c r="B71" s="110">
        <v>0.2</v>
      </c>
      <c r="C71" s="110">
        <v>30</v>
      </c>
      <c r="D71" s="115">
        <v>50000</v>
      </c>
      <c r="E71" s="96">
        <f>(0.0254/0.001)*(998*'1'!$F$5+1.2*'1'!$W$23)</f>
        <v>19011.899999999998</v>
      </c>
      <c r="F71" s="96">
        <f>1.3753*(998*'1'!$F$5+1.2*'1'!$W$23)/(998*0.0254^(1/3)*'5'!E71^(1/12))</f>
        <v>1.5438153001352213</v>
      </c>
      <c r="G71" s="96" t="e">
        <f>F71*(1/(1-'2'!AC65))*('2'!AC65/'2'!AJ65)^(1/3)</f>
        <v>#DIV/0!</v>
      </c>
      <c r="H71" s="96" t="e">
        <f>6*998*F71^2/(0.072*(1-'2'!AC65)^2)*('2'!AC65/'2'!AJ65)^(5/3)</f>
        <v>#DIV/0!</v>
      </c>
      <c r="I71" s="96" t="e">
        <f>IF(AND((H71&gt;$C$3), ('2'!AC65&lt;0.11)),(('2'!AJ65^2/'2'!AC65)*'5'!G71)*SQRT(1-('5'!$C$3/H71))*EXP(-'5'!$C$3/H71), 0)</f>
        <v>#DIV/0!</v>
      </c>
      <c r="J71" s="96" t="e">
        <f>IF(('2'!AC65&lt;0.11),'2'!AJ65^2*'5'!G71/(('5'!$C$4^(1/3)-'2'!AC65^(1/3)))*(1-EXP(-$C$2*($C$4^(1/3)*'2'!AC65^(1/3))/('5'!$C$4^(1/3)-'2'!AC65^(1/3)))), 0)</f>
        <v>#DIV/0!</v>
      </c>
      <c r="K71" s="109"/>
      <c r="L71" s="114"/>
      <c r="M71" s="110"/>
      <c r="N71" s="110"/>
      <c r="O71" s="110"/>
      <c r="P71" s="115"/>
    </row>
    <row r="72" spans="1:16" x14ac:dyDescent="0.25">
      <c r="A72" s="147">
        <f t="shared" si="6"/>
        <v>-0.3</v>
      </c>
      <c r="B72" s="110">
        <v>0.3</v>
      </c>
      <c r="C72" s="110">
        <v>30</v>
      </c>
      <c r="D72" s="115">
        <v>50000</v>
      </c>
      <c r="E72" s="96">
        <f>(0.0254/0.001)*(998*'1'!$F$5+1.2*'1'!$W$23)</f>
        <v>19011.899999999998</v>
      </c>
      <c r="F72" s="96">
        <f>1.3753*(998*'1'!$F$5+1.2*'1'!$W$23)/(998*0.0254^(1/3)*'5'!E72^(1/12))</f>
        <v>1.5438153001352213</v>
      </c>
      <c r="G72" s="96" t="e">
        <f>F72*(1/(1-'2'!AC66))*('2'!AC66/'2'!AJ66)^(1/3)</f>
        <v>#DIV/0!</v>
      </c>
      <c r="H72" s="96" t="e">
        <f>6*998*F72^2/(0.072*(1-'2'!AC66)^2)*('2'!AC66/'2'!AJ66)^(5/3)</f>
        <v>#DIV/0!</v>
      </c>
      <c r="I72" s="96" t="e">
        <f>IF(AND((H72&gt;$C$3), ('2'!AC66&lt;0.11)),(('2'!AJ66^2/'2'!AC66)*'5'!G72)*SQRT(1-('5'!$C$3/H72))*EXP(-'5'!$C$3/H72), 0)</f>
        <v>#DIV/0!</v>
      </c>
      <c r="J72" s="96" t="e">
        <f>IF(('2'!AC66&lt;0.11),'2'!AJ66^2*'5'!G72/(('5'!$C$4^(1/3)-'2'!AC66^(1/3)))*(1-EXP(-$C$2*($C$4^(1/3)*'2'!AC66^(1/3))/('5'!$C$4^(1/3)-'2'!AC66^(1/3)))), 0)</f>
        <v>#DIV/0!</v>
      </c>
      <c r="K72" s="109"/>
      <c r="L72" s="114"/>
      <c r="M72" s="110"/>
      <c r="N72" s="110"/>
      <c r="O72" s="110"/>
      <c r="P72" s="115"/>
    </row>
    <row r="73" spans="1:16" x14ac:dyDescent="0.25">
      <c r="A73" s="147">
        <f t="shared" si="6"/>
        <v>-0.4</v>
      </c>
      <c r="B73" s="110">
        <v>0.4</v>
      </c>
      <c r="C73" s="110">
        <v>30</v>
      </c>
      <c r="D73" s="115">
        <v>50000</v>
      </c>
      <c r="E73" s="96">
        <f>(0.0254/0.001)*(998*'1'!$F$5+1.2*'1'!$W$23)</f>
        <v>19011.899999999998</v>
      </c>
      <c r="F73" s="96">
        <f>1.3753*(998*'1'!$F$5+1.2*'1'!$W$23)/(998*0.0254^(1/3)*'5'!E73^(1/12))</f>
        <v>1.5438153001352213</v>
      </c>
      <c r="G73" s="96"/>
      <c r="H73" s="96"/>
      <c r="I73" s="96">
        <f>IF(AND((H73&gt;$C$3), ('2'!AC67&lt;0.11)),(('2'!AJ67^2/'2'!AC67)*'5'!G73)*SQRT(1-('5'!$C$3/H73))*EXP(-'5'!$C$3/H73), 0)</f>
        <v>0</v>
      </c>
      <c r="J73" s="96"/>
      <c r="K73" s="109"/>
      <c r="L73" s="114"/>
      <c r="M73" s="110"/>
      <c r="N73" s="110"/>
      <c r="O73" s="110"/>
      <c r="P73" s="115"/>
    </row>
    <row r="74" spans="1:16" x14ac:dyDescent="0.25">
      <c r="A74" s="147">
        <f t="shared" si="6"/>
        <v>-0.5</v>
      </c>
      <c r="B74" s="110">
        <v>0.5</v>
      </c>
      <c r="C74" s="110">
        <v>30</v>
      </c>
      <c r="D74" s="115">
        <v>50000</v>
      </c>
      <c r="E74" s="96">
        <f>(0.0254/0.001)*(998*'1'!$F$5+1.2*'1'!$W$23)</f>
        <v>19011.899999999998</v>
      </c>
      <c r="F74" s="96">
        <f>1.3753*(998*'1'!$F$5+1.2*'1'!$W$23)/(998*0.0254^(1/3)*'5'!E74^(1/12))</f>
        <v>1.5438153001352213</v>
      </c>
      <c r="G74" s="96"/>
      <c r="H74" s="96"/>
      <c r="I74" s="96">
        <f>IF(AND((H74&gt;$C$3), ('2'!AC68&lt;0.11)),(('2'!AJ68^2/'2'!AC68)*'5'!G74)*SQRT(1-('5'!$C$3/H74))*EXP(-'5'!$C$3/H74), 0)</f>
        <v>0</v>
      </c>
      <c r="J74" s="96"/>
      <c r="K74" s="109"/>
      <c r="L74" s="114"/>
      <c r="M74" s="110"/>
      <c r="N74" s="110"/>
      <c r="O74" s="110"/>
      <c r="P74" s="115"/>
    </row>
    <row r="75" spans="1:16" x14ac:dyDescent="0.25">
      <c r="A75" s="147">
        <f t="shared" si="6"/>
        <v>-0.6</v>
      </c>
      <c r="B75" s="110">
        <v>0.6</v>
      </c>
      <c r="C75" s="110">
        <v>30</v>
      </c>
      <c r="D75" s="115">
        <v>50000</v>
      </c>
      <c r="E75" s="96">
        <f>(0.0254/0.001)*(998*'1'!$F$5+1.2*'1'!$W$23)</f>
        <v>19011.899999999998</v>
      </c>
      <c r="F75" s="96">
        <f>1.3753*(998*'1'!$F$5+1.2*'1'!$W$23)/(998*0.0254^(1/3)*'5'!E75^(1/12))</f>
        <v>1.5438153001352213</v>
      </c>
      <c r="G75" s="96"/>
      <c r="H75" s="96"/>
      <c r="I75" s="96">
        <f>IF(AND((H75&gt;$C$3), ('2'!AC69&lt;0.11)),(('2'!AJ69^2/'2'!AC69)*'5'!G75)*SQRT(1-('5'!$C$3/H75))*EXP(-'5'!$C$3/H75), 0)</f>
        <v>0</v>
      </c>
      <c r="J75" s="96"/>
      <c r="K75" s="109"/>
      <c r="L75" s="114"/>
      <c r="M75" s="110"/>
      <c r="N75" s="110"/>
      <c r="O75" s="110"/>
      <c r="P75" s="115"/>
    </row>
    <row r="76" spans="1:16" x14ac:dyDescent="0.25">
      <c r="A76" s="147">
        <f t="shared" si="6"/>
        <v>-0.7</v>
      </c>
      <c r="B76" s="110">
        <v>0.7</v>
      </c>
      <c r="C76" s="110">
        <v>30</v>
      </c>
      <c r="D76" s="115">
        <v>50000</v>
      </c>
      <c r="E76" s="96">
        <f>(0.0254/0.001)*(998*'1'!$F$5+1.2*'1'!$W$23)</f>
        <v>19011.899999999998</v>
      </c>
      <c r="F76" s="96">
        <f>1.3753*(998*'1'!$F$5+1.2*'1'!$W$23)/(998*0.0254^(1/3)*'5'!E76^(1/12))</f>
        <v>1.5438153001352213</v>
      </c>
      <c r="G76" s="96"/>
      <c r="H76" s="96"/>
      <c r="I76" s="96">
        <f>IF(AND((H76&gt;$C$3), ('2'!AC70&lt;0.11)),(('2'!AJ70^2/'2'!AC70)*'5'!G76)*SQRT(1-('5'!$C$3/H76))*EXP(-'5'!$C$3/H76), 0)</f>
        <v>0</v>
      </c>
      <c r="J76" s="96"/>
      <c r="K76" s="109"/>
      <c r="L76" s="114"/>
      <c r="M76" s="110"/>
      <c r="N76" s="110"/>
      <c r="O76" s="110"/>
      <c r="P76" s="115"/>
    </row>
    <row r="77" spans="1:16" x14ac:dyDescent="0.25">
      <c r="A77" s="147">
        <f t="shared" si="6"/>
        <v>-0.8</v>
      </c>
      <c r="B77" s="110">
        <v>0.8</v>
      </c>
      <c r="C77" s="110">
        <v>30</v>
      </c>
      <c r="D77" s="115">
        <v>50000</v>
      </c>
      <c r="E77" s="96">
        <f>(0.0254/0.001)*(998*'1'!$F$5+1.2*'1'!$W$23)</f>
        <v>19011.899999999998</v>
      </c>
      <c r="F77" s="96">
        <f>1.3753*(998*'1'!$F$5+1.2*'1'!$W$23)/(998*0.0254^(1/3)*'5'!E77^(1/12))</f>
        <v>1.5438153001352213</v>
      </c>
      <c r="G77" s="96"/>
      <c r="H77" s="96"/>
      <c r="I77" s="96">
        <f>IF(AND((H77&gt;$C$3), ('2'!AC71&lt;0.11)),(('2'!AJ71^2/'2'!AC71)*'5'!G77)*SQRT(1-('5'!$C$3/H77))*EXP(-'5'!$C$3/H77), 0)</f>
        <v>0</v>
      </c>
      <c r="J77" s="96"/>
      <c r="K77" s="109"/>
      <c r="L77" s="114"/>
      <c r="M77" s="110"/>
      <c r="N77" s="110"/>
      <c r="O77" s="110"/>
      <c r="P77" s="115"/>
    </row>
    <row r="78" spans="1:16" x14ac:dyDescent="0.25">
      <c r="A78" s="147">
        <f>-B78</f>
        <v>-0.85</v>
      </c>
      <c r="B78" s="110">
        <v>0.85</v>
      </c>
      <c r="C78" s="110">
        <v>30</v>
      </c>
      <c r="D78" s="115">
        <v>50000</v>
      </c>
      <c r="E78" s="96">
        <f>(0.0254/0.001)*(998*'1'!$F$5+1.2*'1'!$W$23)</f>
        <v>19011.899999999998</v>
      </c>
      <c r="F78" s="96">
        <f>1.3753*(998*'1'!$F$5+1.2*'1'!$W$23)/(998*0.0254^(1/3)*'5'!E78^(1/12))</f>
        <v>1.5438153001352213</v>
      </c>
      <c r="G78" s="96"/>
      <c r="H78" s="96"/>
      <c r="I78" s="96" t="e">
        <f>IF(AND((H78&gt;$C$3), ('2'!#REF!&lt;0.11)),(('2'!#REF!^2/'2'!#REF!)*'5'!G78)*SQRT(1-('5'!$C$3/H78))*EXP(-'5'!$C$3/H78), 0)</f>
        <v>#REF!</v>
      </c>
      <c r="J78" s="96"/>
      <c r="K78" s="109"/>
      <c r="L78" s="114"/>
      <c r="M78" s="110"/>
      <c r="N78" s="110"/>
      <c r="O78" s="110"/>
      <c r="P78" s="115"/>
    </row>
    <row r="79" spans="1:16" x14ac:dyDescent="0.25">
      <c r="A79" s="147">
        <f t="shared" ref="A79:A81" si="7">-B79</f>
        <v>-0.9</v>
      </c>
      <c r="B79" s="110">
        <v>0.9</v>
      </c>
      <c r="C79" s="110"/>
      <c r="D79" s="115"/>
      <c r="E79" s="96">
        <f>(0.0254/0.001)*(998*'1'!$F$5+1.2*'1'!$W$23)</f>
        <v>19011.899999999998</v>
      </c>
      <c r="F79" s="96">
        <f>1.3753*(998*'1'!$F$5+1.2*'1'!$W$23)/(998*0.0254^(1/3)*'5'!E79^(1/12))</f>
        <v>1.5438153001352213</v>
      </c>
      <c r="G79" s="96"/>
      <c r="H79" s="96"/>
      <c r="I79" s="96">
        <f>IF(AND((H79&gt;$C$3), ('2'!AC72&lt;0.11)),(('2'!AJ72^2/'2'!AC72)*'5'!G79)*SQRT(1-('5'!$C$3/H79))*EXP(-'5'!$C$3/H79), 0)</f>
        <v>0</v>
      </c>
      <c r="J79" s="96"/>
      <c r="K79" s="109"/>
      <c r="L79" s="114"/>
      <c r="M79" s="110"/>
      <c r="N79" s="110"/>
      <c r="O79" s="110"/>
      <c r="P79" s="115"/>
    </row>
    <row r="80" spans="1:16" x14ac:dyDescent="0.25">
      <c r="A80" s="147">
        <f t="shared" si="7"/>
        <v>-0.95</v>
      </c>
      <c r="B80" s="96">
        <v>0.95</v>
      </c>
      <c r="C80" s="110"/>
      <c r="D80" s="115"/>
      <c r="E80" s="96">
        <f>(0.0254/0.001)*(998*'1'!$F$5+1.2*'1'!$W$23)</f>
        <v>19011.899999999998</v>
      </c>
      <c r="F80" s="96">
        <f>1.3753*(998*'1'!$F$5+1.2*'1'!$W$23)/(998*0.0254^(1/3)*'5'!E80^(1/12))</f>
        <v>1.5438153001352213</v>
      </c>
      <c r="G80" s="96"/>
      <c r="H80" s="96"/>
      <c r="I80" s="96" t="e">
        <f>IF(AND((H80&gt;$C$3), ('2'!#REF!&lt;0.11)),(('2'!#REF!^2/'2'!#REF!)*'5'!G80)*SQRT(1-('5'!$C$3/H80))*EXP(-'5'!$C$3/H80), 0)</f>
        <v>#REF!</v>
      </c>
      <c r="J80" s="96"/>
      <c r="K80" s="109"/>
      <c r="L80" s="114"/>
      <c r="M80" s="110"/>
      <c r="N80" s="110"/>
      <c r="O80" s="110"/>
      <c r="P80" s="115"/>
    </row>
    <row r="81" spans="1:16" ht="15.75" thickBot="1" x14ac:dyDescent="0.3">
      <c r="A81" s="147">
        <f t="shared" si="7"/>
        <v>-1</v>
      </c>
      <c r="B81" s="110">
        <v>1</v>
      </c>
      <c r="C81" s="110"/>
      <c r="D81" s="115"/>
      <c r="E81" s="96">
        <f>(0.0254/0.001)*(998*'1'!$F$5+1.2*'1'!$W$23)</f>
        <v>19011.899999999998</v>
      </c>
      <c r="F81" s="96">
        <f>1.3753*(998*'1'!$F$5+1.2*'1'!$W$23)/(998*0.0254^(1/3)*'5'!E81^(1/12))</f>
        <v>1.5438153001352213</v>
      </c>
      <c r="G81" s="96"/>
      <c r="H81" s="110"/>
      <c r="I81" s="96">
        <f>IF(AND((H81&gt;$C$3), ('2'!AC73&lt;0.11)),(('2'!AJ73^2/'2'!AC73)*'5'!G81)*SQRT(1-('5'!$C$3/H81))*EXP(-'5'!$C$3/H81), 0)</f>
        <v>0</v>
      </c>
      <c r="J81" s="110"/>
      <c r="K81" s="109"/>
      <c r="L81" s="114"/>
      <c r="M81" s="110"/>
      <c r="N81" s="110"/>
      <c r="O81" s="110"/>
      <c r="P81" s="115"/>
    </row>
    <row r="82" spans="1:16" ht="30.75" thickBot="1" x14ac:dyDescent="0.3">
      <c r="A82" s="233" t="s">
        <v>55</v>
      </c>
      <c r="B82" s="234"/>
      <c r="C82" s="235"/>
      <c r="D82" s="39" t="s">
        <v>54</v>
      </c>
      <c r="E82" s="38">
        <f>0.1/3*($B57*E57+4*$B59*E59+2*$B61*E61+4*$B62*E62+2*$B63*E63+4*$B64*E64+2*$B65*E65+4*$B66*E66+2*$B67*E67+4*$B68*E68+2*$B69*E69+4*$B70*E70+1*$B71*E71)+0.2/3*($B71*E71+4*$B73*E73+2*$B75*E75+4*$B77*E77+$B81*E81)</f>
        <v>19011.899999999998</v>
      </c>
      <c r="F82" s="38">
        <f t="shared" ref="F82:K82" si="8">0.1/3*($B57*F57+4*$B59*F59+2*$B61*F61+4*$B62*F62+2*$B63*F63+4*$B64*F64+2*$B65*F65+4*$B66*F66+2*$B67*F67+4*$B68*F68+2*$B69*F69+4*$B70*F70+1*$B71*F71)+0.2/3*($B71*F71+4*$B73*F73+2*$B75*F75+4*$B77*F77+$B81*F81)</f>
        <v>1.5438153001352211</v>
      </c>
      <c r="G82" s="38" t="e">
        <f t="shared" si="8"/>
        <v>#DIV/0!</v>
      </c>
      <c r="H82" s="38" t="e">
        <f t="shared" si="8"/>
        <v>#DIV/0!</v>
      </c>
      <c r="I82" s="38" t="e">
        <f t="shared" si="8"/>
        <v>#DIV/0!</v>
      </c>
      <c r="J82" s="38" t="e">
        <f t="shared" si="8"/>
        <v>#DIV/0!</v>
      </c>
      <c r="K82" s="38">
        <f t="shared" si="8"/>
        <v>0</v>
      </c>
      <c r="L82" s="38"/>
      <c r="M82" s="38"/>
      <c r="N82" s="38"/>
      <c r="O82" s="38"/>
      <c r="P82" s="38"/>
    </row>
    <row r="83" spans="1:16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</row>
    <row r="84" spans="1:16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</row>
    <row r="85" spans="1:16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</row>
    <row r="86" spans="1:16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</row>
    <row r="87" spans="1:16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</row>
    <row r="88" spans="1:16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</row>
    <row r="89" spans="1:16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</row>
    <row r="90" spans="1:16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</row>
    <row r="91" spans="1:16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</row>
    <row r="92" spans="1:16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</row>
    <row r="93" spans="1:16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</row>
    <row r="94" spans="1:16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</row>
    <row r="95" spans="1:16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</row>
    <row r="96" spans="1:16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</row>
    <row r="97" spans="1:16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</row>
    <row r="98" spans="1:16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</row>
    <row r="99" spans="1:16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</row>
    <row r="100" spans="1:16" x14ac:dyDescent="0.25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</row>
    <row r="101" spans="1:16" x14ac:dyDescent="0.25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</row>
    <row r="102" spans="1:16" x14ac:dyDescent="0.25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</row>
    <row r="103" spans="1:16" x14ac:dyDescent="0.25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</row>
    <row r="104" spans="1:16" x14ac:dyDescent="0.2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</row>
    <row r="105" spans="1:16" ht="15.75" thickBot="1" x14ac:dyDescent="0.3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</row>
    <row r="106" spans="1:16" ht="15.75" thickBot="1" x14ac:dyDescent="0.3">
      <c r="A106" s="236" t="s">
        <v>14</v>
      </c>
      <c r="B106" s="236" t="s">
        <v>49</v>
      </c>
      <c r="C106" s="238" t="s">
        <v>10</v>
      </c>
      <c r="D106" s="240" t="s">
        <v>58</v>
      </c>
      <c r="E106" s="230" t="s">
        <v>256</v>
      </c>
      <c r="F106" s="231"/>
      <c r="G106" s="231"/>
      <c r="H106" s="231"/>
      <c r="I106" s="231"/>
      <c r="J106" s="231"/>
      <c r="K106" s="232"/>
      <c r="L106" s="230"/>
      <c r="M106" s="231"/>
      <c r="N106" s="231"/>
      <c r="O106" s="231"/>
      <c r="P106" s="232"/>
    </row>
    <row r="107" spans="1:16" ht="15.75" thickBot="1" x14ac:dyDescent="0.3">
      <c r="A107" s="237"/>
      <c r="B107" s="237"/>
      <c r="C107" s="239"/>
      <c r="D107" s="241"/>
      <c r="E107" s="16" t="s">
        <v>257</v>
      </c>
      <c r="F107" s="17" t="s">
        <v>250</v>
      </c>
      <c r="G107" s="17" t="s">
        <v>258</v>
      </c>
      <c r="H107" s="17" t="s">
        <v>252</v>
      </c>
      <c r="I107" s="18" t="s">
        <v>259</v>
      </c>
      <c r="J107" s="18" t="s">
        <v>260</v>
      </c>
      <c r="K107" s="19" t="s">
        <v>21</v>
      </c>
      <c r="L107" s="20"/>
      <c r="M107" s="18"/>
      <c r="N107" s="18"/>
      <c r="O107" s="18"/>
      <c r="P107" s="19"/>
    </row>
    <row r="108" spans="1:16" x14ac:dyDescent="0.25">
      <c r="A108" s="111">
        <f t="shared" ref="A108:A119" si="9">B108</f>
        <v>1</v>
      </c>
      <c r="B108" s="111">
        <v>1</v>
      </c>
      <c r="C108" s="96"/>
      <c r="D108" s="112"/>
      <c r="E108" s="96">
        <f>(0.0254/0.001)*(998*'1'!$F$5+1.2*'1'!$W$23)</f>
        <v>19011.899999999998</v>
      </c>
      <c r="F108" s="96">
        <f>1.3753*(998*'1'!$F$5+1.2*'1'!$W$23)/(998*0.0254^(1/3)*'5'!E108^(1/12))</f>
        <v>1.5438153001352213</v>
      </c>
      <c r="G108" s="96"/>
      <c r="H108" s="96"/>
      <c r="I108" s="96">
        <f>IF(AND((H108&gt;$C$3), ('2'!AC100&lt;0.11)),(('2'!AJ100^2/'2'!AC100)*'5'!G108)*SQRT(1-('5'!$C$3/H108))*EXP(-'5'!$C$3/H108), 0)</f>
        <v>0</v>
      </c>
      <c r="J108" s="96"/>
      <c r="K108" s="96"/>
      <c r="L108" s="111"/>
      <c r="M108" s="96"/>
      <c r="N108" s="96"/>
      <c r="O108" s="96"/>
      <c r="P108" s="96"/>
    </row>
    <row r="109" spans="1:16" x14ac:dyDescent="0.25">
      <c r="A109" s="111">
        <f t="shared" si="9"/>
        <v>0.93</v>
      </c>
      <c r="B109" s="111">
        <v>0.93</v>
      </c>
      <c r="C109" s="96">
        <v>30</v>
      </c>
      <c r="D109" s="112">
        <v>50000</v>
      </c>
      <c r="E109" s="96">
        <f>(0.0254/0.001)*(998*'1'!$F$5+1.2*'1'!$W$23)</f>
        <v>19011.899999999998</v>
      </c>
      <c r="F109" s="96">
        <f>1.3753*(998*'1'!$F$5+1.2*'1'!$W$23)/(998*0.0254^(1/3)*'5'!E109^(1/12))</f>
        <v>1.5438153001352213</v>
      </c>
      <c r="G109" s="96"/>
      <c r="H109" s="96"/>
      <c r="I109" s="96" t="e">
        <f>IF(AND((H109&gt;$C$3), ('2'!#REF!&lt;0.11)),(('2'!#REF!^2/'2'!#REF!)*'5'!G109)*SQRT(1-('5'!$C$3/H109))*EXP(-'5'!$C$3/H109), 0)</f>
        <v>#REF!</v>
      </c>
      <c r="J109" s="96"/>
      <c r="K109" s="96"/>
      <c r="L109" s="111"/>
      <c r="M109" s="96"/>
      <c r="N109" s="96"/>
      <c r="O109" s="96"/>
      <c r="P109" s="112"/>
    </row>
    <row r="110" spans="1:16" x14ac:dyDescent="0.25">
      <c r="A110" s="111">
        <f t="shared" si="9"/>
        <v>0.9</v>
      </c>
      <c r="B110" s="111">
        <v>0.9</v>
      </c>
      <c r="C110" s="96">
        <v>30</v>
      </c>
      <c r="D110" s="112">
        <v>50000</v>
      </c>
      <c r="E110" s="96">
        <f>(0.0254/0.001)*(998*'1'!$F$5+1.2*'1'!$W$23)</f>
        <v>19011.899999999998</v>
      </c>
      <c r="F110" s="96">
        <f>1.3753*(998*'1'!$F$5+1.2*'1'!$W$23)/(998*0.0254^(1/3)*'5'!E110^(1/12))</f>
        <v>1.5438153001352213</v>
      </c>
      <c r="G110" s="96" t="e">
        <f>F110*(1/(1-'2'!AC101))*('2'!AC101/'2'!AJ101)^(1/3)</f>
        <v>#DIV/0!</v>
      </c>
      <c r="H110" s="96" t="e">
        <f>6*998*F110^2/(0.072*(1-'2'!AC101)^2)*('2'!AC101/'2'!AJ101)^(5/3)</f>
        <v>#DIV/0!</v>
      </c>
      <c r="I110" s="96" t="e">
        <f>IF(AND((H110&gt;$C$3), ('2'!AC101&lt;0.11)),(('2'!AJ101^2/'2'!AC101)*'5'!G110)*SQRT(1-('5'!$C$3/H110))*EXP(-'5'!$C$3/H110), 0)</f>
        <v>#DIV/0!</v>
      </c>
      <c r="J110" s="96" t="e">
        <f>IF(('2'!AC101&lt;0.11),'2'!AJ101^2*'5'!G110/(('5'!$C$4^(1/3)-'2'!AC101^(1/3)))*(1-EXP(-$C$2*($C$4^(1/3)*'2'!AC101^(1/3))/('5'!$C$4^(1/3)-'2'!AC101^(1/3)))), 0)</f>
        <v>#DIV/0!</v>
      </c>
      <c r="K110" s="96"/>
      <c r="L110" s="111"/>
      <c r="M110" s="96"/>
      <c r="N110" s="96"/>
      <c r="O110" s="96"/>
      <c r="P110" s="112"/>
    </row>
    <row r="111" spans="1:16" x14ac:dyDescent="0.25">
      <c r="A111" s="111">
        <f t="shared" si="9"/>
        <v>0.85</v>
      </c>
      <c r="B111" s="111">
        <v>0.85</v>
      </c>
      <c r="C111" s="96">
        <v>30</v>
      </c>
      <c r="D111" s="112">
        <v>50000</v>
      </c>
      <c r="E111" s="96">
        <f>(0.0254/0.001)*(998*'1'!$F$5+1.2*'1'!$W$23)</f>
        <v>19011.899999999998</v>
      </c>
      <c r="F111" s="96">
        <f>1.3753*(998*'1'!$F$5+1.2*'1'!$W$23)/(998*0.0254^(1/3)*'5'!E111^(1/12))</f>
        <v>1.5438153001352213</v>
      </c>
      <c r="G111" s="96"/>
      <c r="H111" s="96"/>
      <c r="I111" s="96" t="e">
        <f>IF(AND((H111&gt;$C$3), ('2'!#REF!&lt;0.11)),(('2'!#REF!^2/'2'!#REF!)*'5'!G111)*SQRT(1-('5'!$C$3/H111))*EXP(-'5'!$C$3/H111), 0)</f>
        <v>#REF!</v>
      </c>
      <c r="J111" s="96" t="e">
        <f>IF(('2'!#REF!&lt;0.11),'2'!#REF!^2*'5'!G111/(('5'!$C$4^(1/3)-'2'!#REF!^(1/3)))*(1-EXP(-$C$2*($C$4^(1/3)*'2'!#REF!^(1/3))/('5'!$C$4^(1/3)-'2'!#REF!^(1/3)))), 0)</f>
        <v>#REF!</v>
      </c>
      <c r="K111" s="96"/>
      <c r="L111" s="111"/>
      <c r="M111" s="96"/>
      <c r="N111" s="96"/>
      <c r="O111" s="96"/>
      <c r="P111" s="112"/>
    </row>
    <row r="112" spans="1:16" x14ac:dyDescent="0.25">
      <c r="A112" s="111">
        <f t="shared" si="9"/>
        <v>0.8</v>
      </c>
      <c r="B112" s="111">
        <v>0.8</v>
      </c>
      <c r="C112" s="96">
        <v>30</v>
      </c>
      <c r="D112" s="112">
        <v>50000</v>
      </c>
      <c r="E112" s="96">
        <f>(0.0254/0.001)*(998*'1'!$F$5+1.2*'1'!$W$23)</f>
        <v>19011.899999999998</v>
      </c>
      <c r="F112" s="96">
        <f>1.3753*(998*'1'!$F$5+1.2*'1'!$W$23)/(998*0.0254^(1/3)*'5'!E112^(1/12))</f>
        <v>1.5438153001352213</v>
      </c>
      <c r="G112" s="96" t="e">
        <f>F112*(1/(1-'2'!AC102))*('2'!AC102/'2'!AJ102)^(1/3)</f>
        <v>#DIV/0!</v>
      </c>
      <c r="H112" s="96" t="e">
        <f>6*998*F112^2/(0.072*(1-'2'!AC102)^2)*('2'!AC102/'2'!AJ102)^(5/3)</f>
        <v>#DIV/0!</v>
      </c>
      <c r="I112" s="96" t="e">
        <f>IF(AND((H112&gt;$C$3), ('2'!AC102&lt;0.11)),(('2'!AJ102^2/'2'!AC102)*'5'!G112)*SQRT(1-('5'!$C$3/H112))*EXP(-'5'!$C$3/H112), 0)</f>
        <v>#DIV/0!</v>
      </c>
      <c r="J112" s="96" t="e">
        <f>IF(('2'!AC102&lt;0.11),'2'!AJ102^2*'5'!G112/(('5'!$C$4^(1/3)-'2'!AC102^(1/3)))*(1-EXP(-$C$2*($C$4^(1/3)*'2'!AC102^(1/3))/('5'!$C$4^(1/3)-'2'!AC102^(1/3)))), 0)</f>
        <v>#DIV/0!</v>
      </c>
      <c r="K112" s="96"/>
      <c r="L112" s="111"/>
      <c r="M112" s="96"/>
      <c r="N112" s="96"/>
      <c r="O112" s="96"/>
      <c r="P112" s="112"/>
    </row>
    <row r="113" spans="1:16" x14ac:dyDescent="0.25">
      <c r="A113" s="111">
        <f t="shared" si="9"/>
        <v>0.7</v>
      </c>
      <c r="B113" s="111">
        <v>0.7</v>
      </c>
      <c r="C113" s="96">
        <v>30</v>
      </c>
      <c r="D113" s="112">
        <v>50000</v>
      </c>
      <c r="E113" s="96">
        <f>(0.0254/0.001)*(998*'1'!$F$5+1.2*'1'!$W$23)</f>
        <v>19011.899999999998</v>
      </c>
      <c r="F113" s="96">
        <f>1.3753*(998*'1'!$F$5+1.2*'1'!$W$23)/(998*0.0254^(1/3)*'5'!E113^(1/12))</f>
        <v>1.5438153001352213</v>
      </c>
      <c r="G113" s="96" t="e">
        <f>F113*(1/(1-'2'!AC103))*('2'!AC103/'2'!AJ103)^(1/3)</f>
        <v>#DIV/0!</v>
      </c>
      <c r="H113" s="96" t="e">
        <f>6*998*F113^2/(0.072*(1-'2'!AC103)^2)*('2'!AC103/'2'!AJ103)^(5/3)</f>
        <v>#DIV/0!</v>
      </c>
      <c r="I113" s="96" t="e">
        <f>IF(AND((H113&gt;$C$3), ('2'!AC103&lt;0.11)),(('2'!AJ103^2/'2'!AC103)*'5'!G113)*SQRT(1-('5'!$C$3/H113))*EXP(-'5'!$C$3/H113), 0)</f>
        <v>#DIV/0!</v>
      </c>
      <c r="J113" s="96" t="e">
        <f>IF(('2'!AC103&lt;0.11),'2'!AJ103^2*'5'!G113/(('5'!$C$4^(1/3)-'2'!AC103^(1/3)))*(1-EXP(-$C$2*($C$4^(1/3)*'2'!AC103^(1/3))/('5'!$C$4^(1/3)-'2'!AC103^(1/3)))), 0)</f>
        <v>#DIV/0!</v>
      </c>
      <c r="K113" s="96"/>
      <c r="L113" s="111"/>
      <c r="M113" s="96"/>
      <c r="N113" s="96"/>
      <c r="O113" s="96"/>
      <c r="P113" s="112"/>
    </row>
    <row r="114" spans="1:16" x14ac:dyDescent="0.25">
      <c r="A114" s="111">
        <f t="shared" si="9"/>
        <v>0.6</v>
      </c>
      <c r="B114" s="111">
        <v>0.6</v>
      </c>
      <c r="C114" s="96">
        <v>30</v>
      </c>
      <c r="D114" s="112">
        <v>50000</v>
      </c>
      <c r="E114" s="96">
        <f>(0.0254/0.001)*(998*'1'!$F$5+1.2*'1'!$W$23)</f>
        <v>19011.899999999998</v>
      </c>
      <c r="F114" s="96">
        <f>1.3753*(998*'1'!$F$5+1.2*'1'!$W$23)/(998*0.0254^(1/3)*'5'!E114^(1/12))</f>
        <v>1.5438153001352213</v>
      </c>
      <c r="G114" s="96" t="e">
        <f>F114*(1/(1-'2'!AC104))*('2'!AC104/'2'!AJ104)^(1/3)</f>
        <v>#DIV/0!</v>
      </c>
      <c r="H114" s="96" t="e">
        <f>6*998*F114^2/(0.072*(1-'2'!AC104)^2)*('2'!AC104/'2'!AJ104)^(5/3)</f>
        <v>#DIV/0!</v>
      </c>
      <c r="I114" s="96" t="e">
        <f>IF(AND((H114&gt;$C$3), ('2'!AC104&lt;0.11)),(('2'!AJ104^2/'2'!AC104)*'5'!G114)*SQRT(1-('5'!$C$3/H114))*EXP(-'5'!$C$3/H114), 0)</f>
        <v>#DIV/0!</v>
      </c>
      <c r="J114" s="96" t="e">
        <f>IF(('2'!AC104&lt;0.11),'2'!AJ104^2*'5'!G114/(('5'!$C$4^(1/3)-'2'!AC104^(1/3)))*(1-EXP(-$C$2*($C$4^(1/3)*'2'!AC104^(1/3))/('5'!$C$4^(1/3)-'2'!AC104^(1/3)))), 0)</f>
        <v>#DIV/0!</v>
      </c>
      <c r="K114" s="96"/>
      <c r="L114" s="111"/>
      <c r="M114" s="96"/>
      <c r="N114" s="96"/>
      <c r="O114" s="96"/>
      <c r="P114" s="112"/>
    </row>
    <row r="115" spans="1:16" x14ac:dyDescent="0.25">
      <c r="A115" s="111">
        <f t="shared" si="9"/>
        <v>0.5</v>
      </c>
      <c r="B115" s="111">
        <v>0.5</v>
      </c>
      <c r="C115" s="96">
        <v>30</v>
      </c>
      <c r="D115" s="112">
        <v>50000</v>
      </c>
      <c r="E115" s="96">
        <f>(0.0254/0.001)*(998*'1'!$F$5+1.2*'1'!$W$23)</f>
        <v>19011.899999999998</v>
      </c>
      <c r="F115" s="96">
        <f>1.3753*(998*'1'!$F$5+1.2*'1'!$W$23)/(998*0.0254^(1/3)*'5'!E115^(1/12))</f>
        <v>1.5438153001352213</v>
      </c>
      <c r="G115" s="96" t="e">
        <f>F115*(1/(1-'2'!AC105))*('2'!AC105/'2'!AJ105)^(1/3)</f>
        <v>#DIV/0!</v>
      </c>
      <c r="H115" s="96" t="e">
        <f>6*998*F115^2/(0.072*(1-'2'!AC105)^2)*('2'!AC105/'2'!AJ105)^(5/3)</f>
        <v>#DIV/0!</v>
      </c>
      <c r="I115" s="96" t="e">
        <f>IF(AND((H115&gt;$C$3), ('2'!AC105&lt;0.11)),(('2'!AJ105^2/'2'!AC105)*'5'!G115)*SQRT(1-('5'!$C$3/H115))*EXP(-'5'!$C$3/H115), 0)</f>
        <v>#DIV/0!</v>
      </c>
      <c r="J115" s="96" t="e">
        <f>IF(('2'!AC105&lt;0.11),'2'!AJ105^2*'5'!G115/(('5'!$C$4^(1/3)-'2'!AC105^(1/3)))*(1-EXP(-$C$2*($C$4^(1/3)*'2'!AC105^(1/3))/('5'!$C$4^(1/3)-'2'!AC105^(1/3)))), 0)</f>
        <v>#DIV/0!</v>
      </c>
      <c r="K115" s="96"/>
      <c r="L115" s="111"/>
      <c r="M115" s="96"/>
      <c r="N115" s="96"/>
      <c r="O115" s="96"/>
      <c r="P115" s="112"/>
    </row>
    <row r="116" spans="1:16" x14ac:dyDescent="0.25">
      <c r="A116" s="111">
        <f t="shared" si="9"/>
        <v>0.4</v>
      </c>
      <c r="B116" s="111">
        <v>0.4</v>
      </c>
      <c r="C116" s="96">
        <v>30</v>
      </c>
      <c r="D116" s="112">
        <v>50000</v>
      </c>
      <c r="E116" s="96">
        <f>(0.0254/0.001)*(998*'1'!$F$5+1.2*'1'!$W$23)</f>
        <v>19011.899999999998</v>
      </c>
      <c r="F116" s="96">
        <f>1.3753*(998*'1'!$F$5+1.2*'1'!$W$23)/(998*0.0254^(1/3)*'5'!E116^(1/12))</f>
        <v>1.5438153001352213</v>
      </c>
      <c r="G116" s="96" t="e">
        <f>F116*(1/(1-'2'!AC106))*('2'!AC106/'2'!AJ106)^(1/3)</f>
        <v>#DIV/0!</v>
      </c>
      <c r="H116" s="96" t="e">
        <f>6*998*F116^2/(0.072*(1-'2'!AC106)^2)*('2'!AC106/'2'!AJ106)^(5/3)</f>
        <v>#DIV/0!</v>
      </c>
      <c r="I116" s="96" t="e">
        <f>IF(AND((H116&gt;$C$3), ('2'!AC106&lt;0.11)),(('2'!AJ106^2/'2'!AC106)*'5'!G116)*SQRT(1-('5'!$C$3/H116))*EXP(-'5'!$C$3/H116), 0)</f>
        <v>#DIV/0!</v>
      </c>
      <c r="J116" s="96" t="e">
        <f>IF(('2'!AC106&lt;0.11),'2'!AJ106^2*'5'!G116/(('5'!$C$4^(1/3)-'2'!AC106^(1/3)))*(1-EXP(-$C$2*($C$4^(1/3)*'2'!AC106^(1/3))/('5'!$C$4^(1/3)-'2'!AC106^(1/3)))), 0)</f>
        <v>#DIV/0!</v>
      </c>
      <c r="K116" s="96"/>
      <c r="L116" s="111"/>
      <c r="M116" s="96"/>
      <c r="N116" s="96"/>
      <c r="O116" s="96"/>
      <c r="P116" s="112"/>
    </row>
    <row r="117" spans="1:16" x14ac:dyDescent="0.25">
      <c r="A117" s="111">
        <f t="shared" si="9"/>
        <v>0.3</v>
      </c>
      <c r="B117" s="111">
        <v>0.3</v>
      </c>
      <c r="C117" s="96">
        <v>30</v>
      </c>
      <c r="D117" s="112">
        <v>50000</v>
      </c>
      <c r="E117" s="96">
        <f>(0.0254/0.001)*(998*'1'!$F$5+1.2*'1'!$W$23)</f>
        <v>19011.899999999998</v>
      </c>
      <c r="F117" s="96">
        <f>1.3753*(998*'1'!$F$5+1.2*'1'!$W$23)/(998*0.0254^(1/3)*'5'!E117^(1/12))</f>
        <v>1.5438153001352213</v>
      </c>
      <c r="G117" s="96" t="e">
        <f>F117*(1/(1-'2'!AC107))*('2'!AC107/'2'!AJ107)^(1/3)</f>
        <v>#DIV/0!</v>
      </c>
      <c r="H117" s="96" t="e">
        <f>6*998*F117^2/(0.072*(1-'2'!AC107)^2)*('2'!AC107/'2'!AJ107)^(5/3)</f>
        <v>#DIV/0!</v>
      </c>
      <c r="I117" s="96" t="e">
        <f>IF(AND((H117&gt;$C$3), ('2'!AC107&lt;0.11)),(('2'!AJ107^2/'2'!AC107)*'5'!G117)*SQRT(1-('5'!$C$3/H117))*EXP(-'5'!$C$3/H117), 0)</f>
        <v>#DIV/0!</v>
      </c>
      <c r="J117" s="96" t="e">
        <f>IF(('2'!AC107&lt;0.11),'2'!AJ107^2*'5'!G117/(('5'!$C$4^(1/3)-'2'!AC107^(1/3)))*(1-EXP(-$C$2*($C$4^(1/3)*'2'!AC107^(1/3))/('5'!$C$4^(1/3)-'2'!AC107^(1/3)))), 0)</f>
        <v>#DIV/0!</v>
      </c>
      <c r="K117" s="96"/>
      <c r="L117" s="111"/>
      <c r="M117" s="96"/>
      <c r="N117" s="96"/>
      <c r="O117" s="96"/>
      <c r="P117" s="112"/>
    </row>
    <row r="118" spans="1:16" x14ac:dyDescent="0.25">
      <c r="A118" s="111">
        <f t="shared" si="9"/>
        <v>0.2</v>
      </c>
      <c r="B118" s="111">
        <v>0.2</v>
      </c>
      <c r="C118" s="96">
        <v>30</v>
      </c>
      <c r="D118" s="112">
        <v>50000</v>
      </c>
      <c r="E118" s="96">
        <f>(0.0254/0.001)*(998*'1'!$F$5+1.2*'1'!$W$23)</f>
        <v>19011.899999999998</v>
      </c>
      <c r="F118" s="96">
        <f>1.3753*(998*'1'!$F$5+1.2*'1'!$W$23)/(998*0.0254^(1/3)*'5'!E118^(1/12))</f>
        <v>1.5438153001352213</v>
      </c>
      <c r="G118" s="96" t="e">
        <f>F118*(1/(1-'2'!AC108))*('2'!AC108/'2'!AJ108)^(1/3)</f>
        <v>#DIV/0!</v>
      </c>
      <c r="H118" s="96" t="e">
        <f>6*998*F118^2/(0.072*(1-'2'!AC108)^2)*('2'!AC108/'2'!AJ108)^(5/3)</f>
        <v>#DIV/0!</v>
      </c>
      <c r="I118" s="96" t="e">
        <f>IF(AND((H118&gt;$C$3), ('2'!AC108&lt;0.11)),(('2'!AJ108^2/'2'!AC108)*'5'!G118)*SQRT(1-('5'!$C$3/H118))*EXP(-'5'!$C$3/H118), 0)</f>
        <v>#DIV/0!</v>
      </c>
      <c r="J118" s="96" t="e">
        <f>IF(('2'!AC108&lt;0.11),'2'!AJ108^2*'5'!G118/(('5'!$C$4^(1/3)-'2'!AC108^(1/3)))*(1-EXP(-$C$2*($C$4^(1/3)*'2'!AC108^(1/3))/('5'!$C$4^(1/3)-'2'!AC108^(1/3)))), 0)</f>
        <v>#DIV/0!</v>
      </c>
      <c r="K118" s="96"/>
      <c r="L118" s="111"/>
      <c r="M118" s="96"/>
      <c r="N118" s="96"/>
      <c r="O118" s="96"/>
      <c r="P118" s="112"/>
    </row>
    <row r="119" spans="1:16" ht="15.75" thickBot="1" x14ac:dyDescent="0.3">
      <c r="A119" s="111">
        <f t="shared" si="9"/>
        <v>0.1</v>
      </c>
      <c r="B119" s="111">
        <v>0.1</v>
      </c>
      <c r="C119" s="96">
        <v>30</v>
      </c>
      <c r="D119" s="112">
        <v>50000</v>
      </c>
      <c r="E119" s="96">
        <f>(0.0254/0.001)*(998*'1'!$F$5+1.2*'1'!$W$23)</f>
        <v>19011.899999999998</v>
      </c>
      <c r="F119" s="96">
        <f>1.3753*(998*'1'!$F$5+1.2*'1'!$W$23)/(998*0.0254^(1/3)*'5'!E119^(1/12))</f>
        <v>1.5438153001352213</v>
      </c>
      <c r="G119" s="96" t="e">
        <f>F119*(1/(1-'2'!AC109))*('2'!AC109/'2'!AJ109)^(1/3)</f>
        <v>#DIV/0!</v>
      </c>
      <c r="H119" s="96" t="e">
        <f>6*998*F119^2/(0.072*(1-'2'!AC109)^2)*('2'!AC109/'2'!AJ109)^(5/3)</f>
        <v>#DIV/0!</v>
      </c>
      <c r="I119" s="96" t="e">
        <f>IF(AND((H119&gt;$C$3), ('2'!AC109&lt;0.11)),(('2'!AJ109^2/'2'!AC109)*'5'!G119)*SQRT(1-('5'!$C$3/H119))*EXP(-'5'!$C$3/H119), 0)</f>
        <v>#DIV/0!</v>
      </c>
      <c r="J119" s="96" t="e">
        <f>IF(('2'!AC109&lt;0.11),'2'!AJ109^2*'5'!G119/(('5'!$C$4^(1/3)-'2'!AC109^(1/3)))*(1-EXP(-$C$2*($C$4^(1/3)*'2'!AC109^(1/3))/('5'!$C$4^(1/3)-'2'!AC109^(1/3)))), 0)</f>
        <v>#DIV/0!</v>
      </c>
      <c r="K119" s="96"/>
      <c r="L119" s="111"/>
      <c r="M119" s="96"/>
      <c r="N119" s="96"/>
      <c r="O119" s="96"/>
      <c r="P119" s="112"/>
    </row>
    <row r="120" spans="1:16" ht="15.75" thickBot="1" x14ac:dyDescent="0.3">
      <c r="A120" s="36">
        <f t="shared" ref="A120:A128" si="10">-B120</f>
        <v>0</v>
      </c>
      <c r="B120" s="117">
        <v>0</v>
      </c>
      <c r="C120" s="118">
        <v>30</v>
      </c>
      <c r="D120" s="144">
        <v>50000</v>
      </c>
      <c r="E120" s="96">
        <f>(0.0254/0.001)*(998*'1'!$F$5+1.2*'1'!$W$23)</f>
        <v>19011.899999999998</v>
      </c>
      <c r="F120" s="96">
        <f>1.3753*(998*'1'!$F$5+1.2*'1'!$W$23)/(998*0.0254^(1/3)*'5'!E120^(1/12))</f>
        <v>1.5438153001352213</v>
      </c>
      <c r="G120" s="96" t="e">
        <f>F120*(1/(1-'2'!AC110))*('2'!AC110/'2'!AJ110)^(1/3)</f>
        <v>#DIV/0!</v>
      </c>
      <c r="H120" s="96" t="e">
        <f>6*998*F120^2/(0.072*(1-'2'!AC110)^2)*('2'!AC110/'2'!AJ110)^(5/3)</f>
        <v>#DIV/0!</v>
      </c>
      <c r="I120" s="96" t="e">
        <f>IF(AND((H120&gt;$C$3), ('2'!AC110&lt;0.11)),(('2'!AJ110^2/'2'!AC110)*'5'!G120)*SQRT(1-('5'!$C$3/H120))*EXP(-'5'!$C$3/H120), 0)</f>
        <v>#DIV/0!</v>
      </c>
      <c r="J120" s="96" t="e">
        <f>IF(('2'!AC110&lt;0.11),'2'!AJ110^2*'5'!G120/(('5'!$C$4^(1/3)-'2'!AC110^(1/3)))*(1-EXP(-$C$2*($C$4^(1/3)*'2'!AC110^(1/3))/('5'!$C$4^(1/3)-'2'!AC110^(1/3)))), 0)</f>
        <v>#DIV/0!</v>
      </c>
      <c r="K120" s="118"/>
      <c r="L120" s="117"/>
      <c r="M120" s="118"/>
      <c r="N120" s="118"/>
      <c r="O120" s="118"/>
      <c r="P120" s="144"/>
    </row>
    <row r="121" spans="1:16" x14ac:dyDescent="0.25">
      <c r="A121" s="147">
        <f t="shared" si="10"/>
        <v>-0.1</v>
      </c>
      <c r="B121" s="110">
        <v>0.1</v>
      </c>
      <c r="C121" s="110">
        <v>30</v>
      </c>
      <c r="D121" s="115">
        <v>50000</v>
      </c>
      <c r="E121" s="96">
        <f>(0.0254/0.001)*(998*'1'!$F$5+1.2*'1'!$W$23)</f>
        <v>19011.899999999998</v>
      </c>
      <c r="F121" s="96">
        <f>1.3753*(998*'1'!$F$5+1.2*'1'!$W$23)/(998*0.0254^(1/3)*'5'!E121^(1/12))</f>
        <v>1.5438153001352213</v>
      </c>
      <c r="G121" s="96" t="e">
        <f>F121*(1/(1-'2'!AC111))*('2'!AC111/'2'!AJ111)^(1/3)</f>
        <v>#DIV/0!</v>
      </c>
      <c r="H121" s="96" t="e">
        <f>6*998*F121^2/(0.072*(1-'2'!AC111)^2)*('2'!AC111/'2'!AJ111)^(5/3)</f>
        <v>#DIV/0!</v>
      </c>
      <c r="I121" s="96" t="e">
        <f>IF(AND((H121&gt;$C$3), ('2'!AC111&lt;0.11)),(('2'!AJ111^2/'2'!AC111)*'5'!G121)*SQRT(1-('5'!$C$3/H121))*EXP(-'5'!$C$3/H121), 0)</f>
        <v>#DIV/0!</v>
      </c>
      <c r="J121" s="96" t="e">
        <f>IF(('2'!AC111&lt;0.11),'2'!AJ111^2*'5'!G121/(('5'!$C$4^(1/3)-'2'!AC111^(1/3)))*(1-EXP(-$C$2*($C$4^(1/3)*'2'!AC111^(1/3))/('5'!$C$4^(1/3)-'2'!AC111^(1/3)))), 0)</f>
        <v>#DIV/0!</v>
      </c>
      <c r="K121" s="109"/>
      <c r="L121" s="114"/>
      <c r="M121" s="110"/>
      <c r="N121" s="110"/>
      <c r="O121" s="110"/>
      <c r="P121" s="115"/>
    </row>
    <row r="122" spans="1:16" x14ac:dyDescent="0.25">
      <c r="A122" s="147">
        <f t="shared" si="10"/>
        <v>-0.2</v>
      </c>
      <c r="B122" s="110">
        <v>0.2</v>
      </c>
      <c r="C122" s="110">
        <v>30</v>
      </c>
      <c r="D122" s="115">
        <v>50000</v>
      </c>
      <c r="E122" s="96">
        <f>(0.0254/0.001)*(998*'1'!$F$5+1.2*'1'!$W$23)</f>
        <v>19011.899999999998</v>
      </c>
      <c r="F122" s="96">
        <f>1.3753*(998*'1'!$F$5+1.2*'1'!$W$23)/(998*0.0254^(1/3)*'5'!E122^(1/12))</f>
        <v>1.5438153001352213</v>
      </c>
      <c r="G122" s="96" t="e">
        <f>F122*(1/(1-'2'!AC112))*('2'!AC112/'2'!AJ112)^(1/3)</f>
        <v>#DIV/0!</v>
      </c>
      <c r="H122" s="96" t="e">
        <f>6*998*F122^2/(0.072*(1-'2'!AC112)^2)*('2'!AC112/'2'!AJ112)^(5/3)</f>
        <v>#DIV/0!</v>
      </c>
      <c r="I122" s="96" t="e">
        <f>IF(AND((H122&gt;$C$3), ('2'!AC112&lt;0.11)),(('2'!AJ112^2/'2'!AC112)*'5'!G122)*SQRT(1-('5'!$C$3/H122))*EXP(-'5'!$C$3/H122), 0)</f>
        <v>#DIV/0!</v>
      </c>
      <c r="J122" s="96" t="e">
        <f>IF(('2'!AC112&lt;0.11),'2'!AJ112^2*'5'!G122/(('5'!$C$4^(1/3)-'2'!AC112^(1/3)))*(1-EXP(-$C$2*($C$4^(1/3)*'2'!AC112^(1/3))/('5'!$C$4^(1/3)-'2'!AC112^(1/3)))), 0)</f>
        <v>#DIV/0!</v>
      </c>
      <c r="K122" s="109"/>
      <c r="L122" s="114"/>
      <c r="M122" s="110"/>
      <c r="N122" s="110"/>
      <c r="O122" s="110"/>
      <c r="P122" s="115"/>
    </row>
    <row r="123" spans="1:16" x14ac:dyDescent="0.25">
      <c r="A123" s="147">
        <f t="shared" si="10"/>
        <v>-0.3</v>
      </c>
      <c r="B123" s="110">
        <v>0.3</v>
      </c>
      <c r="C123" s="110">
        <v>30</v>
      </c>
      <c r="D123" s="115">
        <v>50000</v>
      </c>
      <c r="E123" s="96">
        <f>(0.0254/0.001)*(998*'1'!$F$5+1.2*'1'!$W$23)</f>
        <v>19011.899999999998</v>
      </c>
      <c r="F123" s="96">
        <f>1.3753*(998*'1'!$F$5+1.2*'1'!$W$23)/(998*0.0254^(1/3)*'5'!E123^(1/12))</f>
        <v>1.5438153001352213</v>
      </c>
      <c r="G123" s="96" t="e">
        <f>F123*(1/(1-'2'!AC113))*('2'!AC113/'2'!AJ113)^(1/3)</f>
        <v>#DIV/0!</v>
      </c>
      <c r="H123" s="96" t="e">
        <f>6*998*F123^2/(0.072*(1-'2'!AC113)^2)*('2'!AC113/'2'!AJ113)^(5/3)</f>
        <v>#DIV/0!</v>
      </c>
      <c r="I123" s="96" t="e">
        <f>IF(AND((H123&gt;$C$3), ('2'!AC113&lt;0.11)),(('2'!AJ113^2/'2'!AC113)*'5'!G123)*SQRT(1-('5'!$C$3/H123))*EXP(-'5'!$C$3/H123), 0)</f>
        <v>#DIV/0!</v>
      </c>
      <c r="J123" s="96" t="e">
        <f>IF(('2'!AC113&lt;0.11),'2'!AJ113^2*'5'!G123/(('5'!$C$4^(1/3)-'2'!AC113^(1/3)))*(1-EXP(-$C$2*($C$4^(1/3)*'2'!AC113^(1/3))/('5'!$C$4^(1/3)-'2'!AC113^(1/3)))), 0)</f>
        <v>#DIV/0!</v>
      </c>
      <c r="K123" s="109"/>
      <c r="L123" s="114"/>
      <c r="M123" s="110"/>
      <c r="N123" s="110"/>
      <c r="O123" s="110"/>
      <c r="P123" s="115"/>
    </row>
    <row r="124" spans="1:16" x14ac:dyDescent="0.25">
      <c r="A124" s="147">
        <f t="shared" si="10"/>
        <v>-0.4</v>
      </c>
      <c r="B124" s="110">
        <v>0.4</v>
      </c>
      <c r="C124" s="110">
        <v>30</v>
      </c>
      <c r="D124" s="115">
        <v>50000</v>
      </c>
      <c r="E124" s="96">
        <f>(0.0254/0.001)*(998*'1'!$F$5+1.2*'1'!$W$23)</f>
        <v>19011.899999999998</v>
      </c>
      <c r="F124" s="96">
        <f>1.3753*(998*'1'!$F$5+1.2*'1'!$W$23)/(998*0.0254^(1/3)*'5'!E124^(1/12))</f>
        <v>1.5438153001352213</v>
      </c>
      <c r="G124" s="96" t="e">
        <f>F124*(1/(1-'2'!AC114))*('2'!AC114/'2'!AJ114)^(1/3)</f>
        <v>#DIV/0!</v>
      </c>
      <c r="H124" s="96" t="e">
        <f>6*998*F124^2/(0.072*(1-'2'!AC114)^2)*('2'!AC114/'2'!AJ114)^(5/3)</f>
        <v>#DIV/0!</v>
      </c>
      <c r="I124" s="96" t="e">
        <f>IF(AND((H124&gt;$C$3), ('2'!AC114&lt;0.11)),(('2'!AJ114^2/'2'!AC114)*'5'!G124)*SQRT(1-('5'!$C$3/H124))*EXP(-'5'!$C$3/H124), 0)</f>
        <v>#DIV/0!</v>
      </c>
      <c r="J124" s="96" t="e">
        <f>IF(('2'!AC114&lt;0.11),'2'!AJ114^2*'5'!G124/(('5'!$C$4^(1/3)-'2'!AC114^(1/3)))*(1-EXP(-$C$2*($C$4^(1/3)*'2'!AC114^(1/3))/('5'!$C$4^(1/3)-'2'!AC114^(1/3)))), 0)</f>
        <v>#DIV/0!</v>
      </c>
      <c r="K124" s="109"/>
      <c r="L124" s="114"/>
      <c r="M124" s="110"/>
      <c r="N124" s="110"/>
      <c r="O124" s="110"/>
      <c r="P124" s="115"/>
    </row>
    <row r="125" spans="1:16" x14ac:dyDescent="0.25">
      <c r="A125" s="147">
        <f t="shared" si="10"/>
        <v>-0.5</v>
      </c>
      <c r="B125" s="110">
        <v>0.5</v>
      </c>
      <c r="C125" s="110">
        <v>30</v>
      </c>
      <c r="D125" s="115">
        <v>50000</v>
      </c>
      <c r="E125" s="96">
        <f>(0.0254/0.001)*(998*'1'!$F$5+1.2*'1'!$W$23)</f>
        <v>19011.899999999998</v>
      </c>
      <c r="F125" s="96">
        <f>1.3753*(998*'1'!$F$5+1.2*'1'!$W$23)/(998*0.0254^(1/3)*'5'!E125^(1/12))</f>
        <v>1.5438153001352213</v>
      </c>
      <c r="G125" s="96"/>
      <c r="H125" s="96"/>
      <c r="I125" s="96">
        <f>IF(AND((H125&gt;$C$3), ('2'!AC115&lt;0.11)),(('2'!AJ115^2/'2'!AC115)*'5'!G125)*SQRT(1-('5'!$C$3/H125))*EXP(-'5'!$C$3/H125), 0)</f>
        <v>0</v>
      </c>
      <c r="J125" s="96"/>
      <c r="K125" s="109"/>
      <c r="L125" s="114"/>
      <c r="M125" s="110"/>
      <c r="N125" s="110"/>
      <c r="O125" s="110"/>
      <c r="P125" s="115"/>
    </row>
    <row r="126" spans="1:16" x14ac:dyDescent="0.25">
      <c r="A126" s="147">
        <f t="shared" si="10"/>
        <v>-0.6</v>
      </c>
      <c r="B126" s="110">
        <v>0.6</v>
      </c>
      <c r="C126" s="110">
        <v>30</v>
      </c>
      <c r="D126" s="115">
        <v>50000</v>
      </c>
      <c r="E126" s="96">
        <f>(0.0254/0.001)*(998*'1'!$F$5+1.2*'1'!$W$23)</f>
        <v>19011.899999999998</v>
      </c>
      <c r="F126" s="96">
        <f>1.3753*(998*'1'!$F$5+1.2*'1'!$W$23)/(998*0.0254^(1/3)*'5'!E126^(1/12))</f>
        <v>1.5438153001352213</v>
      </c>
      <c r="G126" s="96"/>
      <c r="H126" s="96"/>
      <c r="I126" s="96">
        <f>IF(AND((H126&gt;$C$3), ('2'!AC116&lt;0.11)),(('2'!AJ116^2/'2'!AC116)*'5'!G126)*SQRT(1-('5'!$C$3/H126))*EXP(-'5'!$C$3/H126), 0)</f>
        <v>0</v>
      </c>
      <c r="J126" s="96"/>
      <c r="K126" s="109"/>
      <c r="L126" s="114"/>
      <c r="M126" s="110"/>
      <c r="N126" s="110"/>
      <c r="O126" s="110"/>
      <c r="P126" s="115"/>
    </row>
    <row r="127" spans="1:16" x14ac:dyDescent="0.25">
      <c r="A127" s="147">
        <f t="shared" si="10"/>
        <v>-0.7</v>
      </c>
      <c r="B127" s="110">
        <v>0.7</v>
      </c>
      <c r="C127" s="110">
        <v>30</v>
      </c>
      <c r="D127" s="115">
        <v>50000</v>
      </c>
      <c r="E127" s="96">
        <f>(0.0254/0.001)*(998*'1'!$F$5+1.2*'1'!$W$23)</f>
        <v>19011.899999999998</v>
      </c>
      <c r="F127" s="96">
        <f>1.3753*(998*'1'!$F$5+1.2*'1'!$W$23)/(998*0.0254^(1/3)*'5'!E127^(1/12))</f>
        <v>1.5438153001352213</v>
      </c>
      <c r="G127" s="96"/>
      <c r="H127" s="96"/>
      <c r="I127" s="96">
        <f>IF(AND((H127&gt;$C$3), ('2'!AC117&lt;0.11)),(('2'!AJ117^2/'2'!AC117)*'5'!G127)*SQRT(1-('5'!$C$3/H127))*EXP(-'5'!$C$3/H127), 0)</f>
        <v>0</v>
      </c>
      <c r="J127" s="96"/>
      <c r="K127" s="109"/>
      <c r="L127" s="114"/>
      <c r="M127" s="110"/>
      <c r="N127" s="110"/>
      <c r="O127" s="110"/>
      <c r="P127" s="115"/>
    </row>
    <row r="128" spans="1:16" x14ac:dyDescent="0.25">
      <c r="A128" s="147">
        <f t="shared" si="10"/>
        <v>-0.8</v>
      </c>
      <c r="B128" s="110">
        <v>0.8</v>
      </c>
      <c r="C128" s="110">
        <v>30</v>
      </c>
      <c r="D128" s="115">
        <v>50000</v>
      </c>
      <c r="E128" s="96">
        <f>(0.0254/0.001)*(998*'1'!$F$5+1.2*'1'!$W$23)</f>
        <v>19011.899999999998</v>
      </c>
      <c r="F128" s="96">
        <f>1.3753*(998*'1'!$F$5+1.2*'1'!$W$23)/(998*0.0254^(1/3)*'5'!E128^(1/12))</f>
        <v>1.5438153001352213</v>
      </c>
      <c r="G128" s="96"/>
      <c r="H128" s="96"/>
      <c r="I128" s="96">
        <f>IF(AND((H128&gt;$C$3), ('2'!AC118&lt;0.11)),(('2'!AJ118^2/'2'!AC118)*'5'!G128)*SQRT(1-('5'!$C$3/H128))*EXP(-'5'!$C$3/H128), 0)</f>
        <v>0</v>
      </c>
      <c r="J128" s="96"/>
      <c r="K128" s="109"/>
      <c r="L128" s="114"/>
      <c r="M128" s="110"/>
      <c r="N128" s="110"/>
      <c r="O128" s="110"/>
      <c r="P128" s="115"/>
    </row>
    <row r="129" spans="1:16" x14ac:dyDescent="0.25">
      <c r="A129" s="147">
        <f>-B129</f>
        <v>-0.85</v>
      </c>
      <c r="B129" s="110">
        <v>0.85</v>
      </c>
      <c r="C129" s="110">
        <v>30</v>
      </c>
      <c r="D129" s="115">
        <v>50000</v>
      </c>
      <c r="E129" s="96">
        <f>(0.0254/0.001)*(998*'1'!$F$5+1.2*'1'!$W$23)</f>
        <v>19011.899999999998</v>
      </c>
      <c r="F129" s="96">
        <f>1.3753*(998*'1'!$F$5+1.2*'1'!$W$23)/(998*0.0254^(1/3)*'5'!E129^(1/12))</f>
        <v>1.5438153001352213</v>
      </c>
      <c r="G129" s="96"/>
      <c r="H129" s="96"/>
      <c r="I129" s="96" t="e">
        <f>IF(AND((H129&gt;$C$3), ('2'!#REF!&lt;0.11)),(('2'!#REF!^2/'2'!#REF!)*'5'!G129)*SQRT(1-('5'!$C$3/H129))*EXP(-'5'!$C$3/H129), 0)</f>
        <v>#REF!</v>
      </c>
      <c r="J129" s="96"/>
      <c r="K129" s="109"/>
      <c r="L129" s="114"/>
      <c r="M129" s="110"/>
      <c r="N129" s="110"/>
      <c r="O129" s="110"/>
      <c r="P129" s="115"/>
    </row>
    <row r="130" spans="1:16" x14ac:dyDescent="0.25">
      <c r="A130" s="147">
        <f t="shared" ref="A130:A132" si="11">-B130</f>
        <v>-0.9</v>
      </c>
      <c r="B130" s="110">
        <v>0.9</v>
      </c>
      <c r="C130" s="110">
        <v>30</v>
      </c>
      <c r="D130" s="115">
        <v>50000</v>
      </c>
      <c r="E130" s="96">
        <f>(0.0254/0.001)*(998*'1'!$F$5+1.2*'1'!$W$23)</f>
        <v>19011.899999999998</v>
      </c>
      <c r="F130" s="96">
        <f>1.3753*(998*'1'!$F$5+1.2*'1'!$W$23)/(998*0.0254^(1/3)*'5'!E130^(1/12))</f>
        <v>1.5438153001352213</v>
      </c>
      <c r="G130" s="96"/>
      <c r="H130" s="96"/>
      <c r="I130" s="96">
        <f>IF(AND((H130&gt;$C$3), ('2'!AC119&lt;0.11)),(('2'!AJ119^2/'2'!AC119)*'5'!G130)*SQRT(1-('5'!$C$3/H130))*EXP(-'5'!$C$3/H130), 0)</f>
        <v>0</v>
      </c>
      <c r="J130" s="96"/>
      <c r="K130" s="109"/>
      <c r="L130" s="114"/>
      <c r="M130" s="110"/>
      <c r="N130" s="110"/>
      <c r="O130" s="110"/>
      <c r="P130" s="115"/>
    </row>
    <row r="131" spans="1:16" x14ac:dyDescent="0.25">
      <c r="A131" s="147">
        <f t="shared" si="11"/>
        <v>-0.95</v>
      </c>
      <c r="B131" s="96">
        <v>0.95</v>
      </c>
      <c r="C131" s="110">
        <v>30</v>
      </c>
      <c r="D131" s="115">
        <v>50000</v>
      </c>
      <c r="E131" s="96">
        <f>(0.0254/0.001)*(998*'1'!$F$5+1.2*'1'!$W$23)</f>
        <v>19011.899999999998</v>
      </c>
      <c r="F131" s="96">
        <f>1.3753*(998*'1'!$F$5+1.2*'1'!$W$23)/(998*0.0254^(1/3)*'5'!E131^(1/12))</f>
        <v>1.5438153001352213</v>
      </c>
      <c r="G131" s="96"/>
      <c r="H131" s="96"/>
      <c r="I131" s="96" t="e">
        <f>IF(AND((H131&gt;$C$3), ('2'!#REF!&lt;0.11)),(('2'!#REF!^2/'2'!#REF!)*'5'!G131)*SQRT(1-('5'!$C$3/H131))*EXP(-'5'!$C$3/H131), 0)</f>
        <v>#REF!</v>
      </c>
      <c r="J131" s="96"/>
      <c r="K131" s="109"/>
      <c r="L131" s="114"/>
      <c r="M131" s="110"/>
      <c r="N131" s="110"/>
      <c r="O131" s="110"/>
      <c r="P131" s="115"/>
    </row>
    <row r="132" spans="1:16" ht="15.75" thickBot="1" x14ac:dyDescent="0.3">
      <c r="A132" s="147">
        <f t="shared" si="11"/>
        <v>-1</v>
      </c>
      <c r="B132" s="110">
        <v>1</v>
      </c>
      <c r="C132" s="110"/>
      <c r="D132" s="115"/>
      <c r="E132" s="96">
        <f>(0.0254/0.001)*(998*'1'!$F$5+1.2*'1'!$W$23)</f>
        <v>19011.899999999998</v>
      </c>
      <c r="F132" s="96">
        <f>1.3753*(998*'1'!$F$5+1.2*'1'!$W$23)/(998*0.0254^(1/3)*'5'!E132^(1/12))</f>
        <v>1.5438153001352213</v>
      </c>
      <c r="G132" s="96"/>
      <c r="H132" s="96"/>
      <c r="I132" s="96">
        <f>IF(AND((H132&gt;$C$3), ('2'!AC120&lt;0.11)),(('2'!AJ120^2/'2'!AC120)*'5'!G132)*SQRT(1-('5'!$C$3/H132))*EXP(-'5'!$C$3/H132), 0)</f>
        <v>0</v>
      </c>
      <c r="J132" s="96"/>
      <c r="K132" s="109"/>
      <c r="L132" s="114"/>
      <c r="M132" s="110"/>
      <c r="N132" s="110"/>
      <c r="O132" s="110"/>
      <c r="P132" s="115"/>
    </row>
    <row r="133" spans="1:16" ht="30.75" thickBot="1" x14ac:dyDescent="0.3">
      <c r="A133" s="233" t="s">
        <v>55</v>
      </c>
      <c r="B133" s="234"/>
      <c r="C133" s="235"/>
      <c r="D133" s="39" t="s">
        <v>54</v>
      </c>
      <c r="E133" s="38">
        <f>0.1/3*($B108*E108+4*$B110*E110+2*$B112*E112+4*$B113*E113+2*$B114*E114+4*$B115*E115+2*$B116*E116+4*$B117*E117+2*$B118*E118+4*$B119*E119+2*$B120*E120+4*$B121*E121+1*$B122*E122)+0.2/3*($B122*E122+4*$B124*E124+2*$B126*E126+4*$B128*E128+$B132*E132)</f>
        <v>19011.899999999998</v>
      </c>
      <c r="F133" s="38">
        <f t="shared" ref="F133:K133" si="12">0.1/3*($B108*F108+4*$B110*F110+2*$B112*F112+4*$B113*F113+2*$B114*F114+4*$B115*F115+2*$B116*F116+4*$B117*F117+2*$B118*F118+4*$B119*F119+2*$B120*F120+4*$B121*F121+1*$B122*F122)+0.2/3*($B122*F122+4*$B124*F124+2*$B126*F126+4*$B128*F128+$B132*F132)</f>
        <v>1.5438153001352211</v>
      </c>
      <c r="G133" s="38" t="e">
        <f t="shared" si="12"/>
        <v>#DIV/0!</v>
      </c>
      <c r="H133" s="38" t="e">
        <f t="shared" si="12"/>
        <v>#DIV/0!</v>
      </c>
      <c r="I133" s="38" t="e">
        <f t="shared" si="12"/>
        <v>#DIV/0!</v>
      </c>
      <c r="J133" s="38" t="e">
        <f t="shared" si="12"/>
        <v>#DIV/0!</v>
      </c>
      <c r="K133" s="38">
        <f t="shared" si="12"/>
        <v>0</v>
      </c>
      <c r="L133" s="38"/>
      <c r="M133" s="38"/>
      <c r="N133" s="38"/>
      <c r="O133" s="38"/>
      <c r="P133" s="38"/>
    </row>
    <row r="134" spans="1:16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</row>
    <row r="135" spans="1:16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</row>
    <row r="136" spans="1:16" x14ac:dyDescent="0.25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</row>
    <row r="137" spans="1:16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</row>
    <row r="138" spans="1:16" x14ac:dyDescent="0.25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</row>
    <row r="139" spans="1:16" x14ac:dyDescent="0.25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</row>
    <row r="140" spans="1:16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</row>
    <row r="141" spans="1:16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</row>
    <row r="142" spans="1:16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</row>
    <row r="143" spans="1:16" x14ac:dyDescent="0.25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</row>
    <row r="144" spans="1:16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</row>
    <row r="145" spans="1:16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</row>
    <row r="146" spans="1:16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</row>
    <row r="147" spans="1:16" x14ac:dyDescent="0.25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</row>
    <row r="148" spans="1:16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</row>
    <row r="149" spans="1:16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</row>
    <row r="150" spans="1:16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</row>
    <row r="151" spans="1:16" x14ac:dyDescent="0.25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</row>
    <row r="152" spans="1:16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</row>
    <row r="153" spans="1:16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</row>
    <row r="154" spans="1:16" ht="15.75" thickBot="1" x14ac:dyDescent="0.3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</row>
    <row r="155" spans="1:16" ht="15.75" thickBot="1" x14ac:dyDescent="0.3">
      <c r="A155" s="236" t="s">
        <v>14</v>
      </c>
      <c r="B155" s="236" t="s">
        <v>49</v>
      </c>
      <c r="C155" s="238" t="s">
        <v>10</v>
      </c>
      <c r="D155" s="240" t="s">
        <v>58</v>
      </c>
      <c r="E155" s="230" t="s">
        <v>256</v>
      </c>
      <c r="F155" s="231"/>
      <c r="G155" s="231"/>
      <c r="H155" s="231"/>
      <c r="I155" s="231"/>
      <c r="J155" s="231"/>
      <c r="K155" s="232"/>
      <c r="L155" s="230"/>
      <c r="M155" s="231"/>
      <c r="N155" s="231"/>
      <c r="O155" s="231"/>
      <c r="P155" s="232"/>
    </row>
    <row r="156" spans="1:16" ht="15.75" thickBot="1" x14ac:dyDescent="0.3">
      <c r="A156" s="237"/>
      <c r="B156" s="237"/>
      <c r="C156" s="239"/>
      <c r="D156" s="241"/>
      <c r="E156" s="16" t="s">
        <v>257</v>
      </c>
      <c r="F156" s="17" t="s">
        <v>250</v>
      </c>
      <c r="G156" s="17" t="s">
        <v>258</v>
      </c>
      <c r="H156" s="17" t="s">
        <v>252</v>
      </c>
      <c r="I156" s="18" t="s">
        <v>259</v>
      </c>
      <c r="J156" s="18" t="s">
        <v>260</v>
      </c>
      <c r="K156" s="19" t="s">
        <v>21</v>
      </c>
      <c r="L156" s="20"/>
      <c r="M156" s="18"/>
      <c r="N156" s="18"/>
      <c r="O156" s="18"/>
      <c r="P156" s="19"/>
    </row>
    <row r="157" spans="1:16" x14ac:dyDescent="0.25">
      <c r="A157" s="111">
        <f t="shared" ref="A157:A168" si="13">B157</f>
        <v>1</v>
      </c>
      <c r="B157" s="111">
        <v>1</v>
      </c>
      <c r="C157" s="96"/>
      <c r="D157" s="112"/>
      <c r="E157" s="96">
        <f>(0.0254/0.001)*(998*'1'!$F$5+1.2*'1'!$W$23)</f>
        <v>19011.899999999998</v>
      </c>
      <c r="F157" s="96">
        <f>1.3753*(998*'1'!$F$5+1.2*'1'!$W$23)/(998*0.0254^(1/3)*'5'!E157^(1/12))</f>
        <v>1.5438153001352213</v>
      </c>
      <c r="G157" s="96"/>
      <c r="H157" s="96"/>
      <c r="I157" s="96">
        <f>IF(AND((H157&gt;$C$3), ('2'!AC145&lt;0.11)),(('2'!AJ145^2/'2'!AC145)*'5'!G157)*SQRT(1-('5'!$C$3/H157))*EXP(-'5'!$C$3/H157), 0)</f>
        <v>0</v>
      </c>
      <c r="J157" s="96"/>
      <c r="K157" s="96"/>
      <c r="L157" s="111"/>
      <c r="M157" s="96"/>
      <c r="N157" s="96"/>
      <c r="O157" s="96"/>
      <c r="P157" s="96"/>
    </row>
    <row r="158" spans="1:16" x14ac:dyDescent="0.25">
      <c r="A158" s="111">
        <f t="shared" si="13"/>
        <v>0.95</v>
      </c>
      <c r="B158" s="111">
        <v>0.95</v>
      </c>
      <c r="C158" s="96">
        <v>30</v>
      </c>
      <c r="D158" s="112">
        <v>50000</v>
      </c>
      <c r="E158" s="96">
        <f>(0.0254/0.001)*(998*'1'!$F$5+1.2*'1'!$W$23)</f>
        <v>19011.899999999998</v>
      </c>
      <c r="F158" s="96">
        <f>1.3753*(998*'1'!$F$5+1.2*'1'!$W$23)/(998*0.0254^(1/3)*'5'!E158^(1/12))</f>
        <v>1.5438153001352213</v>
      </c>
      <c r="G158" s="96"/>
      <c r="H158" s="96"/>
      <c r="I158" s="96" t="e">
        <f>IF(AND((H158&gt;$C$3), ('2'!#REF!&lt;0.11)),(('2'!#REF!^2/'2'!#REF!)*'5'!G158)*SQRT(1-('5'!$C$3/H158))*EXP(-'5'!$C$3/H158), 0)</f>
        <v>#REF!</v>
      </c>
      <c r="J158" s="96"/>
      <c r="K158" s="96"/>
      <c r="L158" s="111"/>
      <c r="M158" s="96"/>
      <c r="N158" s="96"/>
      <c r="O158" s="96"/>
      <c r="P158" s="112"/>
    </row>
    <row r="159" spans="1:16" x14ac:dyDescent="0.25">
      <c r="A159" s="111">
        <f t="shared" si="13"/>
        <v>0.9</v>
      </c>
      <c r="B159" s="111">
        <v>0.9</v>
      </c>
      <c r="C159" s="96">
        <v>30</v>
      </c>
      <c r="D159" s="112">
        <v>50000</v>
      </c>
      <c r="E159" s="96">
        <f>(0.0254/0.001)*(998*'1'!$F$5+1.2*'1'!$W$23)</f>
        <v>19011.899999999998</v>
      </c>
      <c r="F159" s="96">
        <f>1.3753*(998*'1'!$F$5+1.2*'1'!$W$23)/(998*0.0254^(1/3)*'5'!E159^(1/12))</f>
        <v>1.5438153001352213</v>
      </c>
      <c r="G159" s="96" t="e">
        <f>F159*(1/(1-'2'!AC146))*('2'!AC146/'2'!AJ146)^(1/3)</f>
        <v>#DIV/0!</v>
      </c>
      <c r="H159" s="96" t="e">
        <f>6*998*F159^2/(0.072*(1-'2'!AC146)^2)*('2'!AC146/'2'!AJ146)^(5/3)</f>
        <v>#DIV/0!</v>
      </c>
      <c r="I159" s="96" t="e">
        <f>IF(AND((H159&gt;$C$3), ('2'!AC146&lt;0.11)),(('2'!AJ146^2/'2'!AC146)*'5'!G159)*SQRT(1-('5'!$C$3/H159))*EXP(-'5'!$C$3/H159), 0)</f>
        <v>#DIV/0!</v>
      </c>
      <c r="J159" s="96" t="e">
        <f>IF(('2'!AC146&lt;0.11),'2'!AJ146^2*'5'!G159/(('5'!$C$4^(1/3)-'2'!AC146^(1/3)))*(1-EXP(-$C$2*($C$4^(1/3)*'2'!AC146^(1/3))/('5'!$C$4^(1/3)-'2'!AC146^(1/3)))), 0)</f>
        <v>#DIV/0!</v>
      </c>
      <c r="K159" s="96"/>
      <c r="L159" s="111"/>
      <c r="M159" s="96"/>
      <c r="N159" s="96"/>
      <c r="O159" s="96"/>
      <c r="P159" s="112"/>
    </row>
    <row r="160" spans="1:16" x14ac:dyDescent="0.25">
      <c r="A160" s="111">
        <f t="shared" si="13"/>
        <v>0.85</v>
      </c>
      <c r="B160" s="111">
        <v>0.85</v>
      </c>
      <c r="C160" s="96">
        <v>30</v>
      </c>
      <c r="D160" s="112">
        <v>50000</v>
      </c>
      <c r="E160" s="96">
        <f>(0.0254/0.001)*(998*'1'!$F$5+1.2*'1'!$W$23)</f>
        <v>19011.899999999998</v>
      </c>
      <c r="F160" s="96">
        <f>1.3753*(998*'1'!$F$5+1.2*'1'!$W$23)/(998*0.0254^(1/3)*'5'!E160^(1/12))</f>
        <v>1.5438153001352213</v>
      </c>
      <c r="G160" s="96"/>
      <c r="H160" s="96"/>
      <c r="I160" s="96" t="e">
        <f>IF(AND((H160&gt;$C$3), ('2'!#REF!&lt;0.11)),(('2'!#REF!^2/'2'!#REF!)*'5'!G160)*SQRT(1-('5'!$C$3/H160))*EXP(-'5'!$C$3/H160), 0)</f>
        <v>#REF!</v>
      </c>
      <c r="J160" s="96" t="e">
        <f>IF(('2'!#REF!&lt;0.11),'2'!#REF!^2*'5'!G160/(('5'!$C$4^(1/3)-'2'!#REF!^(1/3)))*(1-EXP(-$C$2*($C$4^(1/3)*'2'!#REF!^(1/3))/('5'!$C$4^(1/3)-'2'!#REF!^(1/3)))), 0)</f>
        <v>#REF!</v>
      </c>
      <c r="K160" s="96"/>
      <c r="L160" s="111"/>
      <c r="M160" s="96"/>
      <c r="N160" s="96"/>
      <c r="O160" s="96"/>
      <c r="P160" s="112"/>
    </row>
    <row r="161" spans="1:16" x14ac:dyDescent="0.25">
      <c r="A161" s="111">
        <f t="shared" si="13"/>
        <v>0.8</v>
      </c>
      <c r="B161" s="111">
        <v>0.8</v>
      </c>
      <c r="C161" s="96">
        <v>30</v>
      </c>
      <c r="D161" s="112">
        <v>50000</v>
      </c>
      <c r="E161" s="96">
        <f>(0.0254/0.001)*(998*'1'!$F$5+1.2*'1'!$W$23)</f>
        <v>19011.899999999998</v>
      </c>
      <c r="F161" s="96">
        <f>1.3753*(998*'1'!$F$5+1.2*'1'!$W$23)/(998*0.0254^(1/3)*'5'!E161^(1/12))</f>
        <v>1.5438153001352213</v>
      </c>
      <c r="G161" s="96" t="e">
        <f>F161*(1/(1-'2'!AC147))*('2'!AC147/'2'!AJ147)^(1/3)</f>
        <v>#DIV/0!</v>
      </c>
      <c r="H161" s="96" t="e">
        <f>6*998*F161^2/(0.072*(1-'2'!AC147)^2)*('2'!AC147/'2'!AJ147)^(5/3)</f>
        <v>#DIV/0!</v>
      </c>
      <c r="I161" s="96" t="e">
        <f>IF(AND((H161&gt;$C$3), ('2'!AC147&lt;0.11)),(('2'!AJ147^2/'2'!AC147)*'5'!G161)*SQRT(1-('5'!$C$3/H161))*EXP(-'5'!$C$3/H161), 0)</f>
        <v>#DIV/0!</v>
      </c>
      <c r="J161" s="96" t="e">
        <f>IF(('2'!AC147&lt;0.11),'2'!AJ147^2*'5'!G161/(('5'!$C$4^(1/3)-'2'!AC147^(1/3)))*(1-EXP(-$C$2*($C$4^(1/3)*'2'!AC147^(1/3))/('5'!$C$4^(1/3)-'2'!AC147^(1/3)))), 0)</f>
        <v>#DIV/0!</v>
      </c>
      <c r="K161" s="96"/>
      <c r="L161" s="111"/>
      <c r="M161" s="96"/>
      <c r="N161" s="96"/>
      <c r="O161" s="96"/>
      <c r="P161" s="112"/>
    </row>
    <row r="162" spans="1:16" x14ac:dyDescent="0.25">
      <c r="A162" s="111">
        <f t="shared" si="13"/>
        <v>0.7</v>
      </c>
      <c r="B162" s="111">
        <v>0.7</v>
      </c>
      <c r="C162" s="96">
        <v>30</v>
      </c>
      <c r="D162" s="112">
        <v>50000</v>
      </c>
      <c r="E162" s="96">
        <f>(0.0254/0.001)*(998*'1'!$F$5+1.2*'1'!$W$23)</f>
        <v>19011.899999999998</v>
      </c>
      <c r="F162" s="96">
        <f>1.3753*(998*'1'!$F$5+1.2*'1'!$W$23)/(998*0.0254^(1/3)*'5'!E162^(1/12))</f>
        <v>1.5438153001352213</v>
      </c>
      <c r="G162" s="96" t="e">
        <f>F162*(1/(1-'2'!AC148))*('2'!AC148/'2'!AJ148)^(1/3)</f>
        <v>#DIV/0!</v>
      </c>
      <c r="H162" s="96" t="e">
        <f>6*998*F162^2/(0.072*(1-'2'!AC148)^2)*('2'!AC148/'2'!AJ148)^(5/3)</f>
        <v>#DIV/0!</v>
      </c>
      <c r="I162" s="96" t="e">
        <f>IF(AND((H162&gt;$C$3), ('2'!AC148&lt;0.11)),(('2'!AJ148^2/'2'!AC148)*'5'!G162)*SQRT(1-('5'!$C$3/H162))*EXP(-'5'!$C$3/H162), 0)</f>
        <v>#DIV/0!</v>
      </c>
      <c r="J162" s="96" t="e">
        <f>IF(('2'!AC148&lt;0.11),'2'!AJ148^2*'5'!G162/(('5'!$C$4^(1/3)-'2'!AC148^(1/3)))*(1-EXP(-$C$2*($C$4^(1/3)*'2'!AC148^(1/3))/('5'!$C$4^(1/3)-'2'!AC148^(1/3)))), 0)</f>
        <v>#DIV/0!</v>
      </c>
      <c r="K162" s="96"/>
      <c r="L162" s="111"/>
      <c r="M162" s="96"/>
      <c r="N162" s="96"/>
      <c r="O162" s="96"/>
      <c r="P162" s="112"/>
    </row>
    <row r="163" spans="1:16" x14ac:dyDescent="0.25">
      <c r="A163" s="111">
        <f t="shared" si="13"/>
        <v>0.6</v>
      </c>
      <c r="B163" s="111">
        <v>0.6</v>
      </c>
      <c r="C163" s="96">
        <v>30</v>
      </c>
      <c r="D163" s="112">
        <v>50000</v>
      </c>
      <c r="E163" s="96">
        <f>(0.0254/0.001)*(998*'1'!$F$5+1.2*'1'!$W$23)</f>
        <v>19011.899999999998</v>
      </c>
      <c r="F163" s="96">
        <f>1.3753*(998*'1'!$F$5+1.2*'1'!$W$23)/(998*0.0254^(1/3)*'5'!E163^(1/12))</f>
        <v>1.5438153001352213</v>
      </c>
      <c r="G163" s="96" t="e">
        <f>F163*(1/(1-'2'!AC149))*('2'!AC149/'2'!AJ149)^(1/3)</f>
        <v>#DIV/0!</v>
      </c>
      <c r="H163" s="96" t="e">
        <f>6*998*F163^2/(0.072*(1-'2'!AC149)^2)*('2'!AC149/'2'!AJ149)^(5/3)</f>
        <v>#DIV/0!</v>
      </c>
      <c r="I163" s="96" t="e">
        <f>IF(AND((H163&gt;$C$3), ('2'!AC149&lt;0.11)),(('2'!AJ149^2/'2'!AC149)*'5'!G163)*SQRT(1-('5'!$C$3/H163))*EXP(-'5'!$C$3/H163), 0)</f>
        <v>#DIV/0!</v>
      </c>
      <c r="J163" s="96" t="e">
        <f>IF(('2'!AC149&lt;0.11),'2'!AJ149^2*'5'!G163/(('5'!$C$4^(1/3)-'2'!AC149^(1/3)))*(1-EXP(-$C$2*($C$4^(1/3)*'2'!AC149^(1/3))/('5'!$C$4^(1/3)-'2'!AC149^(1/3)))), 0)</f>
        <v>#DIV/0!</v>
      </c>
      <c r="K163" s="96"/>
      <c r="L163" s="111"/>
      <c r="M163" s="96"/>
      <c r="N163" s="96"/>
      <c r="O163" s="96"/>
      <c r="P163" s="112"/>
    </row>
    <row r="164" spans="1:16" x14ac:dyDescent="0.25">
      <c r="A164" s="111">
        <f t="shared" si="13"/>
        <v>0.5</v>
      </c>
      <c r="B164" s="111">
        <v>0.5</v>
      </c>
      <c r="C164" s="96">
        <v>30</v>
      </c>
      <c r="D164" s="112">
        <v>50000</v>
      </c>
      <c r="E164" s="96">
        <f>(0.0254/0.001)*(998*'1'!$F$5+1.2*'1'!$W$23)</f>
        <v>19011.899999999998</v>
      </c>
      <c r="F164" s="96">
        <f>1.3753*(998*'1'!$F$5+1.2*'1'!$W$23)/(998*0.0254^(1/3)*'5'!E164^(1/12))</f>
        <v>1.5438153001352213</v>
      </c>
      <c r="G164" s="96" t="e">
        <f>F164*(1/(1-'2'!AC150))*('2'!AC150/'2'!AJ150)^(1/3)</f>
        <v>#DIV/0!</v>
      </c>
      <c r="H164" s="96" t="e">
        <f>6*998*F164^2/(0.072*(1-'2'!AC150)^2)*('2'!AC150/'2'!AJ150)^(5/3)</f>
        <v>#DIV/0!</v>
      </c>
      <c r="I164" s="96" t="e">
        <f>IF(AND((H164&gt;$C$3), ('2'!AC150&lt;0.11)),(('2'!AJ150^2/'2'!AC150)*'5'!G164)*SQRT(1-('5'!$C$3/H164))*EXP(-'5'!$C$3/H164), 0)</f>
        <v>#DIV/0!</v>
      </c>
      <c r="J164" s="96" t="e">
        <f>IF(('2'!AC150&lt;0.11),'2'!AJ150^2*'5'!G164/(('5'!$C$4^(1/3)-'2'!AC150^(1/3)))*(1-EXP(-$C$2*($C$4^(1/3)*'2'!AC150^(1/3))/('5'!$C$4^(1/3)-'2'!AC150^(1/3)))), 0)</f>
        <v>#DIV/0!</v>
      </c>
      <c r="K164" s="96"/>
      <c r="L164" s="111"/>
      <c r="M164" s="96"/>
      <c r="N164" s="96"/>
      <c r="O164" s="96"/>
      <c r="P164" s="112"/>
    </row>
    <row r="165" spans="1:16" x14ac:dyDescent="0.25">
      <c r="A165" s="111">
        <f t="shared" si="13"/>
        <v>0.4</v>
      </c>
      <c r="B165" s="111">
        <v>0.4</v>
      </c>
      <c r="C165" s="96">
        <v>30</v>
      </c>
      <c r="D165" s="112">
        <v>50000</v>
      </c>
      <c r="E165" s="96">
        <f>(0.0254/0.001)*(998*'1'!$F$5+1.2*'1'!$W$23)</f>
        <v>19011.899999999998</v>
      </c>
      <c r="F165" s="96">
        <f>1.3753*(998*'1'!$F$5+1.2*'1'!$W$23)/(998*0.0254^(1/3)*'5'!E165^(1/12))</f>
        <v>1.5438153001352213</v>
      </c>
      <c r="G165" s="96" t="e">
        <f>F165*(1/(1-'2'!AC151))*('2'!AC151/'2'!AJ151)^(1/3)</f>
        <v>#DIV/0!</v>
      </c>
      <c r="H165" s="96" t="e">
        <f>6*998*F165^2/(0.072*(1-'2'!AC151)^2)*('2'!AC151/'2'!AJ151)^(5/3)</f>
        <v>#DIV/0!</v>
      </c>
      <c r="I165" s="96" t="e">
        <f>IF(AND((H165&gt;$C$3), ('2'!AC151&lt;0.11)),(('2'!AJ151^2/'2'!AC151)*'5'!G165)*SQRT(1-('5'!$C$3/H165))*EXP(-'5'!$C$3/H165), 0)</f>
        <v>#DIV/0!</v>
      </c>
      <c r="J165" s="96" t="e">
        <f>IF(('2'!AC151&lt;0.11),'2'!AJ151^2*'5'!G165/(('5'!$C$4^(1/3)-'2'!AC151^(1/3)))*(1-EXP(-$C$2*($C$4^(1/3)*'2'!AC151^(1/3))/('5'!$C$4^(1/3)-'2'!AC151^(1/3)))), 0)</f>
        <v>#DIV/0!</v>
      </c>
      <c r="K165" s="96"/>
      <c r="L165" s="111"/>
      <c r="M165" s="96"/>
      <c r="N165" s="96"/>
      <c r="O165" s="96"/>
      <c r="P165" s="112"/>
    </row>
    <row r="166" spans="1:16" x14ac:dyDescent="0.25">
      <c r="A166" s="111">
        <f t="shared" si="13"/>
        <v>0.3</v>
      </c>
      <c r="B166" s="111">
        <v>0.3</v>
      </c>
      <c r="C166" s="96">
        <v>30</v>
      </c>
      <c r="D166" s="112">
        <v>50000</v>
      </c>
      <c r="E166" s="96">
        <f>(0.0254/0.001)*(998*'1'!$F$5+1.2*'1'!$W$23)</f>
        <v>19011.899999999998</v>
      </c>
      <c r="F166" s="96">
        <f>1.3753*(998*'1'!$F$5+1.2*'1'!$W$23)/(998*0.0254^(1/3)*'5'!E166^(1/12))</f>
        <v>1.5438153001352213</v>
      </c>
      <c r="G166" s="96" t="e">
        <f>F166*(1/(1-'2'!AC152))*('2'!AC152/'2'!AJ152)^(1/3)</f>
        <v>#DIV/0!</v>
      </c>
      <c r="H166" s="96" t="e">
        <f>6*998*F166^2/(0.072*(1-'2'!AC152)^2)*('2'!AC152/'2'!AJ152)^(5/3)</f>
        <v>#DIV/0!</v>
      </c>
      <c r="I166" s="96" t="e">
        <f>IF(AND((H166&gt;$C$3), ('2'!AC152&lt;0.11)),(('2'!AJ152^2/'2'!AC152)*'5'!G166)*SQRT(1-('5'!$C$3/H166))*EXP(-'5'!$C$3/H166), 0)</f>
        <v>#DIV/0!</v>
      </c>
      <c r="J166" s="96" t="e">
        <f>IF(('2'!AC152&lt;0.11),'2'!AJ152^2*'5'!G166/(('5'!$C$4^(1/3)-'2'!AC152^(1/3)))*(1-EXP(-$C$2*($C$4^(1/3)*'2'!AC152^(1/3))/('5'!$C$4^(1/3)-'2'!AC152^(1/3)))), 0)</f>
        <v>#DIV/0!</v>
      </c>
      <c r="K166" s="96"/>
      <c r="L166" s="111"/>
      <c r="M166" s="96"/>
      <c r="N166" s="96"/>
      <c r="O166" s="96"/>
      <c r="P166" s="112"/>
    </row>
    <row r="167" spans="1:16" x14ac:dyDescent="0.25">
      <c r="A167" s="111">
        <f t="shared" si="13"/>
        <v>0.2</v>
      </c>
      <c r="B167" s="111">
        <v>0.2</v>
      </c>
      <c r="C167" s="96">
        <v>30</v>
      </c>
      <c r="D167" s="112">
        <v>50000</v>
      </c>
      <c r="E167" s="96">
        <f>(0.0254/0.001)*(998*'1'!$F$5+1.2*'1'!$W$23)</f>
        <v>19011.899999999998</v>
      </c>
      <c r="F167" s="96">
        <f>1.3753*(998*'1'!$F$5+1.2*'1'!$W$23)/(998*0.0254^(1/3)*'5'!E167^(1/12))</f>
        <v>1.5438153001352213</v>
      </c>
      <c r="G167" s="96" t="e">
        <f>F167*(1/(1-'2'!AC153))*('2'!AC153/'2'!AJ153)^(1/3)</f>
        <v>#DIV/0!</v>
      </c>
      <c r="H167" s="96" t="e">
        <f>6*998*F167^2/(0.072*(1-'2'!AC153)^2)*('2'!AC153/'2'!AJ153)^(5/3)</f>
        <v>#DIV/0!</v>
      </c>
      <c r="I167" s="96" t="e">
        <f>IF(AND((H167&gt;$C$3), ('2'!AC153&lt;0.11)),(('2'!AJ153^2/'2'!AC153)*'5'!G167)*SQRT(1-('5'!$C$3/H167))*EXP(-'5'!$C$3/H167), 0)</f>
        <v>#DIV/0!</v>
      </c>
      <c r="J167" s="96" t="e">
        <f>IF(('2'!AC153&lt;0.11),'2'!AJ153^2*'5'!G167/(('5'!$C$4^(1/3)-'2'!AC153^(1/3)))*(1-EXP(-$C$2*($C$4^(1/3)*'2'!AC153^(1/3))/('5'!$C$4^(1/3)-'2'!AC153^(1/3)))), 0)</f>
        <v>#DIV/0!</v>
      </c>
      <c r="K167" s="96"/>
      <c r="L167" s="111"/>
      <c r="M167" s="96"/>
      <c r="N167" s="96"/>
      <c r="O167" s="96"/>
      <c r="P167" s="112"/>
    </row>
    <row r="168" spans="1:16" ht="15.75" thickBot="1" x14ac:dyDescent="0.3">
      <c r="A168" s="111">
        <f t="shared" si="13"/>
        <v>0.1</v>
      </c>
      <c r="B168" s="111">
        <v>0.1</v>
      </c>
      <c r="C168" s="96">
        <v>30</v>
      </c>
      <c r="D168" s="112">
        <v>50000</v>
      </c>
      <c r="E168" s="96">
        <f>(0.0254/0.001)*(998*'1'!$F$5+1.2*'1'!$W$23)</f>
        <v>19011.899999999998</v>
      </c>
      <c r="F168" s="96">
        <f>1.3753*(998*'1'!$F$5+1.2*'1'!$W$23)/(998*0.0254^(1/3)*'5'!E168^(1/12))</f>
        <v>1.5438153001352213</v>
      </c>
      <c r="G168" s="96" t="e">
        <f>F168*(1/(1-'2'!AC154))*('2'!AC154/'2'!AJ154)^(1/3)</f>
        <v>#DIV/0!</v>
      </c>
      <c r="H168" s="96" t="e">
        <f>6*998*F168^2/(0.072*(1-'2'!AC154)^2)*('2'!AC154/'2'!AJ154)^(5/3)</f>
        <v>#DIV/0!</v>
      </c>
      <c r="I168" s="96" t="e">
        <f>IF(AND((H168&gt;$C$3), ('2'!AC154&lt;0.11)),(('2'!AJ154^2/'2'!AC154)*'5'!G168)*SQRT(1-('5'!$C$3/H168))*EXP(-'5'!$C$3/H168), 0)</f>
        <v>#DIV/0!</v>
      </c>
      <c r="J168" s="96" t="e">
        <f>IF(('2'!AC154&lt;0.11),'2'!AJ154^2*'5'!G168/(('5'!$C$4^(1/3)-'2'!AC154^(1/3)))*(1-EXP(-$C$2*($C$4^(1/3)*'2'!AC154^(1/3))/('5'!$C$4^(1/3)-'2'!AC154^(1/3)))), 0)</f>
        <v>#DIV/0!</v>
      </c>
      <c r="K168" s="96"/>
      <c r="L168" s="111"/>
      <c r="M168" s="96"/>
      <c r="N168" s="96"/>
      <c r="O168" s="96"/>
      <c r="P168" s="112"/>
    </row>
    <row r="169" spans="1:16" ht="15.75" thickBot="1" x14ac:dyDescent="0.3">
      <c r="A169" s="36">
        <f t="shared" ref="A169:A177" si="14">-B169</f>
        <v>0</v>
      </c>
      <c r="B169" s="117">
        <v>0</v>
      </c>
      <c r="C169" s="118">
        <v>30</v>
      </c>
      <c r="D169" s="144">
        <v>50000</v>
      </c>
      <c r="E169" s="96">
        <f>(0.0254/0.001)*(998*'1'!$F$5+1.2*'1'!$W$23)</f>
        <v>19011.899999999998</v>
      </c>
      <c r="F169" s="96">
        <f>1.3753*(998*'1'!$F$5+1.2*'1'!$W$23)/(998*0.0254^(1/3)*'5'!E169^(1/12))</f>
        <v>1.5438153001352213</v>
      </c>
      <c r="G169" s="96" t="e">
        <f>F169*(1/(1-'2'!AC155))*('2'!AC155/'2'!AJ155)^(1/3)</f>
        <v>#DIV/0!</v>
      </c>
      <c r="H169" s="96" t="e">
        <f>6*998*F169^2/(0.072*(1-'2'!AC155)^2)*('2'!AC155/'2'!AJ155)^(5/3)</f>
        <v>#DIV/0!</v>
      </c>
      <c r="I169" s="96" t="e">
        <f>IF(AND((H169&gt;$C$3), ('2'!AC155&lt;0.11)),(('2'!AJ155^2/'2'!AC155)*'5'!G169)*SQRT(1-('5'!$C$3/H169))*EXP(-'5'!$C$3/H169), 0)</f>
        <v>#DIV/0!</v>
      </c>
      <c r="J169" s="96" t="e">
        <f>IF(('2'!AC155&lt;0.11),'2'!AJ155^2*'5'!G169/(('5'!$C$4^(1/3)-'2'!AC155^(1/3)))*(1-EXP(-$C$2*($C$4^(1/3)*'2'!AC155^(1/3))/('5'!$C$4^(1/3)-'2'!AC155^(1/3)))), 0)</f>
        <v>#DIV/0!</v>
      </c>
      <c r="K169" s="118"/>
      <c r="L169" s="117"/>
      <c r="M169" s="118"/>
      <c r="N169" s="118"/>
      <c r="O169" s="118"/>
      <c r="P169" s="144"/>
    </row>
    <row r="170" spans="1:16" x14ac:dyDescent="0.25">
      <c r="A170" s="147">
        <f t="shared" si="14"/>
        <v>-0.1</v>
      </c>
      <c r="B170" s="110">
        <v>0.1</v>
      </c>
      <c r="C170" s="110">
        <v>30</v>
      </c>
      <c r="D170" s="115">
        <v>50000</v>
      </c>
      <c r="E170" s="96">
        <f>(0.0254/0.001)*(998*'1'!$F$5+1.2*'1'!$W$23)</f>
        <v>19011.899999999998</v>
      </c>
      <c r="F170" s="96">
        <f>1.3753*(998*'1'!$F$5+1.2*'1'!$W$23)/(998*0.0254^(1/3)*'5'!E170^(1/12))</f>
        <v>1.5438153001352213</v>
      </c>
      <c r="G170" s="96" t="e">
        <f>F170*(1/(1-'2'!AC156))*('2'!AC156/'2'!AJ156)^(1/3)</f>
        <v>#DIV/0!</v>
      </c>
      <c r="H170" s="96" t="e">
        <f>6*998*F170^2/(0.072*(1-'2'!AC156)^2)*('2'!AC156/'2'!AJ156)^(5/3)</f>
        <v>#DIV/0!</v>
      </c>
      <c r="I170" s="96" t="e">
        <f>IF(AND((H170&gt;$C$3), ('2'!AC156&lt;0.11)),(('2'!AJ156^2/'2'!AC156)*'5'!G170)*SQRT(1-('5'!$C$3/H170))*EXP(-'5'!$C$3/H170), 0)</f>
        <v>#DIV/0!</v>
      </c>
      <c r="J170" s="96" t="e">
        <f>IF(('2'!AC156&lt;0.11),'2'!AJ156^2*'5'!G170/(('5'!$C$4^(1/3)-'2'!AC156^(1/3)))*(1-EXP(-$C$2*($C$4^(1/3)*'2'!AC156^(1/3))/('5'!$C$4^(1/3)-'2'!AC156^(1/3)))), 0)</f>
        <v>#DIV/0!</v>
      </c>
      <c r="K170" s="109"/>
      <c r="L170" s="114"/>
      <c r="M170" s="110"/>
      <c r="N170" s="110"/>
      <c r="O170" s="110"/>
      <c r="P170" s="115"/>
    </row>
    <row r="171" spans="1:16" x14ac:dyDescent="0.25">
      <c r="A171" s="147">
        <f t="shared" si="14"/>
        <v>-0.2</v>
      </c>
      <c r="B171" s="110">
        <v>0.2</v>
      </c>
      <c r="C171" s="110">
        <v>30</v>
      </c>
      <c r="D171" s="115">
        <v>50000</v>
      </c>
      <c r="E171" s="96">
        <f>(0.0254/0.001)*(998*'1'!$F$5+1.2*'1'!$W$23)</f>
        <v>19011.899999999998</v>
      </c>
      <c r="F171" s="96">
        <f>1.3753*(998*'1'!$F$5+1.2*'1'!$W$23)/(998*0.0254^(1/3)*'5'!E171^(1/12))</f>
        <v>1.5438153001352213</v>
      </c>
      <c r="G171" s="96" t="e">
        <f>F171*(1/(1-'2'!AC157))*('2'!AC157/'2'!AJ157)^(1/3)</f>
        <v>#DIV/0!</v>
      </c>
      <c r="H171" s="96" t="e">
        <f>6*998*F171^2/(0.072*(1-'2'!AC157)^2)*('2'!AC157/'2'!AJ157)^(5/3)</f>
        <v>#DIV/0!</v>
      </c>
      <c r="I171" s="96" t="e">
        <f>IF(AND((H171&gt;$C$3), ('2'!AC157&lt;0.11)),(('2'!AJ157^2/'2'!AC157)*'5'!G171)*SQRT(1-('5'!$C$3/H171))*EXP(-'5'!$C$3/H171), 0)</f>
        <v>#DIV/0!</v>
      </c>
      <c r="J171" s="96" t="e">
        <f>IF(('2'!AC157&lt;0.11),'2'!AJ157^2*'5'!G171/(('5'!$C$4^(1/3)-'2'!AC157^(1/3)))*(1-EXP(-$C$2*($C$4^(1/3)*'2'!AC157^(1/3))/('5'!$C$4^(1/3)-'2'!AC157^(1/3)))), 0)</f>
        <v>#DIV/0!</v>
      </c>
      <c r="K171" s="109"/>
      <c r="L171" s="114"/>
      <c r="M171" s="110"/>
      <c r="N171" s="110"/>
      <c r="O171" s="110"/>
      <c r="P171" s="115"/>
    </row>
    <row r="172" spans="1:16" x14ac:dyDescent="0.25">
      <c r="A172" s="147">
        <f t="shared" si="14"/>
        <v>-0.3</v>
      </c>
      <c r="B172" s="110">
        <v>0.3</v>
      </c>
      <c r="C172" s="110">
        <v>30</v>
      </c>
      <c r="D172" s="115">
        <v>50000</v>
      </c>
      <c r="E172" s="96">
        <f>(0.0254/0.001)*(998*'1'!$F$5+1.2*'1'!$W$23)</f>
        <v>19011.899999999998</v>
      </c>
      <c r="F172" s="96">
        <f>1.3753*(998*'1'!$F$5+1.2*'1'!$W$23)/(998*0.0254^(1/3)*'5'!E172^(1/12))</f>
        <v>1.5438153001352213</v>
      </c>
      <c r="G172" s="96" t="e">
        <f>F172*(1/(1-'2'!AC158))*('2'!AC158/'2'!AJ158)^(1/3)</f>
        <v>#DIV/0!</v>
      </c>
      <c r="H172" s="96" t="e">
        <f>6*998*F172^2/(0.072*(1-'2'!AC158)^2)*('2'!AC158/'2'!AJ158)^(5/3)</f>
        <v>#DIV/0!</v>
      </c>
      <c r="I172" s="96" t="e">
        <f>IF(AND((H172&gt;$C$3), ('2'!AC158&lt;0.11)),(('2'!AJ158^2/'2'!AC158)*'5'!G172)*SQRT(1-('5'!$C$3/H172))*EXP(-'5'!$C$3/H172), 0)</f>
        <v>#DIV/0!</v>
      </c>
      <c r="J172" s="96" t="e">
        <f>IF(('2'!AC158&lt;0.11),'2'!AJ158^2*'5'!G172/(('5'!$C$4^(1/3)-'2'!AC158^(1/3)))*(1-EXP(-$C$2*($C$4^(1/3)*'2'!AC158^(1/3))/('5'!$C$4^(1/3)-'2'!AC158^(1/3)))), 0)</f>
        <v>#DIV/0!</v>
      </c>
      <c r="K172" s="109"/>
      <c r="L172" s="114"/>
      <c r="M172" s="110"/>
      <c r="N172" s="110"/>
      <c r="O172" s="110"/>
      <c r="P172" s="115"/>
    </row>
    <row r="173" spans="1:16" x14ac:dyDescent="0.25">
      <c r="A173" s="147">
        <f t="shared" si="14"/>
        <v>-0.4</v>
      </c>
      <c r="B173" s="110">
        <v>0.4</v>
      </c>
      <c r="C173" s="110">
        <v>30</v>
      </c>
      <c r="D173" s="115">
        <v>50000</v>
      </c>
      <c r="E173" s="96">
        <f>(0.0254/0.001)*(998*'1'!$F$5+1.2*'1'!$W$23)</f>
        <v>19011.899999999998</v>
      </c>
      <c r="F173" s="96">
        <f>1.3753*(998*'1'!$F$5+1.2*'1'!$W$23)/(998*0.0254^(1/3)*'5'!E173^(1/12))</f>
        <v>1.5438153001352213</v>
      </c>
      <c r="G173" s="96" t="e">
        <f>F173*(1/(1-'2'!AC159))*('2'!AC159/'2'!AJ159)^(1/3)</f>
        <v>#DIV/0!</v>
      </c>
      <c r="H173" s="96" t="e">
        <f>6*998*F173^2/(0.072*(1-'2'!AC159)^2)*('2'!AC159/'2'!AJ159)^(5/3)</f>
        <v>#DIV/0!</v>
      </c>
      <c r="I173" s="96" t="e">
        <f>IF(AND((H173&gt;$C$3), ('2'!AC159&lt;0.11)),(('2'!AJ159^2/'2'!AC159)*'5'!G173)*SQRT(1-('5'!$C$3/H173))*EXP(-'5'!$C$3/H173), 0)</f>
        <v>#DIV/0!</v>
      </c>
      <c r="J173" s="96" t="e">
        <f>IF(('2'!AC159&lt;0.11),'2'!AJ159^2*'5'!G173/(('5'!$C$4^(1/3)-'2'!AC159^(1/3)))*(1-EXP(-$C$2*($C$4^(1/3)*'2'!AC159^(1/3))/('5'!$C$4^(1/3)-'2'!AC159^(1/3)))), 0)</f>
        <v>#DIV/0!</v>
      </c>
      <c r="K173" s="109"/>
      <c r="L173" s="114"/>
      <c r="M173" s="110"/>
      <c r="N173" s="110"/>
      <c r="O173" s="110"/>
      <c r="P173" s="115"/>
    </row>
    <row r="174" spans="1:16" x14ac:dyDescent="0.25">
      <c r="A174" s="147">
        <f t="shared" si="14"/>
        <v>-0.5</v>
      </c>
      <c r="B174" s="110">
        <v>0.5</v>
      </c>
      <c r="C174" s="110">
        <v>30</v>
      </c>
      <c r="D174" s="115">
        <v>50000</v>
      </c>
      <c r="E174" s="96">
        <f>(0.0254/0.001)*(998*'1'!$F$5+1.2*'1'!$W$23)</f>
        <v>19011.899999999998</v>
      </c>
      <c r="F174" s="96">
        <f>1.3753*(998*'1'!$F$5+1.2*'1'!$W$23)/(998*0.0254^(1/3)*'5'!E174^(1/12))</f>
        <v>1.5438153001352213</v>
      </c>
      <c r="G174" s="96" t="e">
        <f>F174*(1/(1-'2'!AC160))*('2'!AC160/'2'!AJ160)^(1/3)</f>
        <v>#DIV/0!</v>
      </c>
      <c r="H174" s="96" t="e">
        <f>6*998*F174^2/(0.072*(1-'2'!AC160)^2)*('2'!AC160/'2'!AJ160)^(5/3)</f>
        <v>#DIV/0!</v>
      </c>
      <c r="I174" s="96" t="e">
        <f>IF(AND((H174&gt;$C$3), ('2'!AC160&lt;0.11)),(('2'!AJ160^2/'2'!AC160)*'5'!G174)*SQRT(1-('5'!$C$3/H174))*EXP(-'5'!$C$3/H174), 0)</f>
        <v>#DIV/0!</v>
      </c>
      <c r="J174" s="96" t="e">
        <f>IF(('2'!AC160&lt;0.11),'2'!AJ160^2*'5'!G174/(('5'!$C$4^(1/3)-'2'!AC160^(1/3)))*(1-EXP(-$C$2*($C$4^(1/3)*'2'!AC160^(1/3))/('5'!$C$4^(1/3)-'2'!AC160^(1/3)))), 0)</f>
        <v>#DIV/0!</v>
      </c>
      <c r="K174" s="109"/>
      <c r="L174" s="114"/>
      <c r="M174" s="110"/>
      <c r="N174" s="110"/>
      <c r="O174" s="110"/>
      <c r="P174" s="115"/>
    </row>
    <row r="175" spans="1:16" x14ac:dyDescent="0.25">
      <c r="A175" s="147">
        <f t="shared" si="14"/>
        <v>-0.6</v>
      </c>
      <c r="B175" s="110">
        <v>0.6</v>
      </c>
      <c r="C175" s="110">
        <v>30</v>
      </c>
      <c r="D175" s="115">
        <v>50000</v>
      </c>
      <c r="E175" s="96">
        <f>(0.0254/0.001)*(998*'1'!$F$5+1.2*'1'!$W$23)</f>
        <v>19011.899999999998</v>
      </c>
      <c r="F175" s="96">
        <f>1.3753*(998*'1'!$F$5+1.2*'1'!$W$23)/(998*0.0254^(1/3)*'5'!E175^(1/12))</f>
        <v>1.5438153001352213</v>
      </c>
      <c r="G175" s="96" t="e">
        <f>F175*(1/(1-'2'!AC161))*('2'!AC161/'2'!AJ161)^(1/3)</f>
        <v>#DIV/0!</v>
      </c>
      <c r="H175" s="96" t="e">
        <f>6*998*F175^2/(0.072*(1-'2'!AC161)^2)*('2'!AC161/'2'!AJ161)^(5/3)</f>
        <v>#DIV/0!</v>
      </c>
      <c r="I175" s="96" t="e">
        <f>IF(AND((H175&gt;$C$3), ('2'!AC161&lt;0.11)),(('2'!AJ161^2/'2'!AC161)*'5'!G175)*SQRT(1-('5'!$C$3/H175))*EXP(-'5'!$C$3/H175), 0)</f>
        <v>#DIV/0!</v>
      </c>
      <c r="J175" s="96" t="e">
        <f>IF(('2'!AC161&lt;0.11),'2'!AJ161^2*'5'!G175/(('5'!$C$4^(1/3)-'2'!AC161^(1/3)))*(1-EXP(-$C$2*($C$4^(1/3)*'2'!AC161^(1/3))/('5'!$C$4^(1/3)-'2'!AC161^(1/3)))), 0)</f>
        <v>#DIV/0!</v>
      </c>
      <c r="K175" s="109"/>
      <c r="L175" s="114"/>
      <c r="M175" s="110"/>
      <c r="N175" s="110"/>
      <c r="O175" s="110"/>
      <c r="P175" s="115"/>
    </row>
    <row r="176" spans="1:16" x14ac:dyDescent="0.25">
      <c r="A176" s="147">
        <f t="shared" si="14"/>
        <v>-0.7</v>
      </c>
      <c r="B176" s="110">
        <v>0.7</v>
      </c>
      <c r="C176" s="110">
        <v>30</v>
      </c>
      <c r="D176" s="115">
        <v>50000</v>
      </c>
      <c r="E176" s="96">
        <f>(0.0254/0.001)*(998*'1'!$F$5+1.2*'1'!$W$23)</f>
        <v>19011.899999999998</v>
      </c>
      <c r="F176" s="96">
        <f>1.3753*(998*'1'!$F$5+1.2*'1'!$W$23)/(998*0.0254^(1/3)*'5'!E176^(1/12))</f>
        <v>1.5438153001352213</v>
      </c>
      <c r="G176" s="96"/>
      <c r="H176" s="96"/>
      <c r="I176" s="96">
        <f>IF(AND((H176&gt;$C$3), ('2'!AC162&lt;0.11)),(('2'!AJ162^2/'2'!AC162)*'5'!G176)*SQRT(1-('5'!$C$3/H176))*EXP(-'5'!$C$3/H176), 0)</f>
        <v>0</v>
      </c>
      <c r="J176" s="96"/>
      <c r="K176" s="109"/>
      <c r="L176" s="114"/>
      <c r="M176" s="110"/>
      <c r="N176" s="110"/>
      <c r="O176" s="110"/>
      <c r="P176" s="115"/>
    </row>
    <row r="177" spans="1:16" x14ac:dyDescent="0.25">
      <c r="A177" s="147">
        <f t="shared" si="14"/>
        <v>-0.8</v>
      </c>
      <c r="B177" s="110">
        <v>0.8</v>
      </c>
      <c r="C177" s="110">
        <v>30</v>
      </c>
      <c r="D177" s="115">
        <v>50000</v>
      </c>
      <c r="E177" s="96">
        <f>(0.0254/0.001)*(998*'1'!$F$5+1.2*'1'!$W$23)</f>
        <v>19011.899999999998</v>
      </c>
      <c r="F177" s="96">
        <f>1.3753*(998*'1'!$F$5+1.2*'1'!$W$23)/(998*0.0254^(1/3)*'5'!E177^(1/12))</f>
        <v>1.5438153001352213</v>
      </c>
      <c r="G177" s="96"/>
      <c r="H177" s="96"/>
      <c r="I177" s="96">
        <f>IF(AND((H177&gt;$C$3), ('2'!AC163&lt;0.11)),(('2'!AJ163^2/'2'!AC163)*'5'!G177)*SQRT(1-('5'!$C$3/H177))*EXP(-'5'!$C$3/H177), 0)</f>
        <v>0</v>
      </c>
      <c r="J177" s="96"/>
      <c r="K177" s="109"/>
      <c r="L177" s="114"/>
      <c r="M177" s="110"/>
      <c r="N177" s="110"/>
      <c r="O177" s="110"/>
      <c r="P177" s="115"/>
    </row>
    <row r="178" spans="1:16" x14ac:dyDescent="0.25">
      <c r="A178" s="147">
        <f>-B178</f>
        <v>-0.85</v>
      </c>
      <c r="B178" s="110">
        <v>0.85</v>
      </c>
      <c r="C178" s="110">
        <v>30</v>
      </c>
      <c r="D178" s="115">
        <v>50000</v>
      </c>
      <c r="E178" s="96">
        <f>(0.0254/0.001)*(998*'1'!$F$5+1.2*'1'!$W$23)</f>
        <v>19011.899999999998</v>
      </c>
      <c r="F178" s="96">
        <f>1.3753*(998*'1'!$F$5+1.2*'1'!$W$23)/(998*0.0254^(1/3)*'5'!E178^(1/12))</f>
        <v>1.5438153001352213</v>
      </c>
      <c r="G178" s="96"/>
      <c r="H178" s="96"/>
      <c r="I178" s="96" t="e">
        <f>IF(AND((H178&gt;$C$3), ('2'!#REF!&lt;0.11)),(('2'!#REF!^2/'2'!#REF!)*'5'!G178)*SQRT(1-('5'!$C$3/H178))*EXP(-'5'!$C$3/H178), 0)</f>
        <v>#REF!</v>
      </c>
      <c r="J178" s="96"/>
      <c r="K178" s="109"/>
      <c r="L178" s="114"/>
      <c r="M178" s="110"/>
      <c r="N178" s="110"/>
      <c r="O178" s="110"/>
      <c r="P178" s="115"/>
    </row>
    <row r="179" spans="1:16" x14ac:dyDescent="0.25">
      <c r="A179" s="147">
        <f t="shared" ref="A179:A181" si="15">-B179</f>
        <v>-0.9</v>
      </c>
      <c r="B179" s="110">
        <v>0.9</v>
      </c>
      <c r="C179" s="110">
        <v>30</v>
      </c>
      <c r="D179" s="115">
        <v>50000</v>
      </c>
      <c r="E179" s="96">
        <f>(0.0254/0.001)*(998*'1'!$F$5+1.2*'1'!$W$23)</f>
        <v>19011.899999999998</v>
      </c>
      <c r="F179" s="96">
        <f>1.3753*(998*'1'!$F$5+1.2*'1'!$W$23)/(998*0.0254^(1/3)*'5'!E179^(1/12))</f>
        <v>1.5438153001352213</v>
      </c>
      <c r="G179" s="96"/>
      <c r="H179" s="96"/>
      <c r="I179" s="96">
        <f>IF(AND((H179&gt;$C$3), ('2'!AC164&lt;0.11)),(('2'!AJ164^2/'2'!AC164)*'5'!G179)*SQRT(1-('5'!$C$3/H179))*EXP(-'5'!$C$3/H179), 0)</f>
        <v>0</v>
      </c>
      <c r="J179" s="110"/>
      <c r="K179" s="109"/>
      <c r="L179" s="114"/>
      <c r="M179" s="110"/>
      <c r="N179" s="110"/>
      <c r="O179" s="110"/>
      <c r="P179" s="115"/>
    </row>
    <row r="180" spans="1:16" x14ac:dyDescent="0.25">
      <c r="A180" s="147">
        <f t="shared" si="15"/>
        <v>-0.95</v>
      </c>
      <c r="B180" s="96">
        <v>0.95</v>
      </c>
      <c r="C180" s="110"/>
      <c r="D180" s="115"/>
      <c r="E180" s="96">
        <f>(0.0254/0.001)*(998*'1'!$F$5+1.2*'1'!$W$23)</f>
        <v>19011.899999999998</v>
      </c>
      <c r="F180" s="96">
        <f>1.3753*(998*'1'!$F$5+1.2*'1'!$W$23)/(998*0.0254^(1/3)*'5'!E180^(1/12))</f>
        <v>1.5438153001352213</v>
      </c>
      <c r="G180" s="96"/>
      <c r="H180" s="96"/>
      <c r="I180" s="96" t="e">
        <f>IF(AND((H180&gt;$C$3), ('2'!#REF!&lt;0.11)),(('2'!#REF!^2/'2'!#REF!)*'5'!G180)*SQRT(1-('5'!$C$3/H180))*EXP(-'5'!$C$3/H180), 0)</f>
        <v>#REF!</v>
      </c>
      <c r="J180" s="110"/>
      <c r="K180" s="109"/>
      <c r="L180" s="114"/>
      <c r="M180" s="110"/>
      <c r="N180" s="110"/>
      <c r="O180" s="110"/>
      <c r="P180" s="115"/>
    </row>
    <row r="181" spans="1:16" ht="15.75" thickBot="1" x14ac:dyDescent="0.3">
      <c r="A181" s="147">
        <f t="shared" si="15"/>
        <v>-1</v>
      </c>
      <c r="B181" s="110">
        <v>1</v>
      </c>
      <c r="C181" s="110"/>
      <c r="D181" s="115"/>
      <c r="E181" s="96">
        <f>(0.0254/0.001)*(998*'1'!$F$5+1.2*'1'!$W$23)</f>
        <v>19011.899999999998</v>
      </c>
      <c r="F181" s="96">
        <f>1.3753*(998*'1'!$F$5+1.2*'1'!$W$23)/(998*0.0254^(1/3)*'5'!E181^(1/12))</f>
        <v>1.5438153001352213</v>
      </c>
      <c r="G181" s="96"/>
      <c r="H181" s="96"/>
      <c r="I181" s="96">
        <f>IF(AND((H181&gt;$C$3), ('2'!AC165&lt;0.11)),(('2'!AJ165^2/'2'!AC165)*'5'!G181)*SQRT(1-('5'!$C$3/H181))*EXP(-'5'!$C$3/H181), 0)</f>
        <v>0</v>
      </c>
      <c r="J181" s="110"/>
      <c r="K181" s="109"/>
      <c r="L181" s="114"/>
      <c r="M181" s="110"/>
      <c r="N181" s="110"/>
      <c r="O181" s="110"/>
      <c r="P181" s="115"/>
    </row>
    <row r="182" spans="1:16" ht="30.75" thickBot="1" x14ac:dyDescent="0.3">
      <c r="A182" s="233" t="s">
        <v>55</v>
      </c>
      <c r="B182" s="234"/>
      <c r="C182" s="235"/>
      <c r="D182" s="39" t="s">
        <v>54</v>
      </c>
      <c r="E182" s="38">
        <f>0.1/3*($B157*E157+4*$B159*E159+2*$B161*E161+4*$B162*E162+2*$B163*E163+4*$B164*E164+2*$B165*E165+4*$B166*E166+2*$B167*E167+4*$B168*E168+2*$B169*E169+4*$B170*E170+1*$B171*E171)+0.2/3*($B171*E171+4*$B173*E173+2*$B175*E175+4*$B177*E177+$B181*E181)</f>
        <v>19011.899999999998</v>
      </c>
      <c r="F182" s="38">
        <f t="shared" ref="F182:K182" si="16">0.1/3*($B157*F157+4*$B159*F159+2*$B161*F161+4*$B162*F162+2*$B163*F163+4*$B164*F164+2*$B165*F165+4*$B166*F166+2*$B167*F167+4*$B168*F168+2*$B169*F169+4*$B170*F170+1*$B171*F171)+0.2/3*($B171*F171+4*$B173*F173+2*$B175*F175+4*$B177*F177+$B181*F181)</f>
        <v>1.5438153001352211</v>
      </c>
      <c r="G182" s="38" t="e">
        <f t="shared" si="16"/>
        <v>#DIV/0!</v>
      </c>
      <c r="H182" s="38" t="e">
        <f t="shared" si="16"/>
        <v>#DIV/0!</v>
      </c>
      <c r="I182" s="38" t="e">
        <f t="shared" si="16"/>
        <v>#DIV/0!</v>
      </c>
      <c r="J182" s="38" t="e">
        <f t="shared" si="16"/>
        <v>#DIV/0!</v>
      </c>
      <c r="K182" s="38">
        <f t="shared" si="16"/>
        <v>0</v>
      </c>
      <c r="L182" s="38"/>
      <c r="M182" s="38"/>
      <c r="N182" s="38"/>
      <c r="O182" s="38"/>
      <c r="P182" s="38"/>
    </row>
    <row r="183" spans="1:16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</row>
    <row r="184" spans="1:16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</row>
    <row r="185" spans="1:16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</row>
    <row r="186" spans="1:16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</row>
    <row r="187" spans="1:16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</row>
    <row r="188" spans="1:16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</row>
    <row r="189" spans="1:16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</row>
    <row r="190" spans="1:16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</row>
    <row r="191" spans="1:16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</row>
    <row r="192" spans="1:16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</row>
    <row r="193" spans="1:16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</row>
    <row r="194" spans="1:16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</row>
    <row r="195" spans="1:16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</row>
    <row r="196" spans="1:16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</row>
    <row r="197" spans="1:16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</row>
    <row r="198" spans="1:16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</row>
    <row r="199" spans="1:16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</row>
    <row r="200" spans="1:16" x14ac:dyDescent="0.25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</row>
    <row r="201" spans="1:16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</row>
    <row r="202" spans="1:16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</row>
    <row r="203" spans="1:16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</row>
    <row r="204" spans="1:16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</row>
    <row r="205" spans="1:16" ht="15.75" thickBot="1" x14ac:dyDescent="0.3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</row>
    <row r="206" spans="1:16" ht="15.75" thickBot="1" x14ac:dyDescent="0.3">
      <c r="A206" s="236" t="s">
        <v>14</v>
      </c>
      <c r="B206" s="236" t="s">
        <v>49</v>
      </c>
      <c r="C206" s="238" t="s">
        <v>10</v>
      </c>
      <c r="D206" s="240" t="s">
        <v>58</v>
      </c>
      <c r="E206" s="230" t="s">
        <v>256</v>
      </c>
      <c r="F206" s="231"/>
      <c r="G206" s="231"/>
      <c r="H206" s="231"/>
      <c r="I206" s="231"/>
      <c r="J206" s="231"/>
      <c r="K206" s="232"/>
      <c r="L206" s="230"/>
      <c r="M206" s="231"/>
      <c r="N206" s="231"/>
      <c r="O206" s="231"/>
      <c r="P206" s="232"/>
    </row>
    <row r="207" spans="1:16" ht="15.75" thickBot="1" x14ac:dyDescent="0.3">
      <c r="A207" s="237"/>
      <c r="B207" s="237"/>
      <c r="C207" s="239"/>
      <c r="D207" s="241"/>
      <c r="E207" s="16" t="s">
        <v>257</v>
      </c>
      <c r="F207" s="17" t="s">
        <v>250</v>
      </c>
      <c r="G207" s="17" t="s">
        <v>258</v>
      </c>
      <c r="H207" s="17" t="s">
        <v>252</v>
      </c>
      <c r="I207" s="18" t="s">
        <v>259</v>
      </c>
      <c r="J207" s="18" t="s">
        <v>260</v>
      </c>
      <c r="K207" s="19" t="s">
        <v>21</v>
      </c>
      <c r="L207" s="20"/>
      <c r="M207" s="18"/>
      <c r="N207" s="18"/>
      <c r="O207" s="18"/>
      <c r="P207" s="19"/>
    </row>
    <row r="208" spans="1:16" x14ac:dyDescent="0.25">
      <c r="A208" s="111">
        <f t="shared" ref="A208:A219" si="17">B208</f>
        <v>1</v>
      </c>
      <c r="B208" s="111">
        <v>1</v>
      </c>
      <c r="C208" s="96"/>
      <c r="D208" s="112"/>
      <c r="E208" s="96">
        <f>(0.0254/0.001)*(998*'1'!$F$5+1.2*'1'!$W$23)</f>
        <v>19011.899999999998</v>
      </c>
      <c r="F208" s="96">
        <f>1.3753*(998*'1'!$F$5+1.2*'1'!$W$23)/(998*0.0254^(1/3)*'5'!E208^(1/12))</f>
        <v>1.5438153001352213</v>
      </c>
      <c r="G208" s="96"/>
      <c r="H208" s="96"/>
      <c r="I208" s="96">
        <f>IF(AND((H208&gt;$C$3), ('2'!AC192&lt;0.11)),(('2'!AJ192^2/'2'!AC192)*'5'!G208)*SQRT(1-('5'!$C$3/H208))*EXP(-'5'!$C$3/H208), 0)</f>
        <v>0</v>
      </c>
      <c r="J208" s="96"/>
      <c r="K208" s="96"/>
      <c r="L208" s="111"/>
      <c r="M208" s="96"/>
      <c r="N208" s="96"/>
      <c r="O208" s="96"/>
      <c r="P208" s="96"/>
    </row>
    <row r="209" spans="1:16" x14ac:dyDescent="0.25">
      <c r="A209" s="111">
        <f t="shared" si="17"/>
        <v>0.95</v>
      </c>
      <c r="B209" s="111">
        <v>0.95</v>
      </c>
      <c r="C209" s="96">
        <v>30</v>
      </c>
      <c r="D209" s="112">
        <v>50000</v>
      </c>
      <c r="E209" s="96">
        <f>(0.0254/0.001)*(998*'1'!$F$5+1.2*'1'!$W$23)</f>
        <v>19011.899999999998</v>
      </c>
      <c r="F209" s="96">
        <f>1.3753*(998*'1'!$F$5+1.2*'1'!$W$23)/(998*0.0254^(1/3)*'5'!E209^(1/12))</f>
        <v>1.5438153001352213</v>
      </c>
      <c r="G209" s="96"/>
      <c r="H209" s="96"/>
      <c r="I209" s="96" t="e">
        <f>IF(AND((H209&gt;$C$3), ('2'!#REF!&lt;0.11)),(('2'!#REF!^2/'2'!#REF!)*'5'!G209)*SQRT(1-('5'!$C$3/H209))*EXP(-'5'!$C$3/H209), 0)</f>
        <v>#REF!</v>
      </c>
      <c r="J209" s="96"/>
      <c r="K209" s="96"/>
      <c r="L209" s="111"/>
      <c r="M209" s="96"/>
      <c r="N209" s="96"/>
      <c r="O209" s="96"/>
      <c r="P209" s="112"/>
    </row>
    <row r="210" spans="1:16" x14ac:dyDescent="0.25">
      <c r="A210" s="111">
        <f t="shared" si="17"/>
        <v>0.9</v>
      </c>
      <c r="B210" s="111">
        <v>0.9</v>
      </c>
      <c r="C210" s="96">
        <v>30</v>
      </c>
      <c r="D210" s="112">
        <v>50000</v>
      </c>
      <c r="E210" s="96">
        <f>(0.0254/0.001)*(998*'1'!$F$5+1.2*'1'!$W$23)</f>
        <v>19011.899999999998</v>
      </c>
      <c r="F210" s="96">
        <f>1.3753*(998*'1'!$F$5+1.2*'1'!$W$23)/(998*0.0254^(1/3)*'5'!E210^(1/12))</f>
        <v>1.5438153001352213</v>
      </c>
      <c r="G210" s="96" t="e">
        <f>F210*(1/(1-'2'!AC193))*('2'!AC193/'2'!AJ193)^(1/3)</f>
        <v>#DIV/0!</v>
      </c>
      <c r="H210" s="96" t="e">
        <f>6*998*F210^2/(0.072*(1-'2'!AC193)^2)*('2'!AC193/'2'!AJ193)^(5/3)</f>
        <v>#DIV/0!</v>
      </c>
      <c r="I210" s="96" t="e">
        <f>IF(AND((H210&gt;$C$3), ('2'!AC193&lt;0.11)),(('2'!AJ193^2/'2'!AC193)*'5'!G210)*SQRT(1-('5'!$C$3/H210))*EXP(-'5'!$C$3/H210), 0)</f>
        <v>#DIV/0!</v>
      </c>
      <c r="J210" s="96" t="e">
        <f>IF(('2'!AC193&lt;0.11),'2'!AJ193^2*'5'!G210/(('5'!$C$4^(1/3)-'2'!AC193^(1/3)))*(1-EXP(-$C$2*($C$4^(1/3)*'2'!AC193^(1/3))/('5'!$C$4^(1/3)-'2'!AC193^(1/3)))), 0)</f>
        <v>#DIV/0!</v>
      </c>
      <c r="K210" s="96"/>
      <c r="L210" s="111"/>
      <c r="M210" s="96"/>
      <c r="N210" s="96"/>
      <c r="O210" s="96"/>
      <c r="P210" s="112"/>
    </row>
    <row r="211" spans="1:16" x14ac:dyDescent="0.25">
      <c r="A211" s="111">
        <f t="shared" si="17"/>
        <v>0.85</v>
      </c>
      <c r="B211" s="111">
        <v>0.85</v>
      </c>
      <c r="C211" s="96">
        <v>30</v>
      </c>
      <c r="D211" s="112">
        <v>50000</v>
      </c>
      <c r="E211" s="96">
        <f>(0.0254/0.001)*(998*'1'!$F$5+1.2*'1'!$W$23)</f>
        <v>19011.899999999998</v>
      </c>
      <c r="F211" s="96">
        <f>1.3753*(998*'1'!$F$5+1.2*'1'!$W$23)/(998*0.0254^(1/3)*'5'!E211^(1/12))</f>
        <v>1.5438153001352213</v>
      </c>
      <c r="G211" s="96"/>
      <c r="H211" s="96"/>
      <c r="I211" s="96" t="e">
        <f>IF(AND((H211&gt;$C$3), ('2'!#REF!&lt;0.11)),(('2'!#REF!^2/'2'!#REF!)*'5'!G211)*SQRT(1-('5'!$C$3/H211))*EXP(-'5'!$C$3/H211), 0)</f>
        <v>#REF!</v>
      </c>
      <c r="J211" s="96"/>
      <c r="K211" s="96"/>
      <c r="L211" s="111"/>
      <c r="M211" s="96"/>
      <c r="N211" s="96"/>
      <c r="O211" s="96"/>
      <c r="P211" s="112"/>
    </row>
    <row r="212" spans="1:16" x14ac:dyDescent="0.25">
      <c r="A212" s="111">
        <f t="shared" si="17"/>
        <v>0.8</v>
      </c>
      <c r="B212" s="111">
        <v>0.8</v>
      </c>
      <c r="C212" s="96">
        <v>30</v>
      </c>
      <c r="D212" s="112">
        <v>50000</v>
      </c>
      <c r="E212" s="96">
        <f>(0.0254/0.001)*(998*'1'!$F$5+1.2*'1'!$W$23)</f>
        <v>19011.899999999998</v>
      </c>
      <c r="F212" s="96">
        <f>1.3753*(998*'1'!$F$5+1.2*'1'!$W$23)/(998*0.0254^(1/3)*'5'!E212^(1/12))</f>
        <v>1.5438153001352213</v>
      </c>
      <c r="G212" s="96" t="e">
        <f>F212*(1/(1-'2'!AC194))*('2'!AC194/'2'!AJ194)^(1/3)</f>
        <v>#DIV/0!</v>
      </c>
      <c r="H212" s="96" t="e">
        <f>6*998*F212^2/(0.072*(1-'2'!AC194)^2)*('2'!AC194/'2'!AJ194)^(5/3)</f>
        <v>#DIV/0!</v>
      </c>
      <c r="I212" s="96" t="e">
        <f>IF(AND((H212&gt;$C$3), ('2'!AC194&lt;0.11)),(('2'!AJ194^2/'2'!AC194)*'5'!G212)*SQRT(1-('5'!$C$3/H212))*EXP(-'5'!$C$3/H212), 0)</f>
        <v>#DIV/0!</v>
      </c>
      <c r="J212" s="96" t="e">
        <f>IF(('2'!AC194&lt;0.11),'2'!AJ194^2*'5'!G212/(('5'!$C$4^(1/3)-'2'!AC194^(1/3)))*(1-EXP(-$C$2*($C$4^(1/3)*'2'!AC194^(1/3))/('5'!$C$4^(1/3)-'2'!AC194^(1/3)))), 0)</f>
        <v>#DIV/0!</v>
      </c>
      <c r="K212" s="96"/>
      <c r="L212" s="111"/>
      <c r="M212" s="96"/>
      <c r="N212" s="96"/>
      <c r="O212" s="96"/>
      <c r="P212" s="112"/>
    </row>
    <row r="213" spans="1:16" x14ac:dyDescent="0.25">
      <c r="A213" s="111">
        <f t="shared" si="17"/>
        <v>0.7</v>
      </c>
      <c r="B213" s="111">
        <v>0.7</v>
      </c>
      <c r="C213" s="96">
        <v>30</v>
      </c>
      <c r="D213" s="112">
        <v>50000</v>
      </c>
      <c r="E213" s="96">
        <f>(0.0254/0.001)*(998*'1'!$F$5+1.2*'1'!$W$23)</f>
        <v>19011.899999999998</v>
      </c>
      <c r="F213" s="96">
        <f>1.3753*(998*'1'!$F$5+1.2*'1'!$W$23)/(998*0.0254^(1/3)*'5'!E213^(1/12))</f>
        <v>1.5438153001352213</v>
      </c>
      <c r="G213" s="96" t="e">
        <f>F213*(1/(1-'2'!AC195))*('2'!AC195/'2'!AJ195)^(1/3)</f>
        <v>#DIV/0!</v>
      </c>
      <c r="H213" s="96" t="e">
        <f>6*998*F213^2/(0.072*(1-'2'!AC195)^2)*('2'!AC195/'2'!AJ195)^(5/3)</f>
        <v>#DIV/0!</v>
      </c>
      <c r="I213" s="96" t="e">
        <f>IF(AND((H213&gt;$C$3), ('2'!AC195&lt;0.11)),(('2'!AJ195^2/'2'!AC195)*'5'!G213)*SQRT(1-('5'!$C$3/H213))*EXP(-'5'!$C$3/H213), 0)</f>
        <v>#DIV/0!</v>
      </c>
      <c r="J213" s="96" t="e">
        <f>IF(('2'!AC195&lt;0.11),'2'!AJ195^2*'5'!G213/(('5'!$C$4^(1/3)-'2'!AC195^(1/3)))*(1-EXP(-$C$2*($C$4^(1/3)*'2'!AC195^(1/3))/('5'!$C$4^(1/3)-'2'!AC195^(1/3)))), 0)</f>
        <v>#DIV/0!</v>
      </c>
      <c r="K213" s="96"/>
      <c r="L213" s="111"/>
      <c r="M213" s="96"/>
      <c r="N213" s="96"/>
      <c r="O213" s="96"/>
      <c r="P213" s="112"/>
    </row>
    <row r="214" spans="1:16" x14ac:dyDescent="0.25">
      <c r="A214" s="111">
        <f t="shared" si="17"/>
        <v>0.6</v>
      </c>
      <c r="B214" s="111">
        <v>0.6</v>
      </c>
      <c r="C214" s="96">
        <v>30</v>
      </c>
      <c r="D214" s="112">
        <v>50000</v>
      </c>
      <c r="E214" s="96">
        <f>(0.0254/0.001)*(998*'1'!$F$5+1.2*'1'!$W$23)</f>
        <v>19011.899999999998</v>
      </c>
      <c r="F214" s="96">
        <f>1.3753*(998*'1'!$F$5+1.2*'1'!$W$23)/(998*0.0254^(1/3)*'5'!E214^(1/12))</f>
        <v>1.5438153001352213</v>
      </c>
      <c r="G214" s="96" t="e">
        <f>F214*(1/(1-'2'!AC196))*('2'!AC196/'2'!AJ196)^(1/3)</f>
        <v>#DIV/0!</v>
      </c>
      <c r="H214" s="96" t="e">
        <f>6*998*F214^2/(0.072*(1-'2'!AC196)^2)*('2'!AC196/'2'!AJ196)^(5/3)</f>
        <v>#DIV/0!</v>
      </c>
      <c r="I214" s="96" t="e">
        <f>IF(AND((H214&gt;$C$3), ('2'!AC196&lt;0.11)),(('2'!AJ196^2/'2'!AC196)*'5'!G214)*SQRT(1-('5'!$C$3/H214))*EXP(-'5'!$C$3/H214), 0)</f>
        <v>#DIV/0!</v>
      </c>
      <c r="J214" s="96" t="e">
        <f>IF(('2'!AC196&lt;0.11),'2'!AJ196^2*'5'!G214/(('5'!$C$4^(1/3)-'2'!AC196^(1/3)))*(1-EXP(-$C$2*($C$4^(1/3)*'2'!AC196^(1/3))/('5'!$C$4^(1/3)-'2'!AC196^(1/3)))), 0)</f>
        <v>#DIV/0!</v>
      </c>
      <c r="K214" s="96"/>
      <c r="L214" s="111"/>
      <c r="M214" s="96"/>
      <c r="N214" s="96"/>
      <c r="O214" s="96"/>
      <c r="P214" s="112"/>
    </row>
    <row r="215" spans="1:16" x14ac:dyDescent="0.25">
      <c r="A215" s="111">
        <f t="shared" si="17"/>
        <v>0.5</v>
      </c>
      <c r="B215" s="111">
        <v>0.5</v>
      </c>
      <c r="C215" s="96">
        <v>30</v>
      </c>
      <c r="D215" s="112">
        <v>50000</v>
      </c>
      <c r="E215" s="96">
        <f>(0.0254/0.001)*(998*'1'!$F$5+1.2*'1'!$W$23)</f>
        <v>19011.899999999998</v>
      </c>
      <c r="F215" s="96">
        <f>1.3753*(998*'1'!$F$5+1.2*'1'!$W$23)/(998*0.0254^(1/3)*'5'!E215^(1/12))</f>
        <v>1.5438153001352213</v>
      </c>
      <c r="G215" s="96" t="e">
        <f>F215*(1/(1-'2'!AC197))*('2'!AC197/'2'!AJ197)^(1/3)</f>
        <v>#DIV/0!</v>
      </c>
      <c r="H215" s="96" t="e">
        <f>6*998*F215^2/(0.072*(1-'2'!AC197)^2)*('2'!AC197/'2'!AJ197)^(5/3)</f>
        <v>#DIV/0!</v>
      </c>
      <c r="I215" s="96" t="e">
        <f>IF(AND((H215&gt;$C$3), ('2'!AC197&lt;0.11)),(('2'!AJ197^2/'2'!AC197)*'5'!G215)*SQRT(1-('5'!$C$3/H215))*EXP(-'5'!$C$3/H215), 0)</f>
        <v>#DIV/0!</v>
      </c>
      <c r="J215" s="96" t="e">
        <f>IF(('2'!AC197&lt;0.11),'2'!AJ197^2*'5'!G215/(('5'!$C$4^(1/3)-'2'!AC197^(1/3)))*(1-EXP(-$C$2*($C$4^(1/3)*'2'!AC197^(1/3))/('5'!$C$4^(1/3)-'2'!AC197^(1/3)))), 0)</f>
        <v>#DIV/0!</v>
      </c>
      <c r="K215" s="96"/>
      <c r="L215" s="111"/>
      <c r="M215" s="96"/>
      <c r="N215" s="96"/>
      <c r="O215" s="96"/>
      <c r="P215" s="112"/>
    </row>
    <row r="216" spans="1:16" x14ac:dyDescent="0.25">
      <c r="A216" s="111">
        <f t="shared" si="17"/>
        <v>0.4</v>
      </c>
      <c r="B216" s="111">
        <v>0.4</v>
      </c>
      <c r="C216" s="96">
        <v>30</v>
      </c>
      <c r="D216" s="112">
        <v>50000</v>
      </c>
      <c r="E216" s="96">
        <f>(0.0254/0.001)*(998*'1'!$F$5+1.2*'1'!$W$23)</f>
        <v>19011.899999999998</v>
      </c>
      <c r="F216" s="96">
        <f>1.3753*(998*'1'!$F$5+1.2*'1'!$W$23)/(998*0.0254^(1/3)*'5'!E216^(1/12))</f>
        <v>1.5438153001352213</v>
      </c>
      <c r="G216" s="96" t="e">
        <f>F216*(1/(1-'2'!AC198))*('2'!AC198/'2'!AJ198)^(1/3)</f>
        <v>#DIV/0!</v>
      </c>
      <c r="H216" s="96" t="e">
        <f>6*998*F216^2/(0.072*(1-'2'!AC198)^2)*('2'!AC198/'2'!AJ198)^(5/3)</f>
        <v>#DIV/0!</v>
      </c>
      <c r="I216" s="96" t="e">
        <f>IF(AND((H216&gt;$C$3), ('2'!AC198&lt;0.11)),(('2'!AJ198^2/'2'!AC198)*'5'!G216)*SQRT(1-('5'!$C$3/H216))*EXP(-'5'!$C$3/H216), 0)</f>
        <v>#DIV/0!</v>
      </c>
      <c r="J216" s="96" t="e">
        <f>IF(('2'!AC198&lt;0.11),'2'!AJ198^2*'5'!G216/(('5'!$C$4^(1/3)-'2'!AC198^(1/3)))*(1-EXP(-$C$2*($C$4^(1/3)*'2'!AC198^(1/3))/('5'!$C$4^(1/3)-'2'!AC198^(1/3)))), 0)</f>
        <v>#DIV/0!</v>
      </c>
      <c r="K216" s="96"/>
      <c r="L216" s="111"/>
      <c r="M216" s="96"/>
      <c r="N216" s="96"/>
      <c r="O216" s="96"/>
      <c r="P216" s="112"/>
    </row>
    <row r="217" spans="1:16" x14ac:dyDescent="0.25">
      <c r="A217" s="111">
        <f t="shared" si="17"/>
        <v>0.3</v>
      </c>
      <c r="B217" s="111">
        <v>0.3</v>
      </c>
      <c r="C217" s="96">
        <v>30</v>
      </c>
      <c r="D217" s="112">
        <v>50000</v>
      </c>
      <c r="E217" s="96">
        <f>(0.0254/0.001)*(998*'1'!$F$5+1.2*'1'!$W$23)</f>
        <v>19011.899999999998</v>
      </c>
      <c r="F217" s="96">
        <f>1.3753*(998*'1'!$F$5+1.2*'1'!$W$23)/(998*0.0254^(1/3)*'5'!E217^(1/12))</f>
        <v>1.5438153001352213</v>
      </c>
      <c r="G217" s="96" t="e">
        <f>F217*(1/(1-'2'!AC199))*('2'!AC199/'2'!AJ199)^(1/3)</f>
        <v>#DIV/0!</v>
      </c>
      <c r="H217" s="96" t="e">
        <f>6*998*F217^2/(0.072*(1-'2'!AC199)^2)*('2'!AC199/'2'!AJ199)^(5/3)</f>
        <v>#DIV/0!</v>
      </c>
      <c r="I217" s="96" t="e">
        <f>IF(AND((H217&gt;$C$3), ('2'!AC199&lt;0.11)),(('2'!AJ199^2/'2'!AC199)*'5'!G217)*SQRT(1-('5'!$C$3/H217))*EXP(-'5'!$C$3/H217), 0)</f>
        <v>#DIV/0!</v>
      </c>
      <c r="J217" s="96" t="e">
        <f>IF(('2'!AC199&lt;0.11),'2'!AJ199^2*'5'!G217/(('5'!$C$4^(1/3)-'2'!AC199^(1/3)))*(1-EXP(-$C$2*($C$4^(1/3)*'2'!AC199^(1/3))/('5'!$C$4^(1/3)-'2'!AC199^(1/3)))), 0)</f>
        <v>#DIV/0!</v>
      </c>
      <c r="K217" s="96"/>
      <c r="L217" s="111"/>
      <c r="M217" s="96"/>
      <c r="N217" s="96"/>
      <c r="O217" s="96"/>
      <c r="P217" s="112"/>
    </row>
    <row r="218" spans="1:16" x14ac:dyDescent="0.25">
      <c r="A218" s="111">
        <f t="shared" si="17"/>
        <v>0.2</v>
      </c>
      <c r="B218" s="111">
        <v>0.2</v>
      </c>
      <c r="C218" s="96">
        <v>30</v>
      </c>
      <c r="D218" s="112">
        <v>50000</v>
      </c>
      <c r="E218" s="96">
        <f>(0.0254/0.001)*(998*'1'!$F$5+1.2*'1'!$W$23)</f>
        <v>19011.899999999998</v>
      </c>
      <c r="F218" s="96">
        <f>1.3753*(998*'1'!$F$5+1.2*'1'!$W$23)/(998*0.0254^(1/3)*'5'!E218^(1/12))</f>
        <v>1.5438153001352213</v>
      </c>
      <c r="G218" s="96" t="e">
        <f>F218*(1/(1-'2'!AC200))*('2'!AC200/'2'!AJ200)^(1/3)</f>
        <v>#DIV/0!</v>
      </c>
      <c r="H218" s="96" t="e">
        <f>6*998*F218^2/(0.072*(1-'2'!AC200)^2)*('2'!AC200/'2'!AJ200)^(5/3)</f>
        <v>#DIV/0!</v>
      </c>
      <c r="I218" s="96" t="e">
        <f>IF(AND((H218&gt;$C$3), ('2'!AC200&lt;0.11)),(('2'!AJ200^2/'2'!AC200)*'5'!G218)*SQRT(1-('5'!$C$3/H218))*EXP(-'5'!$C$3/H218), 0)</f>
        <v>#DIV/0!</v>
      </c>
      <c r="J218" s="96" t="e">
        <f>IF(('2'!AC200&lt;0.11),'2'!AJ200^2*'5'!G218/(('5'!$C$4^(1/3)-'2'!AC200^(1/3)))*(1-EXP(-$C$2*($C$4^(1/3)*'2'!AC200^(1/3))/('5'!$C$4^(1/3)-'2'!AC200^(1/3)))), 0)</f>
        <v>#DIV/0!</v>
      </c>
      <c r="K218" s="96"/>
      <c r="L218" s="111"/>
      <c r="M218" s="96"/>
      <c r="N218" s="96"/>
      <c r="O218" s="96"/>
      <c r="P218" s="112"/>
    </row>
    <row r="219" spans="1:16" ht="15.75" thickBot="1" x14ac:dyDescent="0.3">
      <c r="A219" s="111">
        <f t="shared" si="17"/>
        <v>0.1</v>
      </c>
      <c r="B219" s="111">
        <v>0.1</v>
      </c>
      <c r="C219" s="96">
        <v>30</v>
      </c>
      <c r="D219" s="112">
        <v>50000</v>
      </c>
      <c r="E219" s="96">
        <f>(0.0254/0.001)*(998*'1'!$F$5+1.2*'1'!$W$23)</f>
        <v>19011.899999999998</v>
      </c>
      <c r="F219" s="96">
        <f>1.3753*(998*'1'!$F$5+1.2*'1'!$W$23)/(998*0.0254^(1/3)*'5'!E219^(1/12))</f>
        <v>1.5438153001352213</v>
      </c>
      <c r="G219" s="96" t="e">
        <f>F219*(1/(1-'2'!AC201))*('2'!AC201/'2'!AJ201)^(1/3)</f>
        <v>#DIV/0!</v>
      </c>
      <c r="H219" s="96" t="e">
        <f>6*998*F219^2/(0.072*(1-'2'!AC201)^2)*('2'!AC201/'2'!AJ201)^(5/3)</f>
        <v>#DIV/0!</v>
      </c>
      <c r="I219" s="96" t="e">
        <f>IF(AND((H219&gt;$C$3), ('2'!AC201&lt;0.11)),(('2'!AJ201^2/'2'!AC201)*'5'!G219)*SQRT(1-('5'!$C$3/H219))*EXP(-'5'!$C$3/H219), 0)</f>
        <v>#DIV/0!</v>
      </c>
      <c r="J219" s="96" t="e">
        <f>IF(('2'!AC201&lt;0.11),'2'!AJ201^2*'5'!G219/(('5'!$C$4^(1/3)-'2'!AC201^(1/3)))*(1-EXP(-$C$2*($C$4^(1/3)*'2'!AC201^(1/3))/('5'!$C$4^(1/3)-'2'!AC201^(1/3)))), 0)</f>
        <v>#DIV/0!</v>
      </c>
      <c r="K219" s="96"/>
      <c r="L219" s="111"/>
      <c r="M219" s="96"/>
      <c r="N219" s="96"/>
      <c r="O219" s="96"/>
      <c r="P219" s="112"/>
    </row>
    <row r="220" spans="1:16" ht="15.75" thickBot="1" x14ac:dyDescent="0.3">
      <c r="A220" s="36">
        <f t="shared" ref="A220:A228" si="18">-B220</f>
        <v>0</v>
      </c>
      <c r="B220" s="117">
        <v>0</v>
      </c>
      <c r="C220" s="118">
        <v>30</v>
      </c>
      <c r="D220" s="144">
        <v>50000</v>
      </c>
      <c r="E220" s="96">
        <f>(0.0254/0.001)*(998*'1'!$F$5+1.2*'1'!$W$23)</f>
        <v>19011.899999999998</v>
      </c>
      <c r="F220" s="96">
        <f>1.3753*(998*'1'!$F$5+1.2*'1'!$W$23)/(998*0.0254^(1/3)*'5'!E220^(1/12))</f>
        <v>1.5438153001352213</v>
      </c>
      <c r="G220" s="96" t="e">
        <f>F220*(1/(1-'2'!AC202))*('2'!AC202/'2'!AJ202)^(1/3)</f>
        <v>#DIV/0!</v>
      </c>
      <c r="H220" s="96" t="e">
        <f>6*998*F220^2/(0.072*(1-'2'!AC202)^2)*('2'!AC202/'2'!AJ202)^(5/3)</f>
        <v>#DIV/0!</v>
      </c>
      <c r="I220" s="96" t="e">
        <f>IF(AND((H220&gt;$C$3), ('2'!AC202&lt;0.11)),(('2'!AJ202^2/'2'!AC202)*'5'!G220)*SQRT(1-('5'!$C$3/H220))*EXP(-'5'!$C$3/H220), 0)</f>
        <v>#DIV/0!</v>
      </c>
      <c r="J220" s="96" t="e">
        <f>IF(('2'!AC202&lt;0.11),'2'!AJ202^2*'5'!G220/(('5'!$C$4^(1/3)-'2'!AC202^(1/3)))*(1-EXP(-$C$2*($C$4^(1/3)*'2'!AC202^(1/3))/('5'!$C$4^(1/3)-'2'!AC202^(1/3)))), 0)</f>
        <v>#DIV/0!</v>
      </c>
      <c r="K220" s="118"/>
      <c r="L220" s="117"/>
      <c r="M220" s="118"/>
      <c r="N220" s="118"/>
      <c r="O220" s="118"/>
      <c r="P220" s="144"/>
    </row>
    <row r="221" spans="1:16" x14ac:dyDescent="0.25">
      <c r="A221" s="147">
        <f t="shared" si="18"/>
        <v>-0.1</v>
      </c>
      <c r="B221" s="110">
        <v>0.1</v>
      </c>
      <c r="C221" s="110">
        <v>30</v>
      </c>
      <c r="D221" s="115">
        <v>50000</v>
      </c>
      <c r="E221" s="96">
        <f>(0.0254/0.001)*(998*'1'!$F$5+1.2*'1'!$W$23)</f>
        <v>19011.899999999998</v>
      </c>
      <c r="F221" s="96">
        <f>1.3753*(998*'1'!$F$5+1.2*'1'!$W$23)/(998*0.0254^(1/3)*'5'!E221^(1/12))</f>
        <v>1.5438153001352213</v>
      </c>
      <c r="G221" s="96" t="e">
        <f>F221*(1/(1-'2'!AC203))*('2'!AC203/'2'!AJ203)^(1/3)</f>
        <v>#DIV/0!</v>
      </c>
      <c r="H221" s="96" t="e">
        <f>6*998*F221^2/(0.072*(1-'2'!AC203)^2)*('2'!AC203/'2'!AJ203)^(5/3)</f>
        <v>#DIV/0!</v>
      </c>
      <c r="I221" s="96" t="e">
        <f>IF(AND((H221&gt;$C$3), ('2'!AC203&lt;0.11)),(('2'!AJ203^2/'2'!AC203)*'5'!G221)*SQRT(1-('5'!$C$3/H221))*EXP(-'5'!$C$3/H221), 0)</f>
        <v>#DIV/0!</v>
      </c>
      <c r="J221" s="96" t="e">
        <f>IF(('2'!AC203&lt;0.11),'2'!AJ203^2*'5'!G221/(('5'!$C$4^(1/3)-'2'!AC203^(1/3)))*(1-EXP(-$C$2*($C$4^(1/3)*'2'!AC203^(1/3))/('5'!$C$4^(1/3)-'2'!AC203^(1/3)))), 0)</f>
        <v>#DIV/0!</v>
      </c>
      <c r="K221" s="109"/>
      <c r="L221" s="114"/>
      <c r="M221" s="110"/>
      <c r="N221" s="110"/>
      <c r="O221" s="110"/>
      <c r="P221" s="115"/>
    </row>
    <row r="222" spans="1:16" x14ac:dyDescent="0.25">
      <c r="A222" s="147">
        <f t="shared" si="18"/>
        <v>-0.2</v>
      </c>
      <c r="B222" s="110">
        <v>0.2</v>
      </c>
      <c r="C222" s="110">
        <v>30</v>
      </c>
      <c r="D222" s="115">
        <v>50000</v>
      </c>
      <c r="E222" s="96">
        <f>(0.0254/0.001)*(998*'1'!$F$5+1.2*'1'!$W$23)</f>
        <v>19011.899999999998</v>
      </c>
      <c r="F222" s="96">
        <f>1.3753*(998*'1'!$F$5+1.2*'1'!$W$23)/(998*0.0254^(1/3)*'5'!E222^(1/12))</f>
        <v>1.5438153001352213</v>
      </c>
      <c r="G222" s="96" t="e">
        <f>F222*(1/(1-'2'!AC204))*('2'!AC204/'2'!AJ204)^(1/3)</f>
        <v>#DIV/0!</v>
      </c>
      <c r="H222" s="96" t="e">
        <f>6*998*F222^2/(0.072*(1-'2'!AC204)^2)*('2'!AC204/'2'!AJ204)^(5/3)</f>
        <v>#DIV/0!</v>
      </c>
      <c r="I222" s="96" t="e">
        <f>IF(AND((H222&gt;$C$3), ('2'!AC204&lt;0.11)),(('2'!AJ204^2/'2'!AC204)*'5'!G222)*SQRT(1-('5'!$C$3/H222))*EXP(-'5'!$C$3/H222), 0)</f>
        <v>#DIV/0!</v>
      </c>
      <c r="J222" s="96" t="e">
        <f>IF(('2'!AC204&lt;0.11),'2'!AJ204^2*'5'!G222/(('5'!$C$4^(1/3)-'2'!AC204^(1/3)))*(1-EXP(-$C$2*($C$4^(1/3)*'2'!AC204^(1/3))/('5'!$C$4^(1/3)-'2'!AC204^(1/3)))), 0)</f>
        <v>#DIV/0!</v>
      </c>
      <c r="K222" s="109"/>
      <c r="L222" s="114"/>
      <c r="M222" s="110"/>
      <c r="N222" s="110"/>
      <c r="O222" s="110"/>
      <c r="P222" s="115"/>
    </row>
    <row r="223" spans="1:16" x14ac:dyDescent="0.25">
      <c r="A223" s="147">
        <f t="shared" si="18"/>
        <v>-0.3</v>
      </c>
      <c r="B223" s="110">
        <v>0.3</v>
      </c>
      <c r="C223" s="110">
        <v>30</v>
      </c>
      <c r="D223" s="115">
        <v>50000</v>
      </c>
      <c r="E223" s="96">
        <f>(0.0254/0.001)*(998*'1'!$F$5+1.2*'1'!$W$23)</f>
        <v>19011.899999999998</v>
      </c>
      <c r="F223" s="96">
        <f>1.3753*(998*'1'!$F$5+1.2*'1'!$W$23)/(998*0.0254^(1/3)*'5'!E223^(1/12))</f>
        <v>1.5438153001352213</v>
      </c>
      <c r="G223" s="96" t="e">
        <f>F223*(1/(1-'2'!AC205))*('2'!AC205/'2'!AJ205)^(1/3)</f>
        <v>#DIV/0!</v>
      </c>
      <c r="H223" s="96" t="e">
        <f>6*998*F223^2/(0.072*(1-'2'!AC205)^2)*('2'!AC205/'2'!AJ205)^(5/3)</f>
        <v>#DIV/0!</v>
      </c>
      <c r="I223" s="96" t="e">
        <f>IF(AND((H223&gt;$C$3), ('2'!AC205&lt;0.11)),(('2'!AJ205^2/'2'!AC205)*'5'!G223)*SQRT(1-('5'!$C$3/H223))*EXP(-'5'!$C$3/H223), 0)</f>
        <v>#DIV/0!</v>
      </c>
      <c r="J223" s="96" t="e">
        <f>IF(('2'!AC205&lt;0.11),'2'!AJ205^2*'5'!G223/(('5'!$C$4^(1/3)-'2'!AC205^(1/3)))*(1-EXP(-$C$2*($C$4^(1/3)*'2'!AC205^(1/3))/('5'!$C$4^(1/3)-'2'!AC205^(1/3)))), 0)</f>
        <v>#DIV/0!</v>
      </c>
      <c r="K223" s="109"/>
      <c r="L223" s="114"/>
      <c r="M223" s="110"/>
      <c r="N223" s="110"/>
      <c r="O223" s="110"/>
      <c r="P223" s="115"/>
    </row>
    <row r="224" spans="1:16" x14ac:dyDescent="0.25">
      <c r="A224" s="147">
        <f t="shared" si="18"/>
        <v>-0.4</v>
      </c>
      <c r="B224" s="110">
        <v>0.4</v>
      </c>
      <c r="C224" s="110">
        <v>30</v>
      </c>
      <c r="D224" s="115">
        <v>50000</v>
      </c>
      <c r="E224" s="96">
        <f>(0.0254/0.001)*(998*'1'!$F$5+1.2*'1'!$W$23)</f>
        <v>19011.899999999998</v>
      </c>
      <c r="F224" s="96">
        <f>1.3753*(998*'1'!$F$5+1.2*'1'!$W$23)/(998*0.0254^(1/3)*'5'!E224^(1/12))</f>
        <v>1.5438153001352213</v>
      </c>
      <c r="G224" s="96" t="e">
        <f>F224*(1/(1-'2'!AC206))*('2'!AC206/'2'!AJ206)^(1/3)</f>
        <v>#DIV/0!</v>
      </c>
      <c r="H224" s="96" t="e">
        <f>6*998*F224^2/(0.072*(1-'2'!AC206)^2)*('2'!AC206/'2'!AJ206)^(5/3)</f>
        <v>#DIV/0!</v>
      </c>
      <c r="I224" s="96" t="e">
        <f>IF(AND((H224&gt;$C$3), ('2'!AC206&lt;0.11)),(('2'!AJ206^2/'2'!AC206)*'5'!G224)*SQRT(1-('5'!$C$3/H224))*EXP(-'5'!$C$3/H224), 0)</f>
        <v>#DIV/0!</v>
      </c>
      <c r="J224" s="96" t="e">
        <f>IF(('2'!AC206&lt;0.11),'2'!AJ206^2*'5'!G224/(('5'!$C$4^(1/3)-'2'!AC206^(1/3)))*(1-EXP(-$C$2*($C$4^(1/3)*'2'!AC206^(1/3))/('5'!$C$4^(1/3)-'2'!AC206^(1/3)))), 0)</f>
        <v>#DIV/0!</v>
      </c>
      <c r="K224" s="109"/>
      <c r="L224" s="114"/>
      <c r="M224" s="110"/>
      <c r="N224" s="110"/>
      <c r="O224" s="110"/>
      <c r="P224" s="115"/>
    </row>
    <row r="225" spans="1:16" x14ac:dyDescent="0.25">
      <c r="A225" s="147">
        <f t="shared" si="18"/>
        <v>-0.5</v>
      </c>
      <c r="B225" s="110">
        <v>0.5</v>
      </c>
      <c r="C225" s="110">
        <v>30</v>
      </c>
      <c r="D225" s="115">
        <v>50000</v>
      </c>
      <c r="E225" s="96">
        <f>(0.0254/0.001)*(998*'1'!$F$5+1.2*'1'!$W$23)</f>
        <v>19011.899999999998</v>
      </c>
      <c r="F225" s="96">
        <f>1.3753*(998*'1'!$F$5+1.2*'1'!$W$23)/(998*0.0254^(1/3)*'5'!E225^(1/12))</f>
        <v>1.5438153001352213</v>
      </c>
      <c r="G225" s="96" t="e">
        <f>F225*(1/(1-'2'!AC207))*('2'!AC207/'2'!AJ207)^(1/3)</f>
        <v>#DIV/0!</v>
      </c>
      <c r="H225" s="96" t="e">
        <f>6*998*F225^2/(0.072*(1-'2'!AC207)^2)*('2'!AC207/'2'!AJ207)^(5/3)</f>
        <v>#DIV/0!</v>
      </c>
      <c r="I225" s="96" t="e">
        <f>IF(AND((H225&gt;$C$3), ('2'!AC207&lt;0.11)),(('2'!AJ207^2/'2'!AC207)*'5'!G225)*SQRT(1-('5'!$C$3/H225))*EXP(-'5'!$C$3/H225), 0)</f>
        <v>#DIV/0!</v>
      </c>
      <c r="J225" s="96" t="e">
        <f>IF(('2'!AC207&lt;0.11),'2'!AJ207^2*'5'!G225/(('5'!$C$4^(1/3)-'2'!AC207^(1/3)))*(1-EXP(-$C$2*($C$4^(1/3)*'2'!AC207^(1/3))/('5'!$C$4^(1/3)-'2'!AC207^(1/3)))), 0)</f>
        <v>#DIV/0!</v>
      </c>
      <c r="K225" s="109"/>
      <c r="L225" s="114"/>
      <c r="M225" s="110"/>
      <c r="N225" s="110"/>
      <c r="O225" s="110"/>
      <c r="P225" s="115"/>
    </row>
    <row r="226" spans="1:16" x14ac:dyDescent="0.25">
      <c r="A226" s="147">
        <f t="shared" si="18"/>
        <v>-0.6</v>
      </c>
      <c r="B226" s="110">
        <v>0.6</v>
      </c>
      <c r="C226" s="110">
        <v>30</v>
      </c>
      <c r="D226" s="115">
        <v>50000</v>
      </c>
      <c r="E226" s="96">
        <f>(0.0254/0.001)*(998*'1'!$F$5+1.2*'1'!$W$23)</f>
        <v>19011.899999999998</v>
      </c>
      <c r="F226" s="96">
        <f>1.3753*(998*'1'!$F$5+1.2*'1'!$W$23)/(998*0.0254^(1/3)*'5'!E226^(1/12))</f>
        <v>1.5438153001352213</v>
      </c>
      <c r="G226" s="96" t="e">
        <f>F226*(1/(1-'2'!AC208))*('2'!AC208/'2'!AJ208)^(1/3)</f>
        <v>#DIV/0!</v>
      </c>
      <c r="H226" s="96" t="e">
        <f>6*998*F226^2/(0.072*(1-'2'!AC208)^2)*('2'!AC208/'2'!AJ208)^(5/3)</f>
        <v>#DIV/0!</v>
      </c>
      <c r="I226" s="96" t="e">
        <f>IF(AND((H226&gt;$C$3), ('2'!AC208&lt;0.11)),(('2'!AJ208^2/'2'!AC208)*'5'!G226)*SQRT(1-('5'!$C$3/H226))*EXP(-'5'!$C$3/H226), 0)</f>
        <v>#DIV/0!</v>
      </c>
      <c r="J226" s="96" t="e">
        <f>IF(('2'!AC208&lt;0.11),'2'!AJ208^2*'5'!G226/(('5'!$C$4^(1/3)-'2'!AC208^(1/3)))*(1-EXP(-$C$2*($C$4^(1/3)*'2'!AC208^(1/3))/('5'!$C$4^(1/3)-'2'!AC208^(1/3)))), 0)</f>
        <v>#DIV/0!</v>
      </c>
      <c r="K226" s="109"/>
      <c r="L226" s="114"/>
      <c r="M226" s="110"/>
      <c r="N226" s="110"/>
      <c r="O226" s="110"/>
      <c r="P226" s="115"/>
    </row>
    <row r="227" spans="1:16" x14ac:dyDescent="0.25">
      <c r="A227" s="147">
        <f t="shared" si="18"/>
        <v>-0.7</v>
      </c>
      <c r="B227" s="110">
        <v>0.7</v>
      </c>
      <c r="C227" s="110">
        <v>30</v>
      </c>
      <c r="D227" s="115">
        <v>50000</v>
      </c>
      <c r="E227" s="96">
        <f>(0.0254/0.001)*(998*'1'!$F$5+1.2*'1'!$W$23)</f>
        <v>19011.899999999998</v>
      </c>
      <c r="F227" s="96">
        <f>1.3753*(998*'1'!$F$5+1.2*'1'!$W$23)/(998*0.0254^(1/3)*'5'!E227^(1/12))</f>
        <v>1.5438153001352213</v>
      </c>
      <c r="G227" s="96" t="e">
        <f>F227*(1/(1-'2'!AC209))*('2'!AC209/'2'!AJ209)^(1/3)</f>
        <v>#DIV/0!</v>
      </c>
      <c r="H227" s="96" t="e">
        <f>6*998*F227^2/(0.072*(1-'2'!AC209)^2)*('2'!AC209/'2'!AJ209)^(5/3)</f>
        <v>#DIV/0!</v>
      </c>
      <c r="I227" s="96" t="e">
        <f>IF(AND((H227&gt;$C$3), ('2'!AC209&lt;0.11)),(('2'!AJ209^2/'2'!AC209)*'5'!G227)*SQRT(1-('5'!$C$3/H227))*EXP(-'5'!$C$3/H227), 0)</f>
        <v>#DIV/0!</v>
      </c>
      <c r="J227" s="96" t="e">
        <f>IF(('2'!AC209&lt;0.11),'2'!AJ209^2*'5'!G227/(('5'!$C$4^(1/3)-'2'!AC209^(1/3)))*(1-EXP(-$C$2*($C$4^(1/3)*'2'!AC209^(1/3))/('5'!$C$4^(1/3)-'2'!AC209^(1/3)))), 0)</f>
        <v>#DIV/0!</v>
      </c>
      <c r="K227" s="109"/>
      <c r="L227" s="114"/>
      <c r="M227" s="110"/>
      <c r="N227" s="110"/>
      <c r="O227" s="110"/>
      <c r="P227" s="115"/>
    </row>
    <row r="228" spans="1:16" x14ac:dyDescent="0.25">
      <c r="A228" s="147">
        <f t="shared" si="18"/>
        <v>-0.8</v>
      </c>
      <c r="B228" s="110">
        <v>0.8</v>
      </c>
      <c r="C228" s="110">
        <v>30</v>
      </c>
      <c r="D228" s="115">
        <v>50000</v>
      </c>
      <c r="E228" s="96">
        <f>(0.0254/0.001)*(998*'1'!$F$5+1.2*'1'!$W$23)</f>
        <v>19011.899999999998</v>
      </c>
      <c r="F228" s="96">
        <f>1.3753*(998*'1'!$F$5+1.2*'1'!$W$23)/(998*0.0254^(1/3)*'5'!E228^(1/12))</f>
        <v>1.5438153001352213</v>
      </c>
      <c r="G228" s="96" t="e">
        <f>F228*(1/(1-'2'!AC210))*('2'!AC210/'2'!AJ210)^(1/3)</f>
        <v>#DIV/0!</v>
      </c>
      <c r="H228" s="96" t="e">
        <f>6*998*F228^2/(0.072*(1-'2'!AC210)^2)*('2'!AC210/'2'!AJ210)^(5/3)</f>
        <v>#DIV/0!</v>
      </c>
      <c r="I228" s="96" t="e">
        <f>IF(AND((H228&gt;$C$3), ('2'!AC210&lt;0.11)),(('2'!AJ210^2/'2'!AC210)*'5'!G228)*SQRT(1-('5'!$C$3/H228))*EXP(-'5'!$C$3/H228), 0)</f>
        <v>#DIV/0!</v>
      </c>
      <c r="J228" s="96" t="e">
        <f>IF(('2'!AC210&lt;0.11),'2'!AJ210^2*'5'!G228/(('5'!$C$4^(1/3)-'2'!AC210^(1/3)))*(1-EXP(-$C$2*($C$4^(1/3)*'2'!AC210^(1/3))/('5'!$C$4^(1/3)-'2'!AC210^(1/3)))), 0)</f>
        <v>#DIV/0!</v>
      </c>
      <c r="K228" s="109"/>
      <c r="L228" s="114"/>
      <c r="M228" s="110"/>
      <c r="N228" s="110"/>
      <c r="O228" s="110"/>
      <c r="P228" s="115"/>
    </row>
    <row r="229" spans="1:16" x14ac:dyDescent="0.25">
      <c r="A229" s="147">
        <f>-B229</f>
        <v>-0.85</v>
      </c>
      <c r="B229" s="110">
        <v>0.85</v>
      </c>
      <c r="C229" s="110">
        <v>30</v>
      </c>
      <c r="D229" s="115">
        <v>50000</v>
      </c>
      <c r="E229" s="96">
        <f>(0.0254/0.001)*(998*'1'!$F$5+1.2*'1'!$W$23)</f>
        <v>19011.899999999998</v>
      </c>
      <c r="F229" s="96">
        <f>1.3753*(998*'1'!$F$5+1.2*'1'!$W$23)/(998*0.0254^(1/3)*'5'!E229^(1/12))</f>
        <v>1.5438153001352213</v>
      </c>
      <c r="G229" s="96"/>
      <c r="H229" s="96"/>
      <c r="I229" s="96" t="e">
        <f>IF(AND((H229&gt;$C$3), ('2'!#REF!&lt;0.11)),(('2'!#REF!^2/'2'!#REF!)*'5'!G229)*SQRT(1-('5'!$C$3/H229))*EXP(-'5'!$C$3/H229), 0)</f>
        <v>#REF!</v>
      </c>
      <c r="J229" s="96"/>
      <c r="K229" s="109"/>
      <c r="L229" s="114"/>
      <c r="M229" s="110"/>
      <c r="N229" s="110"/>
      <c r="O229" s="110"/>
      <c r="P229" s="115"/>
    </row>
    <row r="230" spans="1:16" x14ac:dyDescent="0.25">
      <c r="A230" s="147">
        <f t="shared" ref="A230:A232" si="19">-B230</f>
        <v>-0.9</v>
      </c>
      <c r="B230" s="110">
        <v>0.9</v>
      </c>
      <c r="C230" s="110">
        <v>30</v>
      </c>
      <c r="D230" s="115">
        <v>50000</v>
      </c>
      <c r="E230" s="96">
        <f>(0.0254/0.001)*(998*'1'!$F$5+1.2*'1'!$W$23)</f>
        <v>19011.899999999998</v>
      </c>
      <c r="F230" s="96">
        <f>1.3753*(998*'1'!$F$5+1.2*'1'!$W$23)/(998*0.0254^(1/3)*'5'!E230^(1/12))</f>
        <v>1.5438153001352213</v>
      </c>
      <c r="G230" s="96" t="e">
        <f>F230*(1/(1-'2'!AC211))*('2'!AC211/'2'!AJ211)^(1/3)</f>
        <v>#DIV/0!</v>
      </c>
      <c r="H230" s="96" t="e">
        <f>6*998*F230^2/(0.072*(1-'2'!AC211)^2)*('2'!AC211/'2'!AJ211)^(5/3)</f>
        <v>#DIV/0!</v>
      </c>
      <c r="I230" s="96" t="e">
        <f>IF(AND((H230&gt;$C$3), ('2'!AC211&lt;0.11)),(('2'!AJ211^2/'2'!AC211)*'5'!G230)*SQRT(1-('5'!$C$3/H230))*EXP(-'5'!$C$3/H230), 0)</f>
        <v>#DIV/0!</v>
      </c>
      <c r="J230" s="96" t="e">
        <f>IF(('2'!AC211&lt;0.11),'2'!AJ211^2*'5'!G230/(('5'!$C$4^(1/3)-'2'!AC211^(1/3)))*(1-EXP(-$C$2*($C$4^(1/3)*'2'!AC211^(1/3))/('5'!$C$4^(1/3)-'2'!AC211^(1/3)))), 0)</f>
        <v>#DIV/0!</v>
      </c>
      <c r="K230" s="109"/>
      <c r="L230" s="114"/>
      <c r="M230" s="110"/>
      <c r="N230" s="110"/>
      <c r="O230" s="110"/>
      <c r="P230" s="115"/>
    </row>
    <row r="231" spans="1:16" x14ac:dyDescent="0.25">
      <c r="A231" s="147">
        <f t="shared" si="19"/>
        <v>-0.95</v>
      </c>
      <c r="B231" s="96">
        <v>0.95</v>
      </c>
      <c r="C231" s="110">
        <v>30</v>
      </c>
      <c r="D231" s="115">
        <v>50000</v>
      </c>
      <c r="E231" s="96">
        <f>(0.0254/0.001)*(998*'1'!$F$5+1.2*'1'!$W$23)</f>
        <v>19011.899999999998</v>
      </c>
      <c r="F231" s="96">
        <f>1.3753*(998*'1'!$F$5+1.2*'1'!$W$23)/(998*0.0254^(1/3)*'5'!E231^(1/12))</f>
        <v>1.5438153001352213</v>
      </c>
      <c r="G231" s="96"/>
      <c r="H231" s="96"/>
      <c r="I231" s="96" t="e">
        <f>IF(AND((H231&gt;$C$3), ('2'!#REF!&lt;0.11)),(('2'!#REF!^2/'2'!#REF!)*'5'!G231)*SQRT(1-('5'!$C$3/H231))*EXP(-'5'!$C$3/H231), 0)</f>
        <v>#REF!</v>
      </c>
      <c r="J231" s="110"/>
      <c r="K231" s="109"/>
      <c r="L231" s="114"/>
      <c r="M231" s="110"/>
      <c r="N231" s="110"/>
      <c r="O231" s="110"/>
      <c r="P231" s="115"/>
    </row>
    <row r="232" spans="1:16" ht="15.75" thickBot="1" x14ac:dyDescent="0.3">
      <c r="A232" s="147">
        <f t="shared" si="19"/>
        <v>-1</v>
      </c>
      <c r="B232" s="110">
        <v>1</v>
      </c>
      <c r="C232" s="110"/>
      <c r="D232" s="115"/>
      <c r="E232" s="96">
        <f>(0.0254/0.001)*(998*'1'!$F$5+1.2*'1'!$W$23)</f>
        <v>19011.899999999998</v>
      </c>
      <c r="F232" s="96">
        <f>1.3753*(998*'1'!$F$5+1.2*'1'!$W$23)/(998*0.0254^(1/3)*'5'!E232^(1/12))</f>
        <v>1.5438153001352213</v>
      </c>
      <c r="G232" s="96"/>
      <c r="H232" s="110"/>
      <c r="I232" s="96">
        <f>IF(AND((H232&gt;$C$3), ('2'!AC212&lt;0.11)),(('2'!AJ212^2/'2'!AC212)*'5'!G232)*SQRT(1-('5'!$C$3/H232))*EXP(-'5'!$C$3/H232), 0)</f>
        <v>0</v>
      </c>
      <c r="J232" s="110"/>
      <c r="K232" s="109"/>
      <c r="L232" s="114"/>
      <c r="M232" s="110"/>
      <c r="N232" s="110"/>
      <c r="O232" s="110"/>
      <c r="P232" s="115"/>
    </row>
    <row r="233" spans="1:16" ht="30.75" thickBot="1" x14ac:dyDescent="0.3">
      <c r="A233" s="233" t="s">
        <v>55</v>
      </c>
      <c r="B233" s="234"/>
      <c r="C233" s="235"/>
      <c r="D233" s="39" t="s">
        <v>54</v>
      </c>
      <c r="E233" s="38">
        <f>0.1/3*($B208*E208+4*$B210*E210+2*$B212*E212+4*$B213*E213+2*$B214*E214+4*$B215*E215+2*$B216*E216+4*$B217*E217+2*$B218*E218+4*$B219*E219+2*$B220*E220+4*$B221*E221+1*$B222*E222)+0.2/3*($B222*E222+4*$B224*E224+2*$B226*E226+4*$B228*E228+$B232*E232)</f>
        <v>19011.899999999998</v>
      </c>
      <c r="F233" s="38">
        <f t="shared" ref="F233:K233" si="20">0.1/3*($B208*F208+4*$B210*F210+2*$B212*F212+4*$B213*F213+2*$B214*F214+4*$B215*F215+2*$B216*F216+4*$B217*F217+2*$B218*F218+4*$B219*F219+2*$B220*F220+4*$B221*F221+1*$B222*F222)+0.2/3*($B222*F222+4*$B224*F224+2*$B226*F226+4*$B228*F228+$B232*F232)</f>
        <v>1.5438153001352211</v>
      </c>
      <c r="G233" s="38" t="e">
        <f t="shared" si="20"/>
        <v>#DIV/0!</v>
      </c>
      <c r="H233" s="38" t="e">
        <f t="shared" si="20"/>
        <v>#DIV/0!</v>
      </c>
      <c r="I233" s="38" t="e">
        <f t="shared" si="20"/>
        <v>#DIV/0!</v>
      </c>
      <c r="J233" s="38" t="e">
        <f t="shared" si="20"/>
        <v>#DIV/0!</v>
      </c>
      <c r="K233" s="38">
        <f t="shared" si="20"/>
        <v>0</v>
      </c>
      <c r="L233" s="38"/>
      <c r="M233" s="38"/>
      <c r="N233" s="38"/>
      <c r="O233" s="38"/>
      <c r="P233" s="38"/>
    </row>
  </sheetData>
  <mergeCells count="35">
    <mergeCell ref="L6:P6"/>
    <mergeCell ref="A6:A7"/>
    <mergeCell ref="B6:B7"/>
    <mergeCell ref="C6:C7"/>
    <mergeCell ref="D6:D7"/>
    <mergeCell ref="E6:K6"/>
    <mergeCell ref="A33:C33"/>
    <mergeCell ref="A55:A56"/>
    <mergeCell ref="B55:B56"/>
    <mergeCell ref="C55:C56"/>
    <mergeCell ref="D55:D56"/>
    <mergeCell ref="L55:P55"/>
    <mergeCell ref="A82:C82"/>
    <mergeCell ref="A106:A107"/>
    <mergeCell ref="B106:B107"/>
    <mergeCell ref="C106:C107"/>
    <mergeCell ref="D106:D107"/>
    <mergeCell ref="E106:K106"/>
    <mergeCell ref="L106:P106"/>
    <mergeCell ref="E55:K55"/>
    <mergeCell ref="A133:C133"/>
    <mergeCell ref="A155:A156"/>
    <mergeCell ref="B155:B156"/>
    <mergeCell ref="C155:C156"/>
    <mergeCell ref="D155:D156"/>
    <mergeCell ref="A233:C233"/>
    <mergeCell ref="L155:P155"/>
    <mergeCell ref="A182:C182"/>
    <mergeCell ref="A206:A207"/>
    <mergeCell ref="B206:B207"/>
    <mergeCell ref="C206:C207"/>
    <mergeCell ref="D206:D207"/>
    <mergeCell ref="E206:K206"/>
    <mergeCell ref="L206:P206"/>
    <mergeCell ref="E155:K15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E92D5-481F-4FBC-AF38-F2A67A760FC7}">
  <sheetPr codeName="Sheet6"/>
  <dimension ref="A5:BD217"/>
  <sheetViews>
    <sheetView zoomScale="80" zoomScaleNormal="80" workbookViewId="0">
      <selection activeCell="A205" sqref="A205:A216"/>
    </sheetView>
  </sheetViews>
  <sheetFormatPr defaultRowHeight="15" x14ac:dyDescent="0.25"/>
  <sheetData>
    <row r="5" spans="1:56" ht="15.75" thickBot="1" x14ac:dyDescent="0.3">
      <c r="A5" s="17" t="s">
        <v>271</v>
      </c>
      <c r="B5" t="s">
        <v>272</v>
      </c>
    </row>
    <row r="6" spans="1:56" ht="15.75" thickBot="1" x14ac:dyDescent="0.3">
      <c r="A6" s="236" t="s">
        <v>14</v>
      </c>
      <c r="B6" s="236" t="s">
        <v>49</v>
      </c>
      <c r="C6" s="238" t="s">
        <v>10</v>
      </c>
      <c r="D6" s="240" t="s">
        <v>58</v>
      </c>
      <c r="E6" s="230" t="s">
        <v>15</v>
      </c>
      <c r="F6" s="231"/>
      <c r="G6" s="231"/>
      <c r="H6" s="231"/>
      <c r="I6" s="231"/>
      <c r="J6" s="231"/>
      <c r="K6" s="232"/>
      <c r="L6" s="230" t="s">
        <v>53</v>
      </c>
      <c r="M6" s="231"/>
      <c r="N6" s="231"/>
      <c r="O6" s="231"/>
      <c r="P6" s="232"/>
      <c r="Q6" s="230" t="s">
        <v>33</v>
      </c>
      <c r="R6" s="231"/>
      <c r="S6" s="231"/>
      <c r="T6" s="231"/>
      <c r="U6" s="231"/>
      <c r="V6" s="232"/>
      <c r="W6" s="230" t="s">
        <v>16</v>
      </c>
      <c r="X6" s="231"/>
      <c r="Y6" s="231"/>
      <c r="Z6" s="231"/>
      <c r="AA6" s="231"/>
      <c r="AB6" s="231"/>
      <c r="AC6" s="232"/>
      <c r="AD6" s="230" t="s">
        <v>17</v>
      </c>
      <c r="AE6" s="231"/>
      <c r="AF6" s="231"/>
      <c r="AG6" s="231"/>
      <c r="AH6" s="231"/>
      <c r="AI6" s="231"/>
      <c r="AJ6" s="232"/>
      <c r="AK6" s="244" t="s">
        <v>34</v>
      </c>
      <c r="AL6" s="245"/>
      <c r="AM6" s="245"/>
      <c r="AN6" s="246"/>
      <c r="AO6" s="244" t="s">
        <v>18</v>
      </c>
      <c r="AP6" s="245"/>
      <c r="AQ6" s="245"/>
      <c r="AR6" s="245"/>
      <c r="AS6" s="246"/>
      <c r="AT6" s="244" t="s">
        <v>50</v>
      </c>
      <c r="AU6" s="245"/>
      <c r="AV6" s="247"/>
      <c r="AW6" s="248" t="s">
        <v>52</v>
      </c>
      <c r="AX6" s="246"/>
      <c r="AY6" s="244" t="s">
        <v>51</v>
      </c>
      <c r="AZ6" s="245"/>
      <c r="BA6" s="245"/>
      <c r="BB6" s="245"/>
      <c r="BC6" s="245"/>
      <c r="BD6" s="246"/>
    </row>
    <row r="7" spans="1:56" ht="18" thickBot="1" x14ac:dyDescent="0.3">
      <c r="A7" s="237"/>
      <c r="B7" s="237"/>
      <c r="C7" s="239"/>
      <c r="D7" s="241"/>
      <c r="E7" s="16" t="s">
        <v>19</v>
      </c>
      <c r="F7" s="17" t="s">
        <v>20</v>
      </c>
      <c r="G7" s="17" t="s">
        <v>35</v>
      </c>
      <c r="H7" s="17" t="s">
        <v>36</v>
      </c>
      <c r="I7" s="18" t="s">
        <v>47</v>
      </c>
      <c r="J7" s="18" t="s">
        <v>48</v>
      </c>
      <c r="K7" s="19" t="s">
        <v>21</v>
      </c>
      <c r="L7" s="20" t="s">
        <v>37</v>
      </c>
      <c r="M7" s="18" t="s">
        <v>38</v>
      </c>
      <c r="N7" s="18" t="s">
        <v>39</v>
      </c>
      <c r="O7" s="18" t="s">
        <v>40</v>
      </c>
      <c r="P7" s="19" t="s">
        <v>59</v>
      </c>
      <c r="Q7" s="20" t="s">
        <v>41</v>
      </c>
      <c r="R7" s="17" t="s">
        <v>42</v>
      </c>
      <c r="S7" s="18" t="s">
        <v>43</v>
      </c>
      <c r="T7" s="17" t="s">
        <v>44</v>
      </c>
      <c r="U7" s="18" t="s">
        <v>45</v>
      </c>
      <c r="V7" s="19" t="s">
        <v>46</v>
      </c>
      <c r="W7" s="21" t="s">
        <v>19</v>
      </c>
      <c r="X7" s="22" t="s">
        <v>20</v>
      </c>
      <c r="Y7" s="22" t="s">
        <v>35</v>
      </c>
      <c r="Z7" s="22" t="s">
        <v>36</v>
      </c>
      <c r="AA7" s="22" t="s">
        <v>47</v>
      </c>
      <c r="AB7" s="22" t="s">
        <v>48</v>
      </c>
      <c r="AC7" s="23" t="s">
        <v>21</v>
      </c>
      <c r="AD7" s="21" t="s">
        <v>19</v>
      </c>
      <c r="AE7" s="22" t="s">
        <v>20</v>
      </c>
      <c r="AF7" s="22" t="s">
        <v>35</v>
      </c>
      <c r="AG7" s="22" t="s">
        <v>36</v>
      </c>
      <c r="AH7" s="22" t="s">
        <v>47</v>
      </c>
      <c r="AI7" s="22" t="s">
        <v>48</v>
      </c>
      <c r="AJ7" s="23" t="s">
        <v>21</v>
      </c>
      <c r="AK7" s="24" t="s">
        <v>60</v>
      </c>
      <c r="AL7" s="25" t="s">
        <v>61</v>
      </c>
      <c r="AM7" s="25" t="s">
        <v>62</v>
      </c>
      <c r="AN7" s="26" t="s">
        <v>63</v>
      </c>
      <c r="AO7" s="27" t="s">
        <v>64</v>
      </c>
      <c r="AP7" s="25" t="s">
        <v>65</v>
      </c>
      <c r="AQ7" s="25" t="s">
        <v>66</v>
      </c>
      <c r="AR7" s="25" t="s">
        <v>67</v>
      </c>
      <c r="AS7" s="26" t="s">
        <v>68</v>
      </c>
      <c r="AT7" s="27" t="s">
        <v>69</v>
      </c>
      <c r="AU7" s="25" t="s">
        <v>70</v>
      </c>
      <c r="AV7" s="25" t="s">
        <v>71</v>
      </c>
      <c r="AW7" s="25" t="s">
        <v>72</v>
      </c>
      <c r="AX7" s="28" t="s">
        <v>73</v>
      </c>
      <c r="AY7" s="24" t="s">
        <v>23</v>
      </c>
      <c r="AZ7" s="25" t="s">
        <v>24</v>
      </c>
      <c r="BA7" s="25" t="s">
        <v>25</v>
      </c>
      <c r="BB7" s="25" t="s">
        <v>28</v>
      </c>
      <c r="BC7" s="25" t="s">
        <v>26</v>
      </c>
      <c r="BD7" s="28" t="s">
        <v>27</v>
      </c>
    </row>
    <row r="8" spans="1:56" x14ac:dyDescent="0.25">
      <c r="A8" s="111" t="e">
        <f>IF('3'!$AC$10="", B8, NA())</f>
        <v>#N/A</v>
      </c>
      <c r="B8" s="111"/>
      <c r="C8" s="96"/>
      <c r="D8" s="112"/>
      <c r="E8" s="96"/>
      <c r="F8" s="96"/>
      <c r="G8" s="96"/>
      <c r="H8" s="96"/>
      <c r="I8" s="96"/>
      <c r="J8" s="96"/>
      <c r="K8" s="96"/>
      <c r="L8" s="111"/>
      <c r="M8" s="96"/>
      <c r="N8" s="96"/>
      <c r="O8" s="96"/>
      <c r="P8" s="96"/>
      <c r="Q8" s="111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111"/>
      <c r="AE8" s="13"/>
      <c r="AF8" s="13"/>
      <c r="AG8" s="13"/>
      <c r="AH8" s="13"/>
      <c r="AI8" s="13"/>
      <c r="AJ8" s="84"/>
      <c r="AK8" s="113"/>
      <c r="AL8" s="13"/>
      <c r="AM8" s="13"/>
      <c r="AN8" s="84"/>
      <c r="AO8" s="13"/>
      <c r="AP8" s="13"/>
      <c r="AQ8" s="13"/>
      <c r="AR8" s="13"/>
      <c r="AS8" s="13"/>
      <c r="AT8" s="113"/>
      <c r="AU8" s="13"/>
      <c r="AV8" s="13"/>
      <c r="AW8" s="13"/>
      <c r="AX8" s="84"/>
      <c r="AY8" s="113"/>
      <c r="AZ8" s="13"/>
      <c r="BA8" s="13"/>
      <c r="BB8" s="13"/>
      <c r="BC8" s="13"/>
      <c r="BD8" s="84"/>
    </row>
    <row r="9" spans="1:56" x14ac:dyDescent="0.25">
      <c r="A9" s="111" t="e">
        <f>IF('3'!$AC$10="", B9, NA())</f>
        <v>#N/A</v>
      </c>
      <c r="B9" s="111">
        <v>0.9</v>
      </c>
      <c r="C9" s="96"/>
      <c r="D9" s="112"/>
      <c r="E9" s="96"/>
      <c r="F9" s="96"/>
      <c r="G9" s="96"/>
      <c r="H9" s="96"/>
      <c r="I9" s="96"/>
      <c r="J9" s="96"/>
      <c r="K9" s="96"/>
      <c r="L9" s="111"/>
      <c r="M9" s="96"/>
      <c r="N9" s="96"/>
      <c r="O9" s="96"/>
      <c r="P9" s="112"/>
      <c r="Q9" s="111"/>
      <c r="R9" s="96"/>
      <c r="S9" s="96"/>
      <c r="T9" s="96"/>
      <c r="U9" s="96"/>
      <c r="V9" s="112"/>
      <c r="W9" s="96"/>
      <c r="X9" s="96"/>
      <c r="Y9" s="96"/>
      <c r="Z9" s="96"/>
      <c r="AA9" s="96"/>
      <c r="AB9" s="96"/>
      <c r="AC9" s="96">
        <v>0.1</v>
      </c>
      <c r="AD9" s="111"/>
      <c r="AE9" s="13"/>
      <c r="AF9" s="13"/>
      <c r="AG9" s="13"/>
      <c r="AH9" s="13"/>
      <c r="AI9" s="13"/>
      <c r="AJ9" s="84"/>
      <c r="AK9" s="113"/>
      <c r="AL9" s="13"/>
      <c r="AM9" s="13"/>
      <c r="AN9" s="84"/>
      <c r="AO9" s="13"/>
      <c r="AP9" s="13"/>
      <c r="AQ9" s="13"/>
      <c r="AR9" s="13"/>
      <c r="AS9" s="13"/>
      <c r="AT9" s="113"/>
      <c r="AU9" s="13"/>
      <c r="AV9" s="13"/>
      <c r="AW9" s="13"/>
      <c r="AX9" s="84"/>
      <c r="AY9" s="113"/>
      <c r="AZ9" s="13"/>
      <c r="BA9" s="13"/>
      <c r="BB9" s="13"/>
      <c r="BC9" s="13"/>
      <c r="BD9" s="84"/>
    </row>
    <row r="10" spans="1:56" x14ac:dyDescent="0.25">
      <c r="A10" s="111" t="e">
        <f>IF('3'!$AC$10="", B10, NA())</f>
        <v>#N/A</v>
      </c>
      <c r="B10" s="111">
        <v>0.8</v>
      </c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>
        <v>0.11</v>
      </c>
      <c r="AD10" s="96"/>
      <c r="AE10" s="96"/>
      <c r="AF10" s="96"/>
      <c r="AG10" s="96"/>
      <c r="AH10" s="96"/>
      <c r="AI10" s="96"/>
      <c r="AJ10" s="96"/>
      <c r="AK10" s="96"/>
      <c r="AL10" s="96"/>
      <c r="AM10" s="96"/>
      <c r="AN10" s="96"/>
      <c r="AO10" s="96"/>
      <c r="AP10" s="96"/>
      <c r="AQ10" s="96"/>
      <c r="AR10" s="96"/>
      <c r="AS10" s="96"/>
      <c r="AT10" s="96"/>
      <c r="AU10" s="96"/>
      <c r="AV10" s="96"/>
      <c r="AW10" s="96"/>
      <c r="AX10" s="96"/>
      <c r="AY10" s="96"/>
      <c r="AZ10" s="96"/>
      <c r="BA10" s="96"/>
      <c r="BB10" s="96"/>
      <c r="BC10" s="96"/>
      <c r="BD10" s="96"/>
    </row>
    <row r="11" spans="1:56" x14ac:dyDescent="0.25">
      <c r="A11" s="111" t="e">
        <f>IF('3'!$AC$10="", B11, NA())</f>
        <v>#N/A</v>
      </c>
      <c r="B11" s="111"/>
      <c r="C11" s="96"/>
      <c r="D11" s="112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</row>
    <row r="12" spans="1:56" x14ac:dyDescent="0.25">
      <c r="A12" s="111" t="e">
        <f>IF('3'!$AC$10="", B12, NA())</f>
        <v>#N/A</v>
      </c>
      <c r="B12" s="111"/>
      <c r="C12" s="96"/>
      <c r="D12" s="112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</row>
    <row r="13" spans="1:56" x14ac:dyDescent="0.25">
      <c r="A13" s="111" t="e">
        <f>IF('3'!$AC$10="", B13, NA())</f>
        <v>#N/A</v>
      </c>
      <c r="B13" s="111"/>
      <c r="C13" s="96"/>
      <c r="D13" s="112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</row>
    <row r="14" spans="1:56" x14ac:dyDescent="0.25">
      <c r="A14" s="111" t="e">
        <f>IF('3'!$AC$10="", B14, NA())</f>
        <v>#N/A</v>
      </c>
      <c r="B14" s="111"/>
      <c r="C14" s="96"/>
      <c r="D14" s="112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</row>
    <row r="15" spans="1:56" x14ac:dyDescent="0.25">
      <c r="A15" s="111" t="e">
        <f>IF('3'!$AC$10="", B15, NA())</f>
        <v>#N/A</v>
      </c>
      <c r="B15" s="111"/>
      <c r="C15" s="96"/>
      <c r="D15" s="112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</row>
    <row r="16" spans="1:56" x14ac:dyDescent="0.25">
      <c r="A16" s="111" t="e">
        <f>IF('3'!$AC$10="", B16, NA())</f>
        <v>#N/A</v>
      </c>
      <c r="B16" s="111"/>
      <c r="C16" s="96"/>
      <c r="D16" s="112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</row>
    <row r="17" spans="1:56" x14ac:dyDescent="0.25">
      <c r="A17" s="111" t="e">
        <f>IF('3'!$AC$10="", B17, NA())</f>
        <v>#N/A</v>
      </c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</row>
    <row r="18" spans="1:56" x14ac:dyDescent="0.25">
      <c r="A18" s="111" t="e">
        <f>IF('3'!$AC$10="", B18, NA())</f>
        <v>#N/A</v>
      </c>
      <c r="B18" s="111"/>
      <c r="C18" s="96"/>
      <c r="D18" s="112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</row>
    <row r="19" spans="1:56" ht="15.75" thickBot="1" x14ac:dyDescent="0.3">
      <c r="A19" s="111" t="e">
        <f>IF('3'!$AC$10="", B19, NA())</f>
        <v>#N/A</v>
      </c>
      <c r="B19" s="111"/>
      <c r="C19" s="96"/>
      <c r="D19" s="112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</row>
    <row r="20" spans="1:56" ht="15.75" thickBot="1" x14ac:dyDescent="0.3">
      <c r="A20" s="36" t="e">
        <f>IF('3'!$AC$10="", -B20, NA())</f>
        <v>#N/A</v>
      </c>
      <c r="B20" s="117"/>
      <c r="C20" s="118"/>
      <c r="D20" s="144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</row>
    <row r="21" spans="1:56" x14ac:dyDescent="0.25">
      <c r="A21" s="147" t="e">
        <f>IF('3'!$AC$10="", -B21, NA())</f>
        <v>#N/A</v>
      </c>
      <c r="B21" s="110"/>
      <c r="C21" s="96"/>
      <c r="D21" s="115"/>
      <c r="E21" s="110"/>
      <c r="F21" s="110"/>
      <c r="G21" s="110"/>
      <c r="H21" s="110"/>
      <c r="I21" s="110"/>
      <c r="J21" s="110"/>
      <c r="K21" s="109"/>
      <c r="L21" s="114"/>
      <c r="M21" s="110"/>
      <c r="N21" s="110"/>
      <c r="O21" s="110"/>
      <c r="P21" s="115"/>
      <c r="Q21" s="114"/>
      <c r="R21" s="110"/>
      <c r="S21" s="110"/>
      <c r="T21" s="110"/>
      <c r="U21" s="110"/>
      <c r="V21" s="115"/>
      <c r="W21" s="110"/>
      <c r="X21" s="110"/>
      <c r="Y21" s="110"/>
      <c r="Z21" s="110"/>
      <c r="AA21" s="110"/>
      <c r="AB21" s="110"/>
      <c r="AC21" s="110"/>
      <c r="AD21" s="114"/>
      <c r="AE21" s="3"/>
      <c r="AF21" s="3"/>
      <c r="AG21" s="3"/>
      <c r="AH21" s="3"/>
      <c r="AI21" s="3"/>
      <c r="AJ21" s="115"/>
      <c r="AK21" s="114"/>
      <c r="AL21" s="110"/>
      <c r="AM21" s="110"/>
      <c r="AN21" s="115"/>
      <c r="AO21" s="110"/>
      <c r="AP21" s="110"/>
      <c r="AQ21" s="110"/>
      <c r="AR21" s="110"/>
      <c r="AS21" s="110"/>
      <c r="AT21" s="114"/>
      <c r="AU21" s="3"/>
      <c r="AV21" s="3"/>
      <c r="AW21" s="3"/>
      <c r="AX21" s="3"/>
      <c r="AY21" s="113"/>
      <c r="AZ21" s="13"/>
      <c r="BA21" s="13"/>
      <c r="BB21" s="13"/>
      <c r="BC21" s="13"/>
      <c r="BD21" s="84"/>
    </row>
    <row r="22" spans="1:56" x14ac:dyDescent="0.25">
      <c r="A22" s="147" t="e">
        <f>IF('3'!$AC$10="", -B22, NA())</f>
        <v>#N/A</v>
      </c>
      <c r="B22" s="110"/>
      <c r="C22" s="96"/>
      <c r="D22" s="115"/>
      <c r="E22" s="110"/>
      <c r="F22" s="110"/>
      <c r="G22" s="110"/>
      <c r="H22" s="110"/>
      <c r="I22" s="110"/>
      <c r="J22" s="110"/>
      <c r="K22" s="109"/>
      <c r="L22" s="114"/>
      <c r="M22" s="110"/>
      <c r="N22" s="110"/>
      <c r="O22" s="110"/>
      <c r="P22" s="115"/>
      <c r="Q22" s="114"/>
      <c r="R22" s="110"/>
      <c r="S22" s="110"/>
      <c r="T22" s="110"/>
      <c r="U22" s="110"/>
      <c r="V22" s="115"/>
      <c r="W22" s="110"/>
      <c r="X22" s="110"/>
      <c r="Y22" s="110"/>
      <c r="Z22" s="110"/>
      <c r="AA22" s="110"/>
      <c r="AB22" s="110"/>
      <c r="AC22" s="110"/>
      <c r="AD22" s="114"/>
      <c r="AE22" s="3"/>
      <c r="AF22" s="3"/>
      <c r="AG22" s="3"/>
      <c r="AH22" s="3"/>
      <c r="AI22" s="3"/>
      <c r="AJ22" s="115"/>
      <c r="AK22" s="114"/>
      <c r="AL22" s="110"/>
      <c r="AM22" s="110"/>
      <c r="AN22" s="115"/>
      <c r="AO22" s="110"/>
      <c r="AP22" s="110"/>
      <c r="AQ22" s="110"/>
      <c r="AR22" s="110"/>
      <c r="AS22" s="110"/>
      <c r="AT22" s="114"/>
      <c r="AU22" s="3"/>
      <c r="AV22" s="3"/>
      <c r="AW22" s="3"/>
      <c r="AX22" s="3"/>
      <c r="AY22" s="113"/>
      <c r="AZ22" s="13"/>
      <c r="BA22" s="13"/>
      <c r="BB22" s="13"/>
      <c r="BC22" s="13"/>
      <c r="BD22" s="84"/>
    </row>
    <row r="23" spans="1:56" x14ac:dyDescent="0.25">
      <c r="A23" s="147" t="e">
        <f>IF('3'!$AC$10="", -B23, NA())</f>
        <v>#N/A</v>
      </c>
      <c r="B23" s="110"/>
      <c r="C23" s="96"/>
      <c r="D23" s="115"/>
      <c r="E23" s="110"/>
      <c r="F23" s="110"/>
      <c r="G23" s="110"/>
      <c r="H23" s="110"/>
      <c r="I23" s="110"/>
      <c r="J23" s="110"/>
      <c r="K23" s="109"/>
      <c r="L23" s="114"/>
      <c r="M23" s="110"/>
      <c r="N23" s="110"/>
      <c r="O23" s="110"/>
      <c r="P23" s="115"/>
      <c r="Q23" s="114"/>
      <c r="R23" s="110"/>
      <c r="S23" s="110"/>
      <c r="T23" s="110"/>
      <c r="U23" s="110"/>
      <c r="V23" s="115"/>
      <c r="W23" s="110"/>
      <c r="X23" s="110"/>
      <c r="Y23" s="110"/>
      <c r="Z23" s="110"/>
      <c r="AA23" s="110"/>
      <c r="AB23" s="110"/>
      <c r="AC23" s="110"/>
      <c r="AD23" s="114"/>
      <c r="AE23" s="3"/>
      <c r="AF23" s="3"/>
      <c r="AG23" s="3"/>
      <c r="AH23" s="3"/>
      <c r="AI23" s="3"/>
      <c r="AJ23" s="115"/>
      <c r="AK23" s="114"/>
      <c r="AL23" s="110"/>
      <c r="AM23" s="110"/>
      <c r="AN23" s="115"/>
      <c r="AO23" s="110"/>
      <c r="AP23" s="110"/>
      <c r="AQ23" s="110"/>
      <c r="AR23" s="110"/>
      <c r="AS23" s="110"/>
      <c r="AT23" s="114"/>
      <c r="AU23" s="3"/>
      <c r="AV23" s="3"/>
      <c r="AW23" s="3"/>
      <c r="AX23" s="3"/>
      <c r="AY23" s="113"/>
      <c r="AZ23" s="13"/>
      <c r="BA23" s="13"/>
      <c r="BB23" s="13"/>
      <c r="BC23" s="13"/>
      <c r="BD23" s="84"/>
    </row>
    <row r="24" spans="1:56" x14ac:dyDescent="0.25">
      <c r="A24" s="147" t="e">
        <f>IF('3'!$AC$10="", -B24, NA())</f>
        <v>#N/A</v>
      </c>
      <c r="B24" s="110"/>
      <c r="C24" s="96"/>
      <c r="D24" s="115"/>
      <c r="E24" s="110"/>
      <c r="F24" s="110"/>
      <c r="G24" s="110"/>
      <c r="H24" s="110"/>
      <c r="I24" s="110"/>
      <c r="J24" s="110"/>
      <c r="K24" s="109"/>
      <c r="L24" s="114"/>
      <c r="M24" s="110"/>
      <c r="N24" s="110"/>
      <c r="O24" s="110"/>
      <c r="P24" s="115"/>
      <c r="Q24" s="114"/>
      <c r="R24" s="110"/>
      <c r="S24" s="110"/>
      <c r="T24" s="110"/>
      <c r="U24" s="110"/>
      <c r="V24" s="115"/>
      <c r="W24" s="110"/>
      <c r="X24" s="110"/>
      <c r="Y24" s="110"/>
      <c r="Z24" s="110"/>
      <c r="AA24" s="110"/>
      <c r="AB24" s="110"/>
      <c r="AC24" s="110"/>
      <c r="AD24" s="114"/>
      <c r="AE24" s="3"/>
      <c r="AF24" s="3"/>
      <c r="AG24" s="3"/>
      <c r="AH24" s="3"/>
      <c r="AI24" s="3"/>
      <c r="AJ24" s="115"/>
      <c r="AK24" s="114"/>
      <c r="AL24" s="110"/>
      <c r="AM24" s="110"/>
      <c r="AN24" s="115"/>
      <c r="AO24" s="110"/>
      <c r="AP24" s="110"/>
      <c r="AQ24" s="110"/>
      <c r="AR24" s="110"/>
      <c r="AS24" s="110"/>
      <c r="AT24" s="114"/>
      <c r="AU24" s="3"/>
      <c r="AV24" s="3"/>
      <c r="AW24" s="3"/>
      <c r="AX24" s="3"/>
      <c r="AY24" s="113"/>
      <c r="AZ24" s="13"/>
      <c r="BA24" s="13"/>
      <c r="BB24" s="13"/>
      <c r="BC24" s="13"/>
      <c r="BD24" s="84"/>
    </row>
    <row r="25" spans="1:56" x14ac:dyDescent="0.25">
      <c r="A25" s="147" t="e">
        <f>IF('3'!$AC$10="", -B25, NA())</f>
        <v>#N/A</v>
      </c>
      <c r="B25" s="110"/>
      <c r="C25" s="96"/>
      <c r="D25" s="115"/>
      <c r="E25" s="110"/>
      <c r="F25" s="110"/>
      <c r="G25" s="110"/>
      <c r="H25" s="110"/>
      <c r="I25" s="110"/>
      <c r="J25" s="110"/>
      <c r="K25" s="109"/>
      <c r="L25" s="114"/>
      <c r="M25" s="110"/>
      <c r="N25" s="110"/>
      <c r="O25" s="110"/>
      <c r="P25" s="115"/>
      <c r="Q25" s="114"/>
      <c r="R25" s="110"/>
      <c r="S25" s="110"/>
      <c r="T25" s="110"/>
      <c r="U25" s="110"/>
      <c r="V25" s="115"/>
      <c r="W25" s="110"/>
      <c r="X25" s="110"/>
      <c r="Y25" s="110"/>
      <c r="Z25" s="110"/>
      <c r="AA25" s="110"/>
      <c r="AB25" s="110"/>
      <c r="AC25" s="110"/>
      <c r="AD25" s="114"/>
      <c r="AE25" s="3"/>
      <c r="AF25" s="3"/>
      <c r="AG25" s="3"/>
      <c r="AH25" s="3"/>
      <c r="AI25" s="3"/>
      <c r="AJ25" s="115"/>
      <c r="AK25" s="114"/>
      <c r="AL25" s="110"/>
      <c r="AM25" s="110"/>
      <c r="AN25" s="115"/>
      <c r="AO25" s="110"/>
      <c r="AP25" s="110"/>
      <c r="AQ25" s="110"/>
      <c r="AR25" s="110"/>
      <c r="AS25" s="110"/>
      <c r="AT25" s="114"/>
      <c r="AU25" s="3"/>
      <c r="AV25" s="3"/>
      <c r="AW25" s="3"/>
      <c r="AX25" s="3"/>
      <c r="AY25" s="113"/>
      <c r="AZ25" s="13"/>
      <c r="BA25" s="13"/>
      <c r="BB25" s="13"/>
      <c r="BC25" s="13"/>
      <c r="BD25" s="84"/>
    </row>
    <row r="26" spans="1:56" x14ac:dyDescent="0.25">
      <c r="A26" s="147" t="e">
        <f>IF('3'!$AC$10="", -B26, NA())</f>
        <v>#N/A</v>
      </c>
      <c r="B26" s="110"/>
      <c r="C26" s="96"/>
      <c r="D26" s="115"/>
      <c r="E26" s="110"/>
      <c r="F26" s="110"/>
      <c r="G26" s="110"/>
      <c r="H26" s="110"/>
      <c r="I26" s="110"/>
      <c r="J26" s="110"/>
      <c r="K26" s="109"/>
      <c r="L26" s="114"/>
      <c r="M26" s="110"/>
      <c r="N26" s="110"/>
      <c r="O26" s="110"/>
      <c r="P26" s="115"/>
      <c r="Q26" s="114"/>
      <c r="R26" s="110"/>
      <c r="S26" s="110"/>
      <c r="T26" s="110"/>
      <c r="U26" s="110"/>
      <c r="V26" s="115"/>
      <c r="W26" s="110"/>
      <c r="X26" s="110"/>
      <c r="Y26" s="110"/>
      <c r="Z26" s="110"/>
      <c r="AA26" s="110"/>
      <c r="AB26" s="110"/>
      <c r="AC26" s="110"/>
      <c r="AD26" s="114"/>
      <c r="AE26" s="3"/>
      <c r="AF26" s="3"/>
      <c r="AG26" s="3"/>
      <c r="AH26" s="3"/>
      <c r="AI26" s="3"/>
      <c r="AJ26" s="115"/>
      <c r="AK26" s="114"/>
      <c r="AL26" s="110"/>
      <c r="AM26" s="110"/>
      <c r="AN26" s="115"/>
      <c r="AO26" s="110"/>
      <c r="AP26" s="110"/>
      <c r="AQ26" s="110"/>
      <c r="AR26" s="110"/>
      <c r="AS26" s="110"/>
      <c r="AT26" s="114"/>
      <c r="AU26" s="3"/>
      <c r="AV26" s="3"/>
      <c r="AW26" s="3"/>
      <c r="AX26" s="3"/>
      <c r="AY26" s="113"/>
      <c r="AZ26" s="13"/>
      <c r="BA26" s="13"/>
      <c r="BB26" s="13"/>
      <c r="BC26" s="13"/>
      <c r="BD26" s="84"/>
    </row>
    <row r="27" spans="1:56" x14ac:dyDescent="0.25">
      <c r="A27" s="147" t="e">
        <f>IF('3'!$AC$10="", -B27, NA())</f>
        <v>#N/A</v>
      </c>
      <c r="B27" s="110"/>
      <c r="C27" s="96"/>
      <c r="D27" s="115"/>
      <c r="E27" s="110"/>
      <c r="F27" s="110"/>
      <c r="G27" s="110"/>
      <c r="H27" s="110"/>
      <c r="I27" s="110"/>
      <c r="J27" s="110"/>
      <c r="K27" s="109"/>
      <c r="L27" s="114"/>
      <c r="M27" s="110"/>
      <c r="N27" s="110"/>
      <c r="O27" s="110"/>
      <c r="P27" s="115"/>
      <c r="Q27" s="114"/>
      <c r="R27" s="110"/>
      <c r="S27" s="110"/>
      <c r="T27" s="110"/>
      <c r="U27" s="110"/>
      <c r="V27" s="115"/>
      <c r="W27" s="110"/>
      <c r="X27" s="110"/>
      <c r="Y27" s="110"/>
      <c r="Z27" s="110"/>
      <c r="AA27" s="110"/>
      <c r="AB27" s="110"/>
      <c r="AC27" s="110"/>
      <c r="AD27" s="114"/>
      <c r="AE27" s="3"/>
      <c r="AF27" s="3"/>
      <c r="AG27" s="3"/>
      <c r="AH27" s="3"/>
      <c r="AI27" s="3"/>
      <c r="AJ27" s="115"/>
      <c r="AK27" s="114"/>
      <c r="AL27" s="110"/>
      <c r="AM27" s="110"/>
      <c r="AN27" s="115"/>
      <c r="AO27" s="110"/>
      <c r="AP27" s="110"/>
      <c r="AQ27" s="110"/>
      <c r="AR27" s="110"/>
      <c r="AS27" s="110"/>
      <c r="AT27" s="114"/>
      <c r="AU27" s="3"/>
      <c r="AV27" s="3"/>
      <c r="AW27" s="3"/>
      <c r="AX27" s="3"/>
      <c r="AY27" s="113"/>
      <c r="AZ27" s="13"/>
      <c r="BA27" s="13"/>
      <c r="BB27" s="13"/>
      <c r="BC27" s="13"/>
      <c r="BD27" s="84"/>
    </row>
    <row r="28" spans="1:56" x14ac:dyDescent="0.25">
      <c r="A28" s="147" t="e">
        <f>IF('3'!$AC$10="", -B28, NA())</f>
        <v>#N/A</v>
      </c>
      <c r="B28" s="111"/>
      <c r="C28" s="96"/>
      <c r="D28" s="112"/>
      <c r="E28" s="96"/>
      <c r="F28" s="96"/>
      <c r="G28" s="96"/>
      <c r="H28" s="96"/>
      <c r="I28" s="96"/>
      <c r="J28" s="96"/>
      <c r="K28" s="96"/>
      <c r="L28" s="111"/>
      <c r="M28" s="96"/>
      <c r="N28" s="96"/>
      <c r="O28" s="96"/>
      <c r="P28" s="112"/>
      <c r="Q28" s="111"/>
      <c r="R28" s="96"/>
      <c r="S28" s="96"/>
      <c r="T28" s="96"/>
      <c r="U28" s="96"/>
      <c r="V28" s="112"/>
      <c r="W28" s="96"/>
      <c r="X28" s="96"/>
      <c r="Y28" s="96"/>
      <c r="Z28" s="96"/>
      <c r="AA28" s="96"/>
      <c r="AB28" s="96"/>
      <c r="AC28" s="96"/>
      <c r="AD28" s="111"/>
      <c r="AE28" s="13"/>
      <c r="AF28" s="13"/>
      <c r="AG28" s="13"/>
      <c r="AH28" s="13"/>
      <c r="AI28" s="13"/>
      <c r="AJ28" s="84"/>
      <c r="AK28" s="113"/>
      <c r="AL28" s="13"/>
      <c r="AM28" s="13"/>
      <c r="AN28" s="84"/>
      <c r="AO28" s="13"/>
      <c r="AP28" s="13"/>
      <c r="AQ28" s="13"/>
      <c r="AR28" s="13"/>
      <c r="AS28" s="13"/>
      <c r="AT28" s="113"/>
      <c r="AU28" s="13"/>
      <c r="AV28" s="13"/>
      <c r="AW28" s="13"/>
      <c r="AX28" s="84"/>
      <c r="AY28" s="113"/>
      <c r="AZ28" s="13"/>
      <c r="BA28" s="13"/>
      <c r="BB28" s="13"/>
      <c r="BC28" s="13"/>
      <c r="BD28" s="84"/>
    </row>
    <row r="29" spans="1:56" x14ac:dyDescent="0.25">
      <c r="A29" s="147" t="e">
        <f>IF('3'!$AC$10="", -B29, NA())</f>
        <v>#N/A</v>
      </c>
      <c r="B29" s="110"/>
      <c r="C29" s="96"/>
      <c r="D29" s="115"/>
      <c r="E29" s="110"/>
      <c r="F29" s="110"/>
      <c r="G29" s="110"/>
      <c r="H29" s="110"/>
      <c r="I29" s="110"/>
      <c r="J29" s="110"/>
      <c r="K29" s="109"/>
      <c r="L29" s="114"/>
      <c r="M29" s="110"/>
      <c r="N29" s="110"/>
      <c r="O29" s="110"/>
      <c r="P29" s="115"/>
      <c r="Q29" s="114"/>
      <c r="R29" s="110"/>
      <c r="S29" s="110"/>
      <c r="T29" s="110"/>
      <c r="U29" s="110"/>
      <c r="V29" s="115"/>
      <c r="W29" s="110"/>
      <c r="X29" s="110"/>
      <c r="Y29" s="110"/>
      <c r="Z29" s="110"/>
      <c r="AA29" s="110"/>
      <c r="AB29" s="110"/>
      <c r="AC29" s="110"/>
      <c r="AD29" s="114"/>
      <c r="AE29" s="3"/>
      <c r="AF29" s="3"/>
      <c r="AG29" s="3"/>
      <c r="AH29" s="3"/>
      <c r="AI29" s="3"/>
      <c r="AJ29" s="115"/>
      <c r="AK29" s="114"/>
      <c r="AL29" s="110"/>
      <c r="AM29" s="110"/>
      <c r="AN29" s="115"/>
      <c r="AO29" s="110"/>
      <c r="AP29" s="110"/>
      <c r="AQ29" s="110"/>
      <c r="AR29" s="110"/>
      <c r="AS29" s="110"/>
      <c r="AT29" s="114"/>
      <c r="AU29" s="3"/>
      <c r="AV29" s="3"/>
      <c r="AW29" s="3"/>
      <c r="AX29" s="3"/>
      <c r="AY29" s="113"/>
      <c r="AZ29" s="13"/>
      <c r="BA29" s="13"/>
      <c r="BB29" s="13"/>
      <c r="BC29" s="13"/>
      <c r="BD29" s="84"/>
    </row>
    <row r="30" spans="1:56" x14ac:dyDescent="0.25">
      <c r="A30" s="147" t="e">
        <f>IF('3'!$AC$10="", -B30, NA())</f>
        <v>#N/A</v>
      </c>
      <c r="B30" s="110"/>
      <c r="C30" s="96"/>
      <c r="D30" s="115"/>
      <c r="E30" s="110"/>
      <c r="F30" s="110"/>
      <c r="G30" s="110"/>
      <c r="H30" s="110"/>
      <c r="I30" s="110"/>
      <c r="J30" s="110"/>
      <c r="K30" s="109"/>
      <c r="L30" s="114"/>
      <c r="M30" s="110"/>
      <c r="N30" s="110"/>
      <c r="O30" s="110"/>
      <c r="P30" s="115"/>
      <c r="Q30" s="114"/>
      <c r="R30" s="110"/>
      <c r="S30" s="110"/>
      <c r="T30" s="110"/>
      <c r="U30" s="110"/>
      <c r="V30" s="115"/>
      <c r="W30" s="110"/>
      <c r="X30" s="110"/>
      <c r="Y30" s="110"/>
      <c r="Z30" s="110"/>
      <c r="AA30" s="110"/>
      <c r="AB30" s="110"/>
      <c r="AC30" s="110"/>
      <c r="AD30" s="114"/>
      <c r="AE30" s="3"/>
      <c r="AF30" s="3"/>
      <c r="AG30" s="3"/>
      <c r="AH30" s="3"/>
      <c r="AI30" s="3"/>
      <c r="AJ30" s="115"/>
      <c r="AK30" s="114"/>
      <c r="AL30" s="110"/>
      <c r="AM30" s="110"/>
      <c r="AN30" s="115"/>
      <c r="AO30" s="110"/>
      <c r="AP30" s="110"/>
      <c r="AQ30" s="110"/>
      <c r="AR30" s="110"/>
      <c r="AS30" s="110"/>
      <c r="AT30" s="114"/>
      <c r="AU30" s="3"/>
      <c r="AV30" s="3"/>
      <c r="AW30" s="3"/>
      <c r="AX30" s="3"/>
      <c r="AY30" s="113"/>
      <c r="AZ30" s="13"/>
      <c r="BA30" s="13"/>
      <c r="BB30" s="13"/>
      <c r="BC30" s="13"/>
      <c r="BD30" s="84"/>
    </row>
    <row r="31" spans="1:56" x14ac:dyDescent="0.25">
      <c r="A31" s="147" t="e">
        <f>IF('3'!$AC$10="", -B31, NA())</f>
        <v>#N/A</v>
      </c>
      <c r="B31" s="96"/>
      <c r="C31" s="96"/>
      <c r="D31" s="115"/>
      <c r="E31" s="110"/>
      <c r="F31" s="110"/>
      <c r="G31" s="110"/>
      <c r="H31" s="110"/>
      <c r="I31" s="110"/>
      <c r="J31" s="110"/>
      <c r="K31" s="109"/>
      <c r="L31" s="114"/>
      <c r="M31" s="110"/>
      <c r="N31" s="110"/>
      <c r="O31" s="110"/>
      <c r="P31" s="115"/>
      <c r="Q31" s="114"/>
      <c r="R31" s="110"/>
      <c r="S31" s="110"/>
      <c r="T31" s="110"/>
      <c r="U31" s="110"/>
      <c r="V31" s="115"/>
      <c r="W31" s="110"/>
      <c r="X31" s="110"/>
      <c r="Y31" s="110"/>
      <c r="Z31" s="110"/>
      <c r="AA31" s="110"/>
      <c r="AB31" s="110"/>
      <c r="AC31" s="110"/>
      <c r="AD31" s="114"/>
      <c r="AE31" s="3"/>
      <c r="AF31" s="3"/>
      <c r="AG31" s="3"/>
      <c r="AH31" s="3"/>
      <c r="AI31" s="3"/>
      <c r="AJ31" s="115"/>
      <c r="AK31" s="114"/>
      <c r="AL31" s="110"/>
      <c r="AM31" s="110"/>
      <c r="AN31" s="115"/>
      <c r="AO31" s="110"/>
      <c r="AP31" s="110"/>
      <c r="AQ31" s="110"/>
      <c r="AR31" s="110"/>
      <c r="AS31" s="110"/>
      <c r="AT31" s="114"/>
      <c r="AU31" s="3"/>
      <c r="AV31" s="3"/>
      <c r="AW31" s="3"/>
      <c r="AX31" s="3"/>
      <c r="AY31" s="113"/>
      <c r="AZ31" s="13"/>
      <c r="BA31" s="13"/>
      <c r="BB31" s="13"/>
      <c r="BC31" s="13"/>
      <c r="BD31" s="84"/>
    </row>
    <row r="32" spans="1:56" ht="15.75" thickBot="1" x14ac:dyDescent="0.3">
      <c r="A32" s="147" t="e">
        <f>IF('3'!$AC$10="", -B32, NA())</f>
        <v>#N/A</v>
      </c>
      <c r="B32" s="110"/>
      <c r="C32" s="110"/>
      <c r="D32" s="115"/>
      <c r="E32" s="110"/>
      <c r="F32" s="110"/>
      <c r="G32" s="110"/>
      <c r="H32" s="110"/>
      <c r="I32" s="110"/>
      <c r="J32" s="110"/>
      <c r="K32" s="109"/>
      <c r="L32" s="114"/>
      <c r="M32" s="110"/>
      <c r="N32" s="110"/>
      <c r="O32" s="110"/>
      <c r="P32" s="115"/>
      <c r="Q32" s="114"/>
      <c r="R32" s="110"/>
      <c r="S32" s="110"/>
      <c r="T32" s="110"/>
      <c r="U32" s="110"/>
      <c r="V32" s="115"/>
      <c r="W32" s="110"/>
      <c r="X32" s="110"/>
      <c r="Y32" s="110"/>
      <c r="Z32" s="110"/>
      <c r="AA32" s="110"/>
      <c r="AB32" s="110"/>
      <c r="AC32" s="110"/>
      <c r="AD32" s="114"/>
      <c r="AE32" s="3"/>
      <c r="AF32" s="3"/>
      <c r="AG32" s="3"/>
      <c r="AH32" s="3"/>
      <c r="AI32" s="3"/>
      <c r="AJ32" s="115"/>
      <c r="AK32" s="114"/>
      <c r="AL32" s="110"/>
      <c r="AM32" s="110"/>
      <c r="AN32" s="115"/>
      <c r="AO32" s="110"/>
      <c r="AP32" s="110"/>
      <c r="AQ32" s="110"/>
      <c r="AR32" s="110"/>
      <c r="AS32" s="110"/>
      <c r="AT32" s="114"/>
      <c r="AU32" s="3"/>
      <c r="AV32" s="3"/>
      <c r="AW32" s="3"/>
      <c r="AX32" s="3"/>
      <c r="AY32" s="113"/>
      <c r="AZ32" s="13"/>
      <c r="BA32" s="13"/>
      <c r="BB32" s="13"/>
      <c r="BC32" s="13"/>
      <c r="BD32" s="84"/>
    </row>
    <row r="33" spans="1:56" ht="30.75" thickBot="1" x14ac:dyDescent="0.3">
      <c r="A33" s="233" t="s">
        <v>55</v>
      </c>
      <c r="B33" s="234"/>
      <c r="C33" s="235"/>
      <c r="D33" s="39" t="s">
        <v>54</v>
      </c>
      <c r="E33" s="38">
        <f>2*(0.1/3*(E8*$B8+4*E10*$B10+2*E12*$B12+4*E13*$B13+2*E14*$B14+4*E15*$B15+2*E16*$B16+4*E17*$B17+4*E18*$B18+4*E19*$B19+E20*$B20))</f>
        <v>0</v>
      </c>
      <c r="F33" s="38">
        <f t="shared" ref="F33:BD33" si="0">2*(0.1/3*(F8*$B8+4*F10*$B10+2*F12*$B12+4*F13*$B13+2*F14*$B14+4*F15*$B15+2*F16*$B16+4*F17*$B17+4*F18*$B18+4*F19*$B19+F20*$B20))</f>
        <v>0</v>
      </c>
      <c r="G33" s="38">
        <f t="shared" si="0"/>
        <v>0</v>
      </c>
      <c r="H33" s="38">
        <f t="shared" si="0"/>
        <v>0</v>
      </c>
      <c r="I33" s="38">
        <f t="shared" si="0"/>
        <v>0</v>
      </c>
      <c r="J33" s="38">
        <f t="shared" si="0"/>
        <v>0</v>
      </c>
      <c r="K33" s="38">
        <f t="shared" si="0"/>
        <v>0</v>
      </c>
      <c r="L33" s="38">
        <f t="shared" si="0"/>
        <v>0</v>
      </c>
      <c r="M33" s="38">
        <f t="shared" si="0"/>
        <v>0</v>
      </c>
      <c r="N33" s="38">
        <f t="shared" si="0"/>
        <v>0</v>
      </c>
      <c r="O33" s="38">
        <f t="shared" si="0"/>
        <v>0</v>
      </c>
      <c r="P33" s="38">
        <f t="shared" si="0"/>
        <v>0</v>
      </c>
      <c r="Q33" s="38">
        <f t="shared" si="0"/>
        <v>0</v>
      </c>
      <c r="R33" s="38">
        <f t="shared" si="0"/>
        <v>0</v>
      </c>
      <c r="S33" s="38">
        <f t="shared" si="0"/>
        <v>0</v>
      </c>
      <c r="T33" s="38">
        <f t="shared" si="0"/>
        <v>0</v>
      </c>
      <c r="U33" s="38">
        <f t="shared" si="0"/>
        <v>0</v>
      </c>
      <c r="V33" s="38">
        <f t="shared" si="0"/>
        <v>0</v>
      </c>
      <c r="W33" s="38">
        <f t="shared" si="0"/>
        <v>0</v>
      </c>
      <c r="X33" s="38">
        <f t="shared" si="0"/>
        <v>0</v>
      </c>
      <c r="Y33" s="38">
        <f t="shared" si="0"/>
        <v>0</v>
      </c>
      <c r="Z33" s="38">
        <f t="shared" si="0"/>
        <v>0</v>
      </c>
      <c r="AA33" s="38">
        <f t="shared" si="0"/>
        <v>0</v>
      </c>
      <c r="AB33" s="38">
        <f t="shared" si="0"/>
        <v>0</v>
      </c>
      <c r="AC33" s="38">
        <f t="shared" si="0"/>
        <v>2.346666666666667E-2</v>
      </c>
      <c r="AD33" s="38">
        <f t="shared" si="0"/>
        <v>0</v>
      </c>
      <c r="AE33" s="38">
        <f t="shared" si="0"/>
        <v>0</v>
      </c>
      <c r="AF33" s="38">
        <f t="shared" si="0"/>
        <v>0</v>
      </c>
      <c r="AG33" s="38">
        <f t="shared" si="0"/>
        <v>0</v>
      </c>
      <c r="AH33" s="38">
        <f t="shared" si="0"/>
        <v>0</v>
      </c>
      <c r="AI33" s="38">
        <f t="shared" si="0"/>
        <v>0</v>
      </c>
      <c r="AJ33" s="38">
        <f t="shared" si="0"/>
        <v>0</v>
      </c>
      <c r="AK33" s="38">
        <f t="shared" si="0"/>
        <v>0</v>
      </c>
      <c r="AL33" s="38">
        <f t="shared" si="0"/>
        <v>0</v>
      </c>
      <c r="AM33" s="38">
        <f t="shared" si="0"/>
        <v>0</v>
      </c>
      <c r="AN33" s="38">
        <f t="shared" si="0"/>
        <v>0</v>
      </c>
      <c r="AO33" s="38">
        <f t="shared" si="0"/>
        <v>0</v>
      </c>
      <c r="AP33" s="38">
        <f t="shared" si="0"/>
        <v>0</v>
      </c>
      <c r="AQ33" s="38">
        <f t="shared" si="0"/>
        <v>0</v>
      </c>
      <c r="AR33" s="38">
        <f t="shared" si="0"/>
        <v>0</v>
      </c>
      <c r="AS33" s="38">
        <f t="shared" si="0"/>
        <v>0</v>
      </c>
      <c r="AT33" s="38">
        <f t="shared" si="0"/>
        <v>0</v>
      </c>
      <c r="AU33" s="38">
        <f t="shared" si="0"/>
        <v>0</v>
      </c>
      <c r="AV33" s="38">
        <f t="shared" si="0"/>
        <v>0</v>
      </c>
      <c r="AW33" s="38">
        <f t="shared" si="0"/>
        <v>0</v>
      </c>
      <c r="AX33" s="38">
        <f t="shared" si="0"/>
        <v>0</v>
      </c>
      <c r="AY33" s="38">
        <f t="shared" si="0"/>
        <v>0</v>
      </c>
      <c r="AZ33" s="38">
        <f t="shared" si="0"/>
        <v>0</v>
      </c>
      <c r="BA33" s="38">
        <f t="shared" si="0"/>
        <v>0</v>
      </c>
      <c r="BB33" s="38">
        <f t="shared" si="0"/>
        <v>0</v>
      </c>
      <c r="BC33" s="38">
        <f t="shared" si="0"/>
        <v>0</v>
      </c>
      <c r="BD33" s="38">
        <f t="shared" si="0"/>
        <v>0</v>
      </c>
    </row>
    <row r="50" spans="1:56" ht="15.75" thickBot="1" x14ac:dyDescent="0.3">
      <c r="A50" s="17" t="s">
        <v>271</v>
      </c>
      <c r="B50" t="s">
        <v>273</v>
      </c>
    </row>
    <row r="51" spans="1:56" ht="15.75" thickBot="1" x14ac:dyDescent="0.3">
      <c r="A51" s="236" t="s">
        <v>14</v>
      </c>
      <c r="B51" s="236" t="s">
        <v>49</v>
      </c>
      <c r="C51" s="238" t="s">
        <v>10</v>
      </c>
      <c r="D51" s="240" t="s">
        <v>58</v>
      </c>
      <c r="E51" s="230" t="s">
        <v>15</v>
      </c>
      <c r="F51" s="231"/>
      <c r="G51" s="231"/>
      <c r="H51" s="231"/>
      <c r="I51" s="231"/>
      <c r="J51" s="231"/>
      <c r="K51" s="232"/>
      <c r="L51" s="230" t="s">
        <v>53</v>
      </c>
      <c r="M51" s="231"/>
      <c r="N51" s="231"/>
      <c r="O51" s="231"/>
      <c r="P51" s="232"/>
      <c r="Q51" s="230" t="s">
        <v>33</v>
      </c>
      <c r="R51" s="231"/>
      <c r="S51" s="231"/>
      <c r="T51" s="231"/>
      <c r="U51" s="231"/>
      <c r="V51" s="232"/>
      <c r="W51" s="230" t="s">
        <v>16</v>
      </c>
      <c r="X51" s="231"/>
      <c r="Y51" s="231"/>
      <c r="Z51" s="231"/>
      <c r="AA51" s="231"/>
      <c r="AB51" s="231"/>
      <c r="AC51" s="232"/>
      <c r="AD51" s="230" t="s">
        <v>17</v>
      </c>
      <c r="AE51" s="231"/>
      <c r="AF51" s="231"/>
      <c r="AG51" s="231"/>
      <c r="AH51" s="231"/>
      <c r="AI51" s="231"/>
      <c r="AJ51" s="232"/>
      <c r="AK51" s="244" t="s">
        <v>34</v>
      </c>
      <c r="AL51" s="245"/>
      <c r="AM51" s="245"/>
      <c r="AN51" s="246"/>
      <c r="AO51" s="244" t="s">
        <v>18</v>
      </c>
      <c r="AP51" s="245"/>
      <c r="AQ51" s="245"/>
      <c r="AR51" s="245"/>
      <c r="AS51" s="246"/>
      <c r="AT51" s="244" t="s">
        <v>50</v>
      </c>
      <c r="AU51" s="245"/>
      <c r="AV51" s="247"/>
      <c r="AW51" s="248" t="s">
        <v>52</v>
      </c>
      <c r="AX51" s="246"/>
      <c r="AY51" s="244" t="s">
        <v>51</v>
      </c>
      <c r="AZ51" s="245"/>
      <c r="BA51" s="245"/>
      <c r="BB51" s="245"/>
      <c r="BC51" s="245"/>
      <c r="BD51" s="246"/>
    </row>
    <row r="52" spans="1:56" ht="18" thickBot="1" x14ac:dyDescent="0.3">
      <c r="A52" s="237"/>
      <c r="B52" s="237"/>
      <c r="C52" s="239"/>
      <c r="D52" s="241"/>
      <c r="E52" s="16" t="s">
        <v>19</v>
      </c>
      <c r="F52" s="17" t="s">
        <v>20</v>
      </c>
      <c r="G52" s="17" t="s">
        <v>35</v>
      </c>
      <c r="H52" s="17" t="s">
        <v>36</v>
      </c>
      <c r="I52" s="18" t="s">
        <v>47</v>
      </c>
      <c r="J52" s="18" t="s">
        <v>48</v>
      </c>
      <c r="K52" s="19" t="s">
        <v>21</v>
      </c>
      <c r="L52" s="20" t="s">
        <v>37</v>
      </c>
      <c r="M52" s="18" t="s">
        <v>38</v>
      </c>
      <c r="N52" s="18" t="s">
        <v>39</v>
      </c>
      <c r="O52" s="18" t="s">
        <v>40</v>
      </c>
      <c r="P52" s="19" t="s">
        <v>59</v>
      </c>
      <c r="Q52" s="20" t="s">
        <v>41</v>
      </c>
      <c r="R52" s="17" t="s">
        <v>42</v>
      </c>
      <c r="S52" s="18" t="s">
        <v>43</v>
      </c>
      <c r="T52" s="17" t="s">
        <v>44</v>
      </c>
      <c r="U52" s="18" t="s">
        <v>45</v>
      </c>
      <c r="V52" s="19" t="s">
        <v>46</v>
      </c>
      <c r="W52" s="21" t="s">
        <v>19</v>
      </c>
      <c r="X52" s="22" t="s">
        <v>20</v>
      </c>
      <c r="Y52" s="22" t="s">
        <v>35</v>
      </c>
      <c r="Z52" s="22" t="s">
        <v>36</v>
      </c>
      <c r="AA52" s="22" t="s">
        <v>47</v>
      </c>
      <c r="AB52" s="22" t="s">
        <v>48</v>
      </c>
      <c r="AC52" s="23" t="s">
        <v>21</v>
      </c>
      <c r="AD52" s="21" t="s">
        <v>19</v>
      </c>
      <c r="AE52" s="22" t="s">
        <v>20</v>
      </c>
      <c r="AF52" s="22" t="s">
        <v>35</v>
      </c>
      <c r="AG52" s="22" t="s">
        <v>36</v>
      </c>
      <c r="AH52" s="22" t="s">
        <v>47</v>
      </c>
      <c r="AI52" s="22" t="s">
        <v>48</v>
      </c>
      <c r="AJ52" s="23" t="s">
        <v>21</v>
      </c>
      <c r="AK52" s="24" t="s">
        <v>60</v>
      </c>
      <c r="AL52" s="25" t="s">
        <v>61</v>
      </c>
      <c r="AM52" s="25" t="s">
        <v>62</v>
      </c>
      <c r="AN52" s="26" t="s">
        <v>63</v>
      </c>
      <c r="AO52" s="27" t="s">
        <v>64</v>
      </c>
      <c r="AP52" s="25" t="s">
        <v>65</v>
      </c>
      <c r="AQ52" s="25" t="s">
        <v>66</v>
      </c>
      <c r="AR52" s="25" t="s">
        <v>67</v>
      </c>
      <c r="AS52" s="26" t="s">
        <v>68</v>
      </c>
      <c r="AT52" s="27" t="s">
        <v>69</v>
      </c>
      <c r="AU52" s="25" t="s">
        <v>70</v>
      </c>
      <c r="AV52" s="25" t="s">
        <v>71</v>
      </c>
      <c r="AW52" s="25" t="s">
        <v>72</v>
      </c>
      <c r="AX52" s="28" t="s">
        <v>73</v>
      </c>
      <c r="AY52" s="24" t="s">
        <v>23</v>
      </c>
      <c r="AZ52" s="25" t="s">
        <v>24</v>
      </c>
      <c r="BA52" s="25" t="s">
        <v>25</v>
      </c>
      <c r="BB52" s="25" t="s">
        <v>28</v>
      </c>
      <c r="BC52" s="25" t="s">
        <v>26</v>
      </c>
      <c r="BD52" s="28" t="s">
        <v>27</v>
      </c>
    </row>
    <row r="53" spans="1:56" x14ac:dyDescent="0.25">
      <c r="A53" s="111" t="e">
        <f>IF('3'!$AC$11="", B53, NA())</f>
        <v>#N/A</v>
      </c>
      <c r="B53" s="111"/>
      <c r="C53" s="96"/>
      <c r="D53" s="112"/>
      <c r="E53" s="96"/>
      <c r="F53" s="96"/>
      <c r="G53" s="96"/>
      <c r="H53" s="96"/>
      <c r="I53" s="96"/>
      <c r="J53" s="96"/>
      <c r="K53" s="96"/>
      <c r="L53" s="111"/>
      <c r="M53" s="96"/>
      <c r="N53" s="96"/>
      <c r="O53" s="96"/>
      <c r="P53" s="96"/>
      <c r="Q53" s="111"/>
      <c r="R53" s="96"/>
      <c r="S53" s="96"/>
      <c r="T53" s="96"/>
      <c r="U53" s="96"/>
      <c r="V53" s="96"/>
      <c r="W53" s="96"/>
      <c r="X53" s="96"/>
      <c r="Y53" s="96"/>
      <c r="Z53" s="96"/>
      <c r="AA53" s="96"/>
      <c r="AB53" s="96"/>
      <c r="AC53" s="96"/>
      <c r="AD53" s="111"/>
      <c r="AE53" s="13"/>
      <c r="AF53" s="13"/>
      <c r="AG53" s="13"/>
      <c r="AH53" s="13"/>
      <c r="AI53" s="13"/>
      <c r="AJ53" s="84"/>
      <c r="AK53" s="113"/>
      <c r="AL53" s="13"/>
      <c r="AM53" s="13"/>
      <c r="AN53" s="84"/>
      <c r="AO53" s="13"/>
      <c r="AP53" s="13"/>
      <c r="AQ53" s="13"/>
      <c r="AR53" s="13"/>
      <c r="AS53" s="13"/>
      <c r="AT53" s="113"/>
      <c r="AU53" s="13"/>
      <c r="AV53" s="13"/>
      <c r="AW53" s="13"/>
      <c r="AX53" s="84"/>
      <c r="AY53" s="113"/>
      <c r="AZ53" s="13"/>
      <c r="BA53" s="13"/>
      <c r="BB53" s="13"/>
      <c r="BC53" s="13"/>
      <c r="BD53" s="84"/>
    </row>
    <row r="54" spans="1:56" x14ac:dyDescent="0.25">
      <c r="A54" s="111" t="e">
        <f>IF('3'!$AC$11="", B54, NA())</f>
        <v>#N/A</v>
      </c>
      <c r="B54" s="111">
        <v>0.9</v>
      </c>
      <c r="C54" s="96"/>
      <c r="D54" s="112"/>
      <c r="E54" s="96"/>
      <c r="F54" s="96"/>
      <c r="G54" s="96"/>
      <c r="H54" s="96"/>
      <c r="I54" s="96"/>
      <c r="J54" s="96"/>
      <c r="K54" s="96"/>
      <c r="L54" s="111"/>
      <c r="M54" s="96"/>
      <c r="N54" s="96"/>
      <c r="O54" s="96"/>
      <c r="P54" s="112"/>
      <c r="Q54" s="111"/>
      <c r="R54" s="96"/>
      <c r="S54" s="96"/>
      <c r="T54" s="96"/>
      <c r="U54" s="96"/>
      <c r="V54" s="112"/>
      <c r="W54" s="96"/>
      <c r="X54" s="96"/>
      <c r="Y54" s="96"/>
      <c r="Z54" s="96"/>
      <c r="AA54" s="96"/>
      <c r="AB54" s="96"/>
      <c r="AC54" s="96">
        <v>0.1</v>
      </c>
      <c r="AD54" s="111"/>
      <c r="AE54" s="13"/>
      <c r="AF54" s="13"/>
      <c r="AG54" s="13"/>
      <c r="AH54" s="13"/>
      <c r="AI54" s="13"/>
      <c r="AJ54" s="84"/>
      <c r="AK54" s="113"/>
      <c r="AL54" s="13"/>
      <c r="AM54" s="13"/>
      <c r="AN54" s="84"/>
      <c r="AO54" s="13"/>
      <c r="AP54" s="13"/>
      <c r="AQ54" s="13"/>
      <c r="AR54" s="13"/>
      <c r="AS54" s="13"/>
      <c r="AT54" s="113"/>
      <c r="AU54" s="13"/>
      <c r="AV54" s="13"/>
      <c r="AW54" s="13"/>
      <c r="AX54" s="84"/>
      <c r="AY54" s="113"/>
      <c r="AZ54" s="13"/>
      <c r="BA54" s="13"/>
      <c r="BB54" s="13"/>
      <c r="BC54" s="13"/>
      <c r="BD54" s="84"/>
    </row>
    <row r="55" spans="1:56" x14ac:dyDescent="0.25">
      <c r="A55" s="111" t="e">
        <f>IF('3'!$AC$11="", B55, NA())</f>
        <v>#N/A</v>
      </c>
      <c r="B55" s="111">
        <v>0.8</v>
      </c>
      <c r="C55" s="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6"/>
      <c r="R55" s="96"/>
      <c r="S55" s="96"/>
      <c r="T55" s="96"/>
      <c r="U55" s="96"/>
      <c r="V55" s="96"/>
      <c r="W55" s="96"/>
      <c r="X55" s="96"/>
      <c r="Y55" s="96"/>
      <c r="Z55" s="96"/>
      <c r="AA55" s="96"/>
      <c r="AB55" s="96"/>
      <c r="AC55" s="96">
        <v>0.11</v>
      </c>
      <c r="AD55" s="96"/>
      <c r="AE55" s="96"/>
      <c r="AF55" s="96"/>
      <c r="AG55" s="96"/>
      <c r="AH55" s="96"/>
      <c r="AI55" s="96"/>
      <c r="AJ55" s="96"/>
      <c r="AK55" s="96"/>
      <c r="AL55" s="96"/>
      <c r="AM55" s="96"/>
      <c r="AN55" s="96"/>
      <c r="AO55" s="96"/>
      <c r="AP55" s="96"/>
      <c r="AQ55" s="96"/>
      <c r="AR55" s="96"/>
      <c r="AS55" s="96"/>
      <c r="AT55" s="96"/>
      <c r="AU55" s="96"/>
      <c r="AV55" s="96"/>
      <c r="AW55" s="96"/>
      <c r="AX55" s="96"/>
      <c r="AY55" s="96"/>
      <c r="AZ55" s="96"/>
      <c r="BA55" s="96"/>
      <c r="BB55" s="96"/>
      <c r="BC55" s="96"/>
      <c r="BD55" s="96"/>
    </row>
    <row r="56" spans="1:56" x14ac:dyDescent="0.25">
      <c r="A56" s="111" t="e">
        <f>IF('3'!$AC$11="", B56, NA())</f>
        <v>#N/A</v>
      </c>
      <c r="B56" s="111"/>
      <c r="C56" s="96"/>
      <c r="D56" s="112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</row>
    <row r="57" spans="1:56" x14ac:dyDescent="0.25">
      <c r="A57" s="111" t="e">
        <f>IF('3'!$AC$11="", B57, NA())</f>
        <v>#N/A</v>
      </c>
      <c r="B57" s="111"/>
      <c r="C57" s="96"/>
      <c r="D57" s="112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</row>
    <row r="58" spans="1:56" x14ac:dyDescent="0.25">
      <c r="A58" s="111" t="e">
        <f>IF('3'!$AC$11="", B58, NA())</f>
        <v>#N/A</v>
      </c>
      <c r="B58" s="111"/>
      <c r="C58" s="96"/>
      <c r="D58" s="112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</row>
    <row r="59" spans="1:56" x14ac:dyDescent="0.25">
      <c r="A59" s="111" t="e">
        <f>IF('3'!$AC$11="", B59, NA())</f>
        <v>#N/A</v>
      </c>
      <c r="B59" s="111"/>
      <c r="C59" s="96"/>
      <c r="D59" s="112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</row>
    <row r="60" spans="1:56" x14ac:dyDescent="0.25">
      <c r="A60" s="111" t="e">
        <f>IF('3'!$AC$11="", B60, NA())</f>
        <v>#N/A</v>
      </c>
      <c r="B60" s="111"/>
      <c r="C60" s="96"/>
      <c r="D60" s="112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</row>
    <row r="61" spans="1:56" x14ac:dyDescent="0.25">
      <c r="A61" s="111" t="e">
        <f>IF('3'!$AC$11="", B61, NA())</f>
        <v>#N/A</v>
      </c>
      <c r="B61" s="111"/>
      <c r="C61" s="96"/>
      <c r="D61" s="112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</row>
    <row r="62" spans="1:56" x14ac:dyDescent="0.25">
      <c r="A62" s="111" t="e">
        <f>IF('3'!$AC$11="", B62, NA())</f>
        <v>#N/A</v>
      </c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</row>
    <row r="63" spans="1:56" x14ac:dyDescent="0.25">
      <c r="A63" s="111" t="e">
        <f>IF('3'!$AC$11="", B63, NA())</f>
        <v>#N/A</v>
      </c>
      <c r="B63" s="111"/>
      <c r="C63" s="96"/>
      <c r="D63" s="112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</row>
    <row r="64" spans="1:56" ht="15.75" thickBot="1" x14ac:dyDescent="0.3">
      <c r="A64" s="111" t="e">
        <f>IF('3'!$AC$11="", B64, NA())</f>
        <v>#N/A</v>
      </c>
      <c r="B64" s="111"/>
      <c r="C64" s="96"/>
      <c r="D64" s="112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</row>
    <row r="65" spans="1:56" ht="15.75" thickBot="1" x14ac:dyDescent="0.3">
      <c r="A65" s="36" t="e">
        <f>IF('3'!$AC$11="", -B65, NA())</f>
        <v>#N/A</v>
      </c>
      <c r="B65" s="117"/>
      <c r="C65" s="118"/>
      <c r="D65" s="144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</row>
    <row r="66" spans="1:56" x14ac:dyDescent="0.25">
      <c r="A66" s="147" t="e">
        <f>IF('3'!$AC$11="", -B66, NA())</f>
        <v>#N/A</v>
      </c>
      <c r="B66" s="110"/>
      <c r="C66" s="96"/>
      <c r="D66" s="115"/>
      <c r="E66" s="110"/>
      <c r="F66" s="110"/>
      <c r="G66" s="110"/>
      <c r="H66" s="110"/>
      <c r="I66" s="110"/>
      <c r="J66" s="110"/>
      <c r="K66" s="109"/>
      <c r="L66" s="114"/>
      <c r="M66" s="110"/>
      <c r="N66" s="110"/>
      <c r="O66" s="110"/>
      <c r="P66" s="115"/>
      <c r="Q66" s="114"/>
      <c r="R66" s="110"/>
      <c r="S66" s="110"/>
      <c r="T66" s="110"/>
      <c r="U66" s="110"/>
      <c r="V66" s="115"/>
      <c r="W66" s="110"/>
      <c r="X66" s="110"/>
      <c r="Y66" s="110"/>
      <c r="Z66" s="110"/>
      <c r="AA66" s="110"/>
      <c r="AB66" s="110"/>
      <c r="AC66" s="110"/>
      <c r="AD66" s="114"/>
      <c r="AE66" s="3"/>
      <c r="AF66" s="3"/>
      <c r="AG66" s="3"/>
      <c r="AH66" s="3"/>
      <c r="AI66" s="3"/>
      <c r="AJ66" s="115"/>
      <c r="AK66" s="114"/>
      <c r="AL66" s="110"/>
      <c r="AM66" s="110"/>
      <c r="AN66" s="115"/>
      <c r="AO66" s="110"/>
      <c r="AP66" s="110"/>
      <c r="AQ66" s="110"/>
      <c r="AR66" s="110"/>
      <c r="AS66" s="110"/>
      <c r="AT66" s="114"/>
      <c r="AU66" s="3"/>
      <c r="AV66" s="3"/>
      <c r="AW66" s="3"/>
      <c r="AX66" s="3"/>
      <c r="AY66" s="113"/>
      <c r="AZ66" s="13"/>
      <c r="BA66" s="13"/>
      <c r="BB66" s="13"/>
      <c r="BC66" s="13"/>
      <c r="BD66" s="84"/>
    </row>
    <row r="67" spans="1:56" x14ac:dyDescent="0.25">
      <c r="A67" s="147" t="e">
        <f>IF('3'!$AC$11="", -B67, NA())</f>
        <v>#N/A</v>
      </c>
      <c r="B67" s="110"/>
      <c r="C67" s="96"/>
      <c r="D67" s="115"/>
      <c r="E67" s="110"/>
      <c r="F67" s="110"/>
      <c r="G67" s="110"/>
      <c r="H67" s="110"/>
      <c r="I67" s="110"/>
      <c r="J67" s="110"/>
      <c r="K67" s="109"/>
      <c r="L67" s="114"/>
      <c r="M67" s="110"/>
      <c r="N67" s="110"/>
      <c r="O67" s="110"/>
      <c r="P67" s="115"/>
      <c r="Q67" s="114"/>
      <c r="R67" s="110"/>
      <c r="S67" s="110"/>
      <c r="T67" s="110"/>
      <c r="U67" s="110"/>
      <c r="V67" s="115"/>
      <c r="W67" s="110"/>
      <c r="X67" s="110"/>
      <c r="Y67" s="110"/>
      <c r="Z67" s="110"/>
      <c r="AA67" s="110"/>
      <c r="AB67" s="110"/>
      <c r="AC67" s="110"/>
      <c r="AD67" s="114"/>
      <c r="AE67" s="3"/>
      <c r="AF67" s="3"/>
      <c r="AG67" s="3"/>
      <c r="AH67" s="3"/>
      <c r="AI67" s="3"/>
      <c r="AJ67" s="115"/>
      <c r="AK67" s="114"/>
      <c r="AL67" s="110"/>
      <c r="AM67" s="110"/>
      <c r="AN67" s="115"/>
      <c r="AO67" s="110"/>
      <c r="AP67" s="110"/>
      <c r="AQ67" s="110"/>
      <c r="AR67" s="110"/>
      <c r="AS67" s="110"/>
      <c r="AT67" s="114"/>
      <c r="AU67" s="3"/>
      <c r="AV67" s="3"/>
      <c r="AW67" s="3"/>
      <c r="AX67" s="3"/>
      <c r="AY67" s="113"/>
      <c r="AZ67" s="13"/>
      <c r="BA67" s="13"/>
      <c r="BB67" s="13"/>
      <c r="BC67" s="13"/>
      <c r="BD67" s="84"/>
    </row>
    <row r="68" spans="1:56" x14ac:dyDescent="0.25">
      <c r="A68" s="147" t="e">
        <f>IF('3'!$AC$11="", -B68, NA())</f>
        <v>#N/A</v>
      </c>
      <c r="B68" s="110"/>
      <c r="C68" s="96"/>
      <c r="D68" s="115"/>
      <c r="E68" s="110"/>
      <c r="F68" s="110"/>
      <c r="G68" s="110"/>
      <c r="H68" s="110"/>
      <c r="I68" s="110"/>
      <c r="J68" s="110"/>
      <c r="K68" s="109"/>
      <c r="L68" s="114"/>
      <c r="M68" s="110"/>
      <c r="N68" s="110"/>
      <c r="O68" s="110"/>
      <c r="P68" s="115"/>
      <c r="Q68" s="114"/>
      <c r="R68" s="110"/>
      <c r="S68" s="110"/>
      <c r="T68" s="110"/>
      <c r="U68" s="110"/>
      <c r="V68" s="115"/>
      <c r="W68" s="110"/>
      <c r="X68" s="110"/>
      <c r="Y68" s="110"/>
      <c r="Z68" s="110"/>
      <c r="AA68" s="110"/>
      <c r="AB68" s="110"/>
      <c r="AC68" s="110"/>
      <c r="AD68" s="114"/>
      <c r="AE68" s="3"/>
      <c r="AF68" s="3"/>
      <c r="AG68" s="3"/>
      <c r="AH68" s="3"/>
      <c r="AI68" s="3"/>
      <c r="AJ68" s="115"/>
      <c r="AK68" s="114"/>
      <c r="AL68" s="110"/>
      <c r="AM68" s="110"/>
      <c r="AN68" s="115"/>
      <c r="AO68" s="110"/>
      <c r="AP68" s="110"/>
      <c r="AQ68" s="110"/>
      <c r="AR68" s="110"/>
      <c r="AS68" s="110"/>
      <c r="AT68" s="114"/>
      <c r="AU68" s="3"/>
      <c r="AV68" s="3"/>
      <c r="AW68" s="3"/>
      <c r="AX68" s="3"/>
      <c r="AY68" s="113"/>
      <c r="AZ68" s="13"/>
      <c r="BA68" s="13"/>
      <c r="BB68" s="13"/>
      <c r="BC68" s="13"/>
      <c r="BD68" s="84"/>
    </row>
    <row r="69" spans="1:56" x14ac:dyDescent="0.25">
      <c r="A69" s="147" t="e">
        <f>IF('3'!$AC$11="", -B69, NA())</f>
        <v>#N/A</v>
      </c>
      <c r="B69" s="110"/>
      <c r="C69" s="96"/>
      <c r="D69" s="115"/>
      <c r="E69" s="110"/>
      <c r="F69" s="110"/>
      <c r="G69" s="110"/>
      <c r="H69" s="110"/>
      <c r="I69" s="110"/>
      <c r="J69" s="110"/>
      <c r="K69" s="109"/>
      <c r="L69" s="114"/>
      <c r="M69" s="110"/>
      <c r="N69" s="110"/>
      <c r="O69" s="110"/>
      <c r="P69" s="115"/>
      <c r="Q69" s="114"/>
      <c r="R69" s="110"/>
      <c r="S69" s="110"/>
      <c r="T69" s="110"/>
      <c r="U69" s="110"/>
      <c r="V69" s="115"/>
      <c r="W69" s="110"/>
      <c r="X69" s="110"/>
      <c r="Y69" s="110"/>
      <c r="Z69" s="110"/>
      <c r="AA69" s="110"/>
      <c r="AB69" s="110"/>
      <c r="AC69" s="110"/>
      <c r="AD69" s="114"/>
      <c r="AE69" s="3"/>
      <c r="AF69" s="3"/>
      <c r="AG69" s="3"/>
      <c r="AH69" s="3"/>
      <c r="AI69" s="3"/>
      <c r="AJ69" s="115"/>
      <c r="AK69" s="114"/>
      <c r="AL69" s="110"/>
      <c r="AM69" s="110"/>
      <c r="AN69" s="115"/>
      <c r="AO69" s="110"/>
      <c r="AP69" s="110"/>
      <c r="AQ69" s="110"/>
      <c r="AR69" s="110"/>
      <c r="AS69" s="110"/>
      <c r="AT69" s="114"/>
      <c r="AU69" s="3"/>
      <c r="AV69" s="3"/>
      <c r="AW69" s="3"/>
      <c r="AX69" s="3"/>
      <c r="AY69" s="113"/>
      <c r="AZ69" s="13"/>
      <c r="BA69" s="13"/>
      <c r="BB69" s="13"/>
      <c r="BC69" s="13"/>
      <c r="BD69" s="84"/>
    </row>
    <row r="70" spans="1:56" x14ac:dyDescent="0.25">
      <c r="A70" s="147" t="e">
        <f>IF('3'!$AC$11="", -B70, NA())</f>
        <v>#N/A</v>
      </c>
      <c r="B70" s="110"/>
      <c r="C70" s="96"/>
      <c r="D70" s="115"/>
      <c r="E70" s="110"/>
      <c r="F70" s="110"/>
      <c r="G70" s="110"/>
      <c r="H70" s="110"/>
      <c r="I70" s="110"/>
      <c r="J70" s="110"/>
      <c r="K70" s="109"/>
      <c r="L70" s="114"/>
      <c r="M70" s="110"/>
      <c r="N70" s="110"/>
      <c r="O70" s="110"/>
      <c r="P70" s="115"/>
      <c r="Q70" s="114"/>
      <c r="R70" s="110"/>
      <c r="S70" s="110"/>
      <c r="T70" s="110"/>
      <c r="U70" s="110"/>
      <c r="V70" s="115"/>
      <c r="W70" s="110"/>
      <c r="X70" s="110"/>
      <c r="Y70" s="110"/>
      <c r="Z70" s="110"/>
      <c r="AA70" s="110"/>
      <c r="AB70" s="110"/>
      <c r="AC70" s="110"/>
      <c r="AD70" s="114"/>
      <c r="AE70" s="3"/>
      <c r="AF70" s="3"/>
      <c r="AG70" s="3"/>
      <c r="AH70" s="3"/>
      <c r="AI70" s="3"/>
      <c r="AJ70" s="115"/>
      <c r="AK70" s="114"/>
      <c r="AL70" s="110"/>
      <c r="AM70" s="110"/>
      <c r="AN70" s="115"/>
      <c r="AO70" s="110"/>
      <c r="AP70" s="110"/>
      <c r="AQ70" s="110"/>
      <c r="AR70" s="110"/>
      <c r="AS70" s="110"/>
      <c r="AT70" s="114"/>
      <c r="AU70" s="3"/>
      <c r="AV70" s="3"/>
      <c r="AW70" s="3"/>
      <c r="AX70" s="3"/>
      <c r="AY70" s="113"/>
      <c r="AZ70" s="13"/>
      <c r="BA70" s="13"/>
      <c r="BB70" s="13"/>
      <c r="BC70" s="13"/>
      <c r="BD70" s="84"/>
    </row>
    <row r="71" spans="1:56" x14ac:dyDescent="0.25">
      <c r="A71" s="147" t="e">
        <f>IF('3'!$AC$11="", -B71, NA())</f>
        <v>#N/A</v>
      </c>
      <c r="B71" s="110"/>
      <c r="C71" s="96"/>
      <c r="D71" s="115"/>
      <c r="E71" s="110"/>
      <c r="F71" s="110"/>
      <c r="G71" s="110"/>
      <c r="H71" s="110"/>
      <c r="I71" s="110"/>
      <c r="J71" s="110"/>
      <c r="K71" s="109"/>
      <c r="L71" s="114"/>
      <c r="M71" s="110"/>
      <c r="N71" s="110"/>
      <c r="O71" s="110"/>
      <c r="P71" s="115"/>
      <c r="Q71" s="114"/>
      <c r="R71" s="110"/>
      <c r="S71" s="110"/>
      <c r="T71" s="110"/>
      <c r="U71" s="110"/>
      <c r="V71" s="115"/>
      <c r="W71" s="110"/>
      <c r="X71" s="110"/>
      <c r="Y71" s="110"/>
      <c r="Z71" s="110"/>
      <c r="AA71" s="110"/>
      <c r="AB71" s="110"/>
      <c r="AC71" s="110"/>
      <c r="AD71" s="114"/>
      <c r="AE71" s="3"/>
      <c r="AF71" s="3"/>
      <c r="AG71" s="3"/>
      <c r="AH71" s="3"/>
      <c r="AI71" s="3"/>
      <c r="AJ71" s="115"/>
      <c r="AK71" s="114"/>
      <c r="AL71" s="110"/>
      <c r="AM71" s="110"/>
      <c r="AN71" s="115"/>
      <c r="AO71" s="110"/>
      <c r="AP71" s="110"/>
      <c r="AQ71" s="110"/>
      <c r="AR71" s="110"/>
      <c r="AS71" s="110"/>
      <c r="AT71" s="114"/>
      <c r="AU71" s="3"/>
      <c r="AV71" s="3"/>
      <c r="AW71" s="3"/>
      <c r="AX71" s="3"/>
      <c r="AY71" s="113"/>
      <c r="AZ71" s="13"/>
      <c r="BA71" s="13"/>
      <c r="BB71" s="13"/>
      <c r="BC71" s="13"/>
      <c r="BD71" s="84"/>
    </row>
    <row r="72" spans="1:56" x14ac:dyDescent="0.25">
      <c r="A72" s="147" t="e">
        <f>IF('3'!$AC$11="", -B72, NA())</f>
        <v>#N/A</v>
      </c>
      <c r="B72" s="110"/>
      <c r="C72" s="96"/>
      <c r="D72" s="115"/>
      <c r="E72" s="110"/>
      <c r="F72" s="110"/>
      <c r="G72" s="110"/>
      <c r="H72" s="110"/>
      <c r="I72" s="110"/>
      <c r="J72" s="110"/>
      <c r="K72" s="109"/>
      <c r="L72" s="114"/>
      <c r="M72" s="110"/>
      <c r="N72" s="110"/>
      <c r="O72" s="110"/>
      <c r="P72" s="115"/>
      <c r="Q72" s="114"/>
      <c r="R72" s="110"/>
      <c r="S72" s="110"/>
      <c r="T72" s="110"/>
      <c r="U72" s="110"/>
      <c r="V72" s="115"/>
      <c r="W72" s="110"/>
      <c r="X72" s="110"/>
      <c r="Y72" s="110"/>
      <c r="Z72" s="110"/>
      <c r="AA72" s="110"/>
      <c r="AB72" s="110"/>
      <c r="AC72" s="110"/>
      <c r="AD72" s="114"/>
      <c r="AE72" s="3"/>
      <c r="AF72" s="3"/>
      <c r="AG72" s="3"/>
      <c r="AH72" s="3"/>
      <c r="AI72" s="3"/>
      <c r="AJ72" s="115"/>
      <c r="AK72" s="114"/>
      <c r="AL72" s="110"/>
      <c r="AM72" s="110"/>
      <c r="AN72" s="115"/>
      <c r="AO72" s="110"/>
      <c r="AP72" s="110"/>
      <c r="AQ72" s="110"/>
      <c r="AR72" s="110"/>
      <c r="AS72" s="110"/>
      <c r="AT72" s="114"/>
      <c r="AU72" s="3"/>
      <c r="AV72" s="3"/>
      <c r="AW72" s="3"/>
      <c r="AX72" s="3"/>
      <c r="AY72" s="113"/>
      <c r="AZ72" s="13"/>
      <c r="BA72" s="13"/>
      <c r="BB72" s="13"/>
      <c r="BC72" s="13"/>
      <c r="BD72" s="84"/>
    </row>
    <row r="73" spans="1:56" x14ac:dyDescent="0.25">
      <c r="A73" s="147" t="e">
        <f>IF('3'!$AC$11="", -B73, NA())</f>
        <v>#N/A</v>
      </c>
      <c r="B73" s="111"/>
      <c r="C73" s="96"/>
      <c r="D73" s="112"/>
      <c r="E73" s="96"/>
      <c r="F73" s="96"/>
      <c r="G73" s="96"/>
      <c r="H73" s="96"/>
      <c r="I73" s="96"/>
      <c r="J73" s="96"/>
      <c r="K73" s="96"/>
      <c r="L73" s="111"/>
      <c r="M73" s="96"/>
      <c r="N73" s="96"/>
      <c r="O73" s="96"/>
      <c r="P73" s="112"/>
      <c r="Q73" s="111"/>
      <c r="R73" s="96"/>
      <c r="S73" s="96"/>
      <c r="T73" s="96"/>
      <c r="U73" s="96"/>
      <c r="V73" s="112"/>
      <c r="W73" s="96"/>
      <c r="X73" s="96"/>
      <c r="Y73" s="96"/>
      <c r="Z73" s="96"/>
      <c r="AA73" s="96"/>
      <c r="AB73" s="96"/>
      <c r="AC73" s="96"/>
      <c r="AD73" s="111"/>
      <c r="AE73" s="13"/>
      <c r="AF73" s="13"/>
      <c r="AG73" s="13"/>
      <c r="AH73" s="13"/>
      <c r="AI73" s="13"/>
      <c r="AJ73" s="84"/>
      <c r="AK73" s="113"/>
      <c r="AL73" s="13"/>
      <c r="AM73" s="13"/>
      <c r="AN73" s="84"/>
      <c r="AO73" s="13"/>
      <c r="AP73" s="13"/>
      <c r="AQ73" s="13"/>
      <c r="AR73" s="13"/>
      <c r="AS73" s="13"/>
      <c r="AT73" s="113"/>
      <c r="AU73" s="13"/>
      <c r="AV73" s="13"/>
      <c r="AW73" s="13"/>
      <c r="AX73" s="84"/>
      <c r="AY73" s="113"/>
      <c r="AZ73" s="13"/>
      <c r="BA73" s="13"/>
      <c r="BB73" s="13"/>
      <c r="BC73" s="13"/>
      <c r="BD73" s="84"/>
    </row>
    <row r="74" spans="1:56" x14ac:dyDescent="0.25">
      <c r="A74" s="147" t="e">
        <f>IF('3'!$AC$11="", -B74, NA())</f>
        <v>#N/A</v>
      </c>
      <c r="B74" s="110"/>
      <c r="C74" s="96"/>
      <c r="D74" s="115"/>
      <c r="E74" s="110"/>
      <c r="F74" s="110"/>
      <c r="G74" s="110"/>
      <c r="H74" s="110"/>
      <c r="I74" s="110"/>
      <c r="J74" s="110"/>
      <c r="K74" s="109"/>
      <c r="L74" s="114"/>
      <c r="M74" s="110"/>
      <c r="N74" s="110"/>
      <c r="O74" s="110"/>
      <c r="P74" s="115"/>
      <c r="Q74" s="114"/>
      <c r="R74" s="110"/>
      <c r="S74" s="110"/>
      <c r="T74" s="110"/>
      <c r="U74" s="110"/>
      <c r="V74" s="115"/>
      <c r="W74" s="110"/>
      <c r="X74" s="110"/>
      <c r="Y74" s="110"/>
      <c r="Z74" s="110"/>
      <c r="AA74" s="110"/>
      <c r="AB74" s="110"/>
      <c r="AC74" s="110"/>
      <c r="AD74" s="114"/>
      <c r="AE74" s="3"/>
      <c r="AF74" s="3"/>
      <c r="AG74" s="3"/>
      <c r="AH74" s="3"/>
      <c r="AI74" s="3"/>
      <c r="AJ74" s="115"/>
      <c r="AK74" s="114"/>
      <c r="AL74" s="110"/>
      <c r="AM74" s="110"/>
      <c r="AN74" s="115"/>
      <c r="AO74" s="110"/>
      <c r="AP74" s="110"/>
      <c r="AQ74" s="110"/>
      <c r="AR74" s="110"/>
      <c r="AS74" s="110"/>
      <c r="AT74" s="114"/>
      <c r="AU74" s="3"/>
      <c r="AV74" s="3"/>
      <c r="AW74" s="3"/>
      <c r="AX74" s="3"/>
      <c r="AY74" s="113"/>
      <c r="AZ74" s="13"/>
      <c r="BA74" s="13"/>
      <c r="BB74" s="13"/>
      <c r="BC74" s="13"/>
      <c r="BD74" s="84"/>
    </row>
    <row r="75" spans="1:56" x14ac:dyDescent="0.25">
      <c r="A75" s="147" t="e">
        <f>IF('3'!$AC$11="", -B75, NA())</f>
        <v>#N/A</v>
      </c>
      <c r="B75" s="110"/>
      <c r="C75" s="96"/>
      <c r="D75" s="115"/>
      <c r="E75" s="110"/>
      <c r="F75" s="110"/>
      <c r="G75" s="110"/>
      <c r="H75" s="110"/>
      <c r="I75" s="110"/>
      <c r="J75" s="110"/>
      <c r="K75" s="109"/>
      <c r="L75" s="114"/>
      <c r="M75" s="110"/>
      <c r="N75" s="110"/>
      <c r="O75" s="110"/>
      <c r="P75" s="115"/>
      <c r="Q75" s="114"/>
      <c r="R75" s="110"/>
      <c r="S75" s="110"/>
      <c r="T75" s="110"/>
      <c r="U75" s="110"/>
      <c r="V75" s="115"/>
      <c r="W75" s="110"/>
      <c r="X75" s="110"/>
      <c r="Y75" s="110"/>
      <c r="Z75" s="110"/>
      <c r="AA75" s="110"/>
      <c r="AB75" s="110"/>
      <c r="AC75" s="110"/>
      <c r="AD75" s="114"/>
      <c r="AE75" s="3"/>
      <c r="AF75" s="3"/>
      <c r="AG75" s="3"/>
      <c r="AH75" s="3"/>
      <c r="AI75" s="3"/>
      <c r="AJ75" s="115"/>
      <c r="AK75" s="114"/>
      <c r="AL75" s="110"/>
      <c r="AM75" s="110"/>
      <c r="AN75" s="115"/>
      <c r="AO75" s="110"/>
      <c r="AP75" s="110"/>
      <c r="AQ75" s="110"/>
      <c r="AR75" s="110"/>
      <c r="AS75" s="110"/>
      <c r="AT75" s="114"/>
      <c r="AU75" s="3"/>
      <c r="AV75" s="3"/>
      <c r="AW75" s="3"/>
      <c r="AX75" s="3"/>
      <c r="AY75" s="113"/>
      <c r="AZ75" s="13"/>
      <c r="BA75" s="13"/>
      <c r="BB75" s="13"/>
      <c r="BC75" s="13"/>
      <c r="BD75" s="84"/>
    </row>
    <row r="76" spans="1:56" x14ac:dyDescent="0.25">
      <c r="A76" s="147" t="e">
        <f>IF('3'!$AC$11="", -B76, NA())</f>
        <v>#N/A</v>
      </c>
      <c r="B76" s="96"/>
      <c r="C76" s="96"/>
      <c r="D76" s="115"/>
      <c r="E76" s="110"/>
      <c r="F76" s="110"/>
      <c r="G76" s="110"/>
      <c r="H76" s="110"/>
      <c r="I76" s="110"/>
      <c r="J76" s="110"/>
      <c r="K76" s="109"/>
      <c r="L76" s="114"/>
      <c r="M76" s="110"/>
      <c r="N76" s="110"/>
      <c r="O76" s="110"/>
      <c r="P76" s="115"/>
      <c r="Q76" s="114"/>
      <c r="R76" s="110"/>
      <c r="S76" s="110"/>
      <c r="T76" s="110"/>
      <c r="U76" s="110"/>
      <c r="V76" s="115"/>
      <c r="W76" s="110"/>
      <c r="X76" s="110"/>
      <c r="Y76" s="110"/>
      <c r="Z76" s="110"/>
      <c r="AA76" s="110"/>
      <c r="AB76" s="110"/>
      <c r="AC76" s="110"/>
      <c r="AD76" s="114"/>
      <c r="AE76" s="3"/>
      <c r="AF76" s="3"/>
      <c r="AG76" s="3"/>
      <c r="AH76" s="3"/>
      <c r="AI76" s="3"/>
      <c r="AJ76" s="115"/>
      <c r="AK76" s="114"/>
      <c r="AL76" s="110"/>
      <c r="AM76" s="110"/>
      <c r="AN76" s="115"/>
      <c r="AO76" s="110"/>
      <c r="AP76" s="110"/>
      <c r="AQ76" s="110"/>
      <c r="AR76" s="110"/>
      <c r="AS76" s="110"/>
      <c r="AT76" s="114"/>
      <c r="AU76" s="3"/>
      <c r="AV76" s="3"/>
      <c r="AW76" s="3"/>
      <c r="AX76" s="3"/>
      <c r="AY76" s="113"/>
      <c r="AZ76" s="13"/>
      <c r="BA76" s="13"/>
      <c r="BB76" s="13"/>
      <c r="BC76" s="13"/>
      <c r="BD76" s="84"/>
    </row>
    <row r="77" spans="1:56" ht="15.75" thickBot="1" x14ac:dyDescent="0.3">
      <c r="A77" s="147" t="e">
        <f>IF('3'!$AC$11="", -B77, NA())</f>
        <v>#N/A</v>
      </c>
      <c r="B77" s="110"/>
      <c r="C77" s="110"/>
      <c r="D77" s="115"/>
      <c r="E77" s="110"/>
      <c r="F77" s="110"/>
      <c r="G77" s="110"/>
      <c r="H77" s="110"/>
      <c r="I77" s="110"/>
      <c r="J77" s="110"/>
      <c r="K77" s="109"/>
      <c r="L77" s="114"/>
      <c r="M77" s="110"/>
      <c r="N77" s="110"/>
      <c r="O77" s="110"/>
      <c r="P77" s="115"/>
      <c r="Q77" s="114"/>
      <c r="R77" s="110"/>
      <c r="S77" s="110"/>
      <c r="T77" s="110"/>
      <c r="U77" s="110"/>
      <c r="V77" s="115"/>
      <c r="W77" s="110"/>
      <c r="X77" s="110"/>
      <c r="Y77" s="110"/>
      <c r="Z77" s="110"/>
      <c r="AA77" s="110"/>
      <c r="AB77" s="110"/>
      <c r="AC77" s="110"/>
      <c r="AD77" s="114"/>
      <c r="AE77" s="3"/>
      <c r="AF77" s="3"/>
      <c r="AG77" s="3"/>
      <c r="AH77" s="3"/>
      <c r="AI77" s="3"/>
      <c r="AJ77" s="115"/>
      <c r="AK77" s="114"/>
      <c r="AL77" s="110"/>
      <c r="AM77" s="110"/>
      <c r="AN77" s="115"/>
      <c r="AO77" s="110"/>
      <c r="AP77" s="110"/>
      <c r="AQ77" s="110"/>
      <c r="AR77" s="110"/>
      <c r="AS77" s="110"/>
      <c r="AT77" s="114"/>
      <c r="AU77" s="3"/>
      <c r="AV77" s="3"/>
      <c r="AW77" s="3"/>
      <c r="AX77" s="3"/>
      <c r="AY77" s="113"/>
      <c r="AZ77" s="13"/>
      <c r="BA77" s="13"/>
      <c r="BB77" s="13"/>
      <c r="BC77" s="13"/>
      <c r="BD77" s="84"/>
    </row>
    <row r="78" spans="1:56" ht="30.75" thickBot="1" x14ac:dyDescent="0.3">
      <c r="A78" s="233" t="s">
        <v>55</v>
      </c>
      <c r="B78" s="234"/>
      <c r="C78" s="235"/>
      <c r="D78" s="39" t="s">
        <v>54</v>
      </c>
      <c r="E78" s="38">
        <f>2*(0.1/3*(E53*$B53+4*E55*$B55+2*E57*$B57+4*E58*$B58+2*E59*$B59+4*E60*$B60+2*E61*$B61+4*E62*$B62+4*E63*$B63+4*E64*$B64+E65*$B65))</f>
        <v>0</v>
      </c>
      <c r="F78" s="38">
        <f t="shared" ref="F78:BD78" si="1">2*(0.1/3*(F53*$B53+4*F55*$B55+2*F57*$B57+4*F58*$B58+2*F59*$B59+4*F60*$B60+2*F61*$B61+4*F62*$B62+4*F63*$B63+4*F64*$B64+F65*$B65))</f>
        <v>0</v>
      </c>
      <c r="G78" s="38">
        <f t="shared" si="1"/>
        <v>0</v>
      </c>
      <c r="H78" s="38">
        <f t="shared" si="1"/>
        <v>0</v>
      </c>
      <c r="I78" s="38">
        <f t="shared" si="1"/>
        <v>0</v>
      </c>
      <c r="J78" s="38">
        <f t="shared" si="1"/>
        <v>0</v>
      </c>
      <c r="K78" s="38">
        <f t="shared" si="1"/>
        <v>0</v>
      </c>
      <c r="L78" s="38">
        <f t="shared" si="1"/>
        <v>0</v>
      </c>
      <c r="M78" s="38">
        <f t="shared" si="1"/>
        <v>0</v>
      </c>
      <c r="N78" s="38">
        <f t="shared" si="1"/>
        <v>0</v>
      </c>
      <c r="O78" s="38">
        <f t="shared" si="1"/>
        <v>0</v>
      </c>
      <c r="P78" s="38">
        <f t="shared" si="1"/>
        <v>0</v>
      </c>
      <c r="Q78" s="38">
        <f t="shared" si="1"/>
        <v>0</v>
      </c>
      <c r="R78" s="38">
        <f t="shared" si="1"/>
        <v>0</v>
      </c>
      <c r="S78" s="38">
        <f t="shared" si="1"/>
        <v>0</v>
      </c>
      <c r="T78" s="38">
        <f t="shared" si="1"/>
        <v>0</v>
      </c>
      <c r="U78" s="38">
        <f t="shared" si="1"/>
        <v>0</v>
      </c>
      <c r="V78" s="38">
        <f t="shared" si="1"/>
        <v>0</v>
      </c>
      <c r="W78" s="38">
        <f t="shared" si="1"/>
        <v>0</v>
      </c>
      <c r="X78" s="38">
        <f t="shared" si="1"/>
        <v>0</v>
      </c>
      <c r="Y78" s="38">
        <f t="shared" si="1"/>
        <v>0</v>
      </c>
      <c r="Z78" s="38">
        <f t="shared" si="1"/>
        <v>0</v>
      </c>
      <c r="AA78" s="38">
        <f t="shared" si="1"/>
        <v>0</v>
      </c>
      <c r="AB78" s="38">
        <f t="shared" si="1"/>
        <v>0</v>
      </c>
      <c r="AC78" s="38">
        <f t="shared" si="1"/>
        <v>2.346666666666667E-2</v>
      </c>
      <c r="AD78" s="38">
        <f t="shared" si="1"/>
        <v>0</v>
      </c>
      <c r="AE78" s="38">
        <f t="shared" si="1"/>
        <v>0</v>
      </c>
      <c r="AF78" s="38">
        <f t="shared" si="1"/>
        <v>0</v>
      </c>
      <c r="AG78" s="38">
        <f t="shared" si="1"/>
        <v>0</v>
      </c>
      <c r="AH78" s="38">
        <f t="shared" si="1"/>
        <v>0</v>
      </c>
      <c r="AI78" s="38">
        <f t="shared" si="1"/>
        <v>0</v>
      </c>
      <c r="AJ78" s="38">
        <f t="shared" si="1"/>
        <v>0</v>
      </c>
      <c r="AK78" s="38">
        <f t="shared" si="1"/>
        <v>0</v>
      </c>
      <c r="AL78" s="38">
        <f t="shared" si="1"/>
        <v>0</v>
      </c>
      <c r="AM78" s="38">
        <f t="shared" si="1"/>
        <v>0</v>
      </c>
      <c r="AN78" s="38">
        <f t="shared" si="1"/>
        <v>0</v>
      </c>
      <c r="AO78" s="38">
        <f t="shared" si="1"/>
        <v>0</v>
      </c>
      <c r="AP78" s="38">
        <f t="shared" si="1"/>
        <v>0</v>
      </c>
      <c r="AQ78" s="38">
        <f t="shared" si="1"/>
        <v>0</v>
      </c>
      <c r="AR78" s="38">
        <f t="shared" si="1"/>
        <v>0</v>
      </c>
      <c r="AS78" s="38">
        <f t="shared" si="1"/>
        <v>0</v>
      </c>
      <c r="AT78" s="38">
        <f t="shared" si="1"/>
        <v>0</v>
      </c>
      <c r="AU78" s="38">
        <f t="shared" si="1"/>
        <v>0</v>
      </c>
      <c r="AV78" s="38">
        <f t="shared" si="1"/>
        <v>0</v>
      </c>
      <c r="AW78" s="38">
        <f t="shared" si="1"/>
        <v>0</v>
      </c>
      <c r="AX78" s="38">
        <f t="shared" si="1"/>
        <v>0</v>
      </c>
      <c r="AY78" s="38">
        <f t="shared" si="1"/>
        <v>0</v>
      </c>
      <c r="AZ78" s="38">
        <f t="shared" si="1"/>
        <v>0</v>
      </c>
      <c r="BA78" s="38">
        <f t="shared" si="1"/>
        <v>0</v>
      </c>
      <c r="BB78" s="38">
        <f t="shared" si="1"/>
        <v>0</v>
      </c>
      <c r="BC78" s="38">
        <f t="shared" si="1"/>
        <v>0</v>
      </c>
      <c r="BD78" s="38">
        <f t="shared" si="1"/>
        <v>0</v>
      </c>
    </row>
    <row r="97" spans="1:56" ht="15.75" thickBot="1" x14ac:dyDescent="0.3">
      <c r="A97" s="17" t="s">
        <v>271</v>
      </c>
      <c r="B97" t="s">
        <v>274</v>
      </c>
    </row>
    <row r="98" spans="1:56" ht="15.75" thickBot="1" x14ac:dyDescent="0.3">
      <c r="A98" s="236" t="s">
        <v>14</v>
      </c>
      <c r="B98" s="236" t="s">
        <v>49</v>
      </c>
      <c r="C98" s="238" t="s">
        <v>10</v>
      </c>
      <c r="D98" s="240" t="s">
        <v>58</v>
      </c>
      <c r="E98" s="230" t="s">
        <v>15</v>
      </c>
      <c r="F98" s="231"/>
      <c r="G98" s="231"/>
      <c r="H98" s="231"/>
      <c r="I98" s="231"/>
      <c r="J98" s="231"/>
      <c r="K98" s="232"/>
      <c r="L98" s="230" t="s">
        <v>53</v>
      </c>
      <c r="M98" s="231"/>
      <c r="N98" s="231"/>
      <c r="O98" s="231"/>
      <c r="P98" s="232"/>
      <c r="Q98" s="230" t="s">
        <v>33</v>
      </c>
      <c r="R98" s="231"/>
      <c r="S98" s="231"/>
      <c r="T98" s="231"/>
      <c r="U98" s="231"/>
      <c r="V98" s="232"/>
      <c r="W98" s="230" t="s">
        <v>16</v>
      </c>
      <c r="X98" s="231"/>
      <c r="Y98" s="231"/>
      <c r="Z98" s="231"/>
      <c r="AA98" s="231"/>
      <c r="AB98" s="231"/>
      <c r="AC98" s="232"/>
      <c r="AD98" s="230" t="s">
        <v>17</v>
      </c>
      <c r="AE98" s="231"/>
      <c r="AF98" s="231"/>
      <c r="AG98" s="231"/>
      <c r="AH98" s="231"/>
      <c r="AI98" s="231"/>
      <c r="AJ98" s="232"/>
      <c r="AK98" s="244" t="s">
        <v>34</v>
      </c>
      <c r="AL98" s="245"/>
      <c r="AM98" s="245"/>
      <c r="AN98" s="246"/>
      <c r="AO98" s="244" t="s">
        <v>18</v>
      </c>
      <c r="AP98" s="245"/>
      <c r="AQ98" s="245"/>
      <c r="AR98" s="245"/>
      <c r="AS98" s="246"/>
      <c r="AT98" s="244" t="s">
        <v>50</v>
      </c>
      <c r="AU98" s="245"/>
      <c r="AV98" s="247"/>
      <c r="AW98" s="248" t="s">
        <v>52</v>
      </c>
      <c r="AX98" s="246"/>
      <c r="AY98" s="244" t="s">
        <v>51</v>
      </c>
      <c r="AZ98" s="245"/>
      <c r="BA98" s="245"/>
      <c r="BB98" s="245"/>
      <c r="BC98" s="245"/>
      <c r="BD98" s="246"/>
    </row>
    <row r="99" spans="1:56" ht="18" thickBot="1" x14ac:dyDescent="0.3">
      <c r="A99" s="237"/>
      <c r="B99" s="237"/>
      <c r="C99" s="239"/>
      <c r="D99" s="241"/>
      <c r="E99" s="16" t="s">
        <v>19</v>
      </c>
      <c r="F99" s="17" t="s">
        <v>20</v>
      </c>
      <c r="G99" s="17" t="s">
        <v>35</v>
      </c>
      <c r="H99" s="17" t="s">
        <v>36</v>
      </c>
      <c r="I99" s="18" t="s">
        <v>47</v>
      </c>
      <c r="J99" s="18" t="s">
        <v>48</v>
      </c>
      <c r="K99" s="19" t="s">
        <v>21</v>
      </c>
      <c r="L99" s="20" t="s">
        <v>37</v>
      </c>
      <c r="M99" s="18" t="s">
        <v>38</v>
      </c>
      <c r="N99" s="18" t="s">
        <v>39</v>
      </c>
      <c r="O99" s="18" t="s">
        <v>40</v>
      </c>
      <c r="P99" s="19" t="s">
        <v>59</v>
      </c>
      <c r="Q99" s="20" t="s">
        <v>41</v>
      </c>
      <c r="R99" s="17" t="s">
        <v>42</v>
      </c>
      <c r="S99" s="18" t="s">
        <v>43</v>
      </c>
      <c r="T99" s="17" t="s">
        <v>44</v>
      </c>
      <c r="U99" s="18" t="s">
        <v>45</v>
      </c>
      <c r="V99" s="19" t="s">
        <v>46</v>
      </c>
      <c r="W99" s="21" t="s">
        <v>19</v>
      </c>
      <c r="X99" s="22" t="s">
        <v>20</v>
      </c>
      <c r="Y99" s="22" t="s">
        <v>35</v>
      </c>
      <c r="Z99" s="22" t="s">
        <v>36</v>
      </c>
      <c r="AA99" s="22" t="s">
        <v>47</v>
      </c>
      <c r="AB99" s="22" t="s">
        <v>48</v>
      </c>
      <c r="AC99" s="23" t="s">
        <v>21</v>
      </c>
      <c r="AD99" s="21" t="s">
        <v>19</v>
      </c>
      <c r="AE99" s="22" t="s">
        <v>20</v>
      </c>
      <c r="AF99" s="22" t="s">
        <v>35</v>
      </c>
      <c r="AG99" s="22" t="s">
        <v>36</v>
      </c>
      <c r="AH99" s="22" t="s">
        <v>47</v>
      </c>
      <c r="AI99" s="22" t="s">
        <v>48</v>
      </c>
      <c r="AJ99" s="23" t="s">
        <v>21</v>
      </c>
      <c r="AK99" s="24" t="s">
        <v>60</v>
      </c>
      <c r="AL99" s="25" t="s">
        <v>61</v>
      </c>
      <c r="AM99" s="25" t="s">
        <v>62</v>
      </c>
      <c r="AN99" s="26" t="s">
        <v>63</v>
      </c>
      <c r="AO99" s="27" t="s">
        <v>64</v>
      </c>
      <c r="AP99" s="25" t="s">
        <v>65</v>
      </c>
      <c r="AQ99" s="25" t="s">
        <v>66</v>
      </c>
      <c r="AR99" s="25" t="s">
        <v>67</v>
      </c>
      <c r="AS99" s="26" t="s">
        <v>68</v>
      </c>
      <c r="AT99" s="27" t="s">
        <v>69</v>
      </c>
      <c r="AU99" s="25" t="s">
        <v>70</v>
      </c>
      <c r="AV99" s="25" t="s">
        <v>71</v>
      </c>
      <c r="AW99" s="25" t="s">
        <v>72</v>
      </c>
      <c r="AX99" s="28" t="s">
        <v>73</v>
      </c>
      <c r="AY99" s="24" t="s">
        <v>23</v>
      </c>
      <c r="AZ99" s="25" t="s">
        <v>24</v>
      </c>
      <c r="BA99" s="25" t="s">
        <v>25</v>
      </c>
      <c r="BB99" s="25" t="s">
        <v>28</v>
      </c>
      <c r="BC99" s="25" t="s">
        <v>26</v>
      </c>
      <c r="BD99" s="28" t="s">
        <v>27</v>
      </c>
    </row>
    <row r="100" spans="1:56" x14ac:dyDescent="0.25">
      <c r="A100" s="111" t="e">
        <f>IF('3'!$AC$12="", B100, NA())</f>
        <v>#N/A</v>
      </c>
      <c r="B100" s="111"/>
      <c r="C100" s="96"/>
      <c r="D100" s="112"/>
      <c r="E100" s="96"/>
      <c r="F100" s="96"/>
      <c r="G100" s="96"/>
      <c r="H100" s="96"/>
      <c r="I100" s="96"/>
      <c r="J100" s="96"/>
      <c r="K100" s="96"/>
      <c r="L100" s="111"/>
      <c r="M100" s="96"/>
      <c r="N100" s="96"/>
      <c r="O100" s="96"/>
      <c r="P100" s="96"/>
      <c r="Q100" s="111"/>
      <c r="R100" s="96"/>
      <c r="S100" s="96"/>
      <c r="T100" s="96"/>
      <c r="U100" s="96"/>
      <c r="V100" s="96"/>
      <c r="W100" s="96"/>
      <c r="X100" s="96"/>
      <c r="Y100" s="96"/>
      <c r="Z100" s="96"/>
      <c r="AA100" s="96"/>
      <c r="AB100" s="96"/>
      <c r="AC100" s="96"/>
      <c r="AD100" s="111"/>
      <c r="AE100" s="13"/>
      <c r="AF100" s="13"/>
      <c r="AG100" s="13"/>
      <c r="AH100" s="13"/>
      <c r="AI100" s="13"/>
      <c r="AJ100" s="84"/>
      <c r="AK100" s="113"/>
      <c r="AL100" s="13"/>
      <c r="AM100" s="13"/>
      <c r="AN100" s="84"/>
      <c r="AO100" s="13"/>
      <c r="AP100" s="13"/>
      <c r="AQ100" s="13"/>
      <c r="AR100" s="13"/>
      <c r="AS100" s="13"/>
      <c r="AT100" s="113"/>
      <c r="AU100" s="13"/>
      <c r="AV100" s="13"/>
      <c r="AW100" s="13"/>
      <c r="AX100" s="84"/>
      <c r="AY100" s="113"/>
      <c r="AZ100" s="13"/>
      <c r="BA100" s="13"/>
      <c r="BB100" s="13"/>
      <c r="BC100" s="13"/>
      <c r="BD100" s="84"/>
    </row>
    <row r="101" spans="1:56" x14ac:dyDescent="0.25">
      <c r="A101" s="111" t="e">
        <f>IF('3'!$AC$12="", B101, NA())</f>
        <v>#N/A</v>
      </c>
      <c r="B101" s="111">
        <v>0.9</v>
      </c>
      <c r="C101" s="96"/>
      <c r="D101" s="112"/>
      <c r="E101" s="96"/>
      <c r="F101" s="96"/>
      <c r="G101" s="96"/>
      <c r="H101" s="96"/>
      <c r="I101" s="96"/>
      <c r="J101" s="96"/>
      <c r="K101" s="96"/>
      <c r="L101" s="111"/>
      <c r="M101" s="96"/>
      <c r="N101" s="96"/>
      <c r="O101" s="96"/>
      <c r="P101" s="112"/>
      <c r="Q101" s="111"/>
      <c r="R101" s="96"/>
      <c r="S101" s="96"/>
      <c r="T101" s="96"/>
      <c r="U101" s="96"/>
      <c r="V101" s="112"/>
      <c r="W101" s="96"/>
      <c r="X101" s="96"/>
      <c r="Y101" s="96"/>
      <c r="Z101" s="96"/>
      <c r="AA101" s="96"/>
      <c r="AB101" s="96"/>
      <c r="AC101" s="96">
        <v>0.1</v>
      </c>
      <c r="AD101" s="111"/>
      <c r="AE101" s="13"/>
      <c r="AF101" s="13"/>
      <c r="AG101" s="13"/>
      <c r="AH101" s="13"/>
      <c r="AI101" s="13"/>
      <c r="AJ101" s="84"/>
      <c r="AK101" s="113"/>
      <c r="AL101" s="13"/>
      <c r="AM101" s="13"/>
      <c r="AN101" s="84"/>
      <c r="AO101" s="13"/>
      <c r="AP101" s="13"/>
      <c r="AQ101" s="13"/>
      <c r="AR101" s="13"/>
      <c r="AS101" s="13"/>
      <c r="AT101" s="113"/>
      <c r="AU101" s="13"/>
      <c r="AV101" s="13"/>
      <c r="AW101" s="13"/>
      <c r="AX101" s="84"/>
      <c r="AY101" s="113"/>
      <c r="AZ101" s="13"/>
      <c r="BA101" s="13"/>
      <c r="BB101" s="13"/>
      <c r="BC101" s="13"/>
      <c r="BD101" s="84"/>
    </row>
    <row r="102" spans="1:56" x14ac:dyDescent="0.25">
      <c r="A102" s="111" t="e">
        <f>IF('3'!$AC$12="", B102, NA())</f>
        <v>#N/A</v>
      </c>
      <c r="B102" s="111">
        <v>0.8</v>
      </c>
      <c r="C102" s="96"/>
      <c r="D102" s="96"/>
      <c r="E102" s="96"/>
      <c r="F102" s="96"/>
      <c r="G102" s="96"/>
      <c r="H102" s="96"/>
      <c r="I102" s="96"/>
      <c r="J102" s="96"/>
      <c r="K102" s="96"/>
      <c r="L102" s="96"/>
      <c r="M102" s="96"/>
      <c r="N102" s="96"/>
      <c r="O102" s="96"/>
      <c r="P102" s="96"/>
      <c r="Q102" s="96"/>
      <c r="R102" s="96"/>
      <c r="S102" s="96"/>
      <c r="T102" s="96"/>
      <c r="U102" s="96"/>
      <c r="V102" s="96"/>
      <c r="W102" s="96"/>
      <c r="X102" s="96"/>
      <c r="Y102" s="96"/>
      <c r="Z102" s="96"/>
      <c r="AA102" s="96"/>
      <c r="AB102" s="96"/>
      <c r="AC102" s="96">
        <v>0.11</v>
      </c>
      <c r="AD102" s="96"/>
      <c r="AE102" s="96"/>
      <c r="AF102" s="96"/>
      <c r="AG102" s="96"/>
      <c r="AH102" s="96"/>
      <c r="AI102" s="96"/>
      <c r="AJ102" s="96"/>
      <c r="AK102" s="96"/>
      <c r="AL102" s="96"/>
      <c r="AM102" s="96"/>
      <c r="AN102" s="96"/>
      <c r="AO102" s="96"/>
      <c r="AP102" s="96"/>
      <c r="AQ102" s="96"/>
      <c r="AR102" s="96"/>
      <c r="AS102" s="96"/>
      <c r="AT102" s="96"/>
      <c r="AU102" s="96"/>
      <c r="AV102" s="96"/>
      <c r="AW102" s="96"/>
      <c r="AX102" s="96"/>
      <c r="AY102" s="96"/>
      <c r="AZ102" s="96"/>
      <c r="BA102" s="96"/>
      <c r="BB102" s="96"/>
      <c r="BC102" s="96"/>
      <c r="BD102" s="96"/>
    </row>
    <row r="103" spans="1:56" x14ac:dyDescent="0.25">
      <c r="A103" s="111" t="e">
        <f>IF('3'!$AC$12="", B103, NA())</f>
        <v>#N/A</v>
      </c>
      <c r="B103" s="111"/>
      <c r="C103" s="96"/>
      <c r="D103" s="112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</row>
    <row r="104" spans="1:56" x14ac:dyDescent="0.25">
      <c r="A104" s="111" t="e">
        <f>IF('3'!$AC$12="", B104, NA())</f>
        <v>#N/A</v>
      </c>
      <c r="B104" s="111"/>
      <c r="C104" s="96"/>
      <c r="D104" s="112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</row>
    <row r="105" spans="1:56" x14ac:dyDescent="0.25">
      <c r="A105" s="111" t="e">
        <f>IF('3'!$AC$12="", B105, NA())</f>
        <v>#N/A</v>
      </c>
      <c r="B105" s="111"/>
      <c r="C105" s="96"/>
      <c r="D105" s="112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</row>
    <row r="106" spans="1:56" x14ac:dyDescent="0.25">
      <c r="A106" s="111" t="e">
        <f>IF('3'!$AC$12="", B106, NA())</f>
        <v>#N/A</v>
      </c>
      <c r="B106" s="111"/>
      <c r="C106" s="96"/>
      <c r="D106" s="112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</row>
    <row r="107" spans="1:56" x14ac:dyDescent="0.25">
      <c r="A107" s="111" t="e">
        <f>IF('3'!$AC$12="", B107, NA())</f>
        <v>#N/A</v>
      </c>
      <c r="B107" s="111"/>
      <c r="C107" s="96"/>
      <c r="D107" s="112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</row>
    <row r="108" spans="1:56" x14ac:dyDescent="0.25">
      <c r="A108" s="111" t="e">
        <f>IF('3'!$AC$12="", B108, NA())</f>
        <v>#N/A</v>
      </c>
      <c r="B108" s="111"/>
      <c r="C108" s="96"/>
      <c r="D108" s="112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</row>
    <row r="109" spans="1:56" x14ac:dyDescent="0.25">
      <c r="A109" s="111" t="e">
        <f>IF('3'!$AC$12="", B109, NA())</f>
        <v>#N/A</v>
      </c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</row>
    <row r="110" spans="1:56" x14ac:dyDescent="0.25">
      <c r="A110" s="111" t="e">
        <f>IF('3'!$AC$12="", B110, NA())</f>
        <v>#N/A</v>
      </c>
      <c r="B110" s="111"/>
      <c r="C110" s="96"/>
      <c r="D110" s="112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</row>
    <row r="111" spans="1:56" ht="15.75" thickBot="1" x14ac:dyDescent="0.3">
      <c r="A111" s="111" t="e">
        <f>IF('3'!$AC$12="", B111, NA())</f>
        <v>#N/A</v>
      </c>
      <c r="B111" s="111"/>
      <c r="C111" s="96"/>
      <c r="D111" s="112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</row>
    <row r="112" spans="1:56" ht="15.75" thickBot="1" x14ac:dyDescent="0.3">
      <c r="A112" s="36" t="e">
        <f>IF('3'!$AC$12="", -B112, NA())</f>
        <v>#N/A</v>
      </c>
      <c r="B112" s="117"/>
      <c r="C112" s="118"/>
      <c r="D112" s="144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</row>
    <row r="113" spans="1:56" x14ac:dyDescent="0.25">
      <c r="A113" s="147" t="e">
        <f>IF('3'!$AC$12="", -B113, NA())</f>
        <v>#N/A</v>
      </c>
      <c r="B113" s="110"/>
      <c r="C113" s="96"/>
      <c r="D113" s="115"/>
      <c r="E113" s="110"/>
      <c r="F113" s="110"/>
      <c r="G113" s="110"/>
      <c r="H113" s="110"/>
      <c r="I113" s="110"/>
      <c r="J113" s="110"/>
      <c r="K113" s="109"/>
      <c r="L113" s="114"/>
      <c r="M113" s="110"/>
      <c r="N113" s="110"/>
      <c r="O113" s="110"/>
      <c r="P113" s="115"/>
      <c r="Q113" s="114"/>
      <c r="R113" s="110"/>
      <c r="S113" s="110"/>
      <c r="T113" s="110"/>
      <c r="U113" s="110"/>
      <c r="V113" s="115"/>
      <c r="W113" s="110"/>
      <c r="X113" s="110"/>
      <c r="Y113" s="110"/>
      <c r="Z113" s="110"/>
      <c r="AA113" s="110"/>
      <c r="AB113" s="110"/>
      <c r="AC113" s="110"/>
      <c r="AD113" s="114"/>
      <c r="AE113" s="3"/>
      <c r="AF113" s="3"/>
      <c r="AG113" s="3"/>
      <c r="AH113" s="3"/>
      <c r="AI113" s="3"/>
      <c r="AJ113" s="115"/>
      <c r="AK113" s="114"/>
      <c r="AL113" s="110"/>
      <c r="AM113" s="110"/>
      <c r="AN113" s="115"/>
      <c r="AO113" s="110"/>
      <c r="AP113" s="110"/>
      <c r="AQ113" s="110"/>
      <c r="AR113" s="110"/>
      <c r="AS113" s="110"/>
      <c r="AT113" s="114"/>
      <c r="AU113" s="3"/>
      <c r="AV113" s="3"/>
      <c r="AW113" s="3"/>
      <c r="AX113" s="3"/>
      <c r="AY113" s="113"/>
      <c r="AZ113" s="13"/>
      <c r="BA113" s="13"/>
      <c r="BB113" s="13"/>
      <c r="BC113" s="13"/>
      <c r="BD113" s="84"/>
    </row>
    <row r="114" spans="1:56" x14ac:dyDescent="0.25">
      <c r="A114" s="147" t="e">
        <f>IF('3'!$AC$12="", -B114, NA())</f>
        <v>#N/A</v>
      </c>
      <c r="B114" s="110"/>
      <c r="C114" s="96"/>
      <c r="D114" s="115"/>
      <c r="E114" s="110"/>
      <c r="F114" s="110"/>
      <c r="G114" s="110"/>
      <c r="H114" s="110"/>
      <c r="I114" s="110"/>
      <c r="J114" s="110"/>
      <c r="K114" s="109"/>
      <c r="L114" s="114"/>
      <c r="M114" s="110"/>
      <c r="N114" s="110"/>
      <c r="O114" s="110"/>
      <c r="P114" s="115"/>
      <c r="Q114" s="114"/>
      <c r="R114" s="110"/>
      <c r="S114" s="110"/>
      <c r="T114" s="110"/>
      <c r="U114" s="110"/>
      <c r="V114" s="115"/>
      <c r="W114" s="110"/>
      <c r="X114" s="110"/>
      <c r="Y114" s="110"/>
      <c r="Z114" s="110"/>
      <c r="AA114" s="110"/>
      <c r="AB114" s="110"/>
      <c r="AC114" s="110"/>
      <c r="AD114" s="114"/>
      <c r="AE114" s="3"/>
      <c r="AF114" s="3"/>
      <c r="AG114" s="3"/>
      <c r="AH114" s="3"/>
      <c r="AI114" s="3"/>
      <c r="AJ114" s="115"/>
      <c r="AK114" s="114"/>
      <c r="AL114" s="110"/>
      <c r="AM114" s="110"/>
      <c r="AN114" s="115"/>
      <c r="AO114" s="110"/>
      <c r="AP114" s="110"/>
      <c r="AQ114" s="110"/>
      <c r="AR114" s="110"/>
      <c r="AS114" s="110"/>
      <c r="AT114" s="114"/>
      <c r="AU114" s="3"/>
      <c r="AV114" s="3"/>
      <c r="AW114" s="3"/>
      <c r="AX114" s="3"/>
      <c r="AY114" s="113"/>
      <c r="AZ114" s="13"/>
      <c r="BA114" s="13"/>
      <c r="BB114" s="13"/>
      <c r="BC114" s="13"/>
      <c r="BD114" s="84"/>
    </row>
    <row r="115" spans="1:56" x14ac:dyDescent="0.25">
      <c r="A115" s="147" t="e">
        <f>IF('3'!$AC$12="", -B115, NA())</f>
        <v>#N/A</v>
      </c>
      <c r="B115" s="110"/>
      <c r="C115" s="96"/>
      <c r="D115" s="115"/>
      <c r="E115" s="110"/>
      <c r="F115" s="110"/>
      <c r="G115" s="110"/>
      <c r="H115" s="110"/>
      <c r="I115" s="110"/>
      <c r="J115" s="110"/>
      <c r="K115" s="109"/>
      <c r="L115" s="114"/>
      <c r="M115" s="110"/>
      <c r="N115" s="110"/>
      <c r="O115" s="110"/>
      <c r="P115" s="115"/>
      <c r="Q115" s="114"/>
      <c r="R115" s="110"/>
      <c r="S115" s="110"/>
      <c r="T115" s="110"/>
      <c r="U115" s="110"/>
      <c r="V115" s="115"/>
      <c r="W115" s="110"/>
      <c r="X115" s="110"/>
      <c r="Y115" s="110"/>
      <c r="Z115" s="110"/>
      <c r="AA115" s="110"/>
      <c r="AB115" s="110"/>
      <c r="AC115" s="110"/>
      <c r="AD115" s="114"/>
      <c r="AE115" s="3"/>
      <c r="AF115" s="3"/>
      <c r="AG115" s="3"/>
      <c r="AH115" s="3"/>
      <c r="AI115" s="3"/>
      <c r="AJ115" s="115"/>
      <c r="AK115" s="114"/>
      <c r="AL115" s="110"/>
      <c r="AM115" s="110"/>
      <c r="AN115" s="115"/>
      <c r="AO115" s="110"/>
      <c r="AP115" s="110"/>
      <c r="AQ115" s="110"/>
      <c r="AR115" s="110"/>
      <c r="AS115" s="110"/>
      <c r="AT115" s="114"/>
      <c r="AU115" s="3"/>
      <c r="AV115" s="3"/>
      <c r="AW115" s="3"/>
      <c r="AX115" s="3"/>
      <c r="AY115" s="113"/>
      <c r="AZ115" s="13"/>
      <c r="BA115" s="13"/>
      <c r="BB115" s="13"/>
      <c r="BC115" s="13"/>
      <c r="BD115" s="84"/>
    </row>
    <row r="116" spans="1:56" x14ac:dyDescent="0.25">
      <c r="A116" s="147" t="e">
        <f>IF('3'!$AC$12="", -B116, NA())</f>
        <v>#N/A</v>
      </c>
      <c r="B116" s="110"/>
      <c r="C116" s="96"/>
      <c r="D116" s="115"/>
      <c r="E116" s="110"/>
      <c r="F116" s="110"/>
      <c r="G116" s="110"/>
      <c r="H116" s="110"/>
      <c r="I116" s="110"/>
      <c r="J116" s="110"/>
      <c r="K116" s="109"/>
      <c r="L116" s="114"/>
      <c r="M116" s="110"/>
      <c r="N116" s="110"/>
      <c r="O116" s="110"/>
      <c r="P116" s="115"/>
      <c r="Q116" s="114"/>
      <c r="R116" s="110"/>
      <c r="S116" s="110"/>
      <c r="T116" s="110"/>
      <c r="U116" s="110"/>
      <c r="V116" s="115"/>
      <c r="W116" s="110"/>
      <c r="X116" s="110"/>
      <c r="Y116" s="110"/>
      <c r="Z116" s="110"/>
      <c r="AA116" s="110"/>
      <c r="AB116" s="110"/>
      <c r="AC116" s="110"/>
      <c r="AD116" s="114"/>
      <c r="AE116" s="3"/>
      <c r="AF116" s="3"/>
      <c r="AG116" s="3"/>
      <c r="AH116" s="3"/>
      <c r="AI116" s="3"/>
      <c r="AJ116" s="115"/>
      <c r="AK116" s="114"/>
      <c r="AL116" s="110"/>
      <c r="AM116" s="110"/>
      <c r="AN116" s="115"/>
      <c r="AO116" s="110"/>
      <c r="AP116" s="110"/>
      <c r="AQ116" s="110"/>
      <c r="AR116" s="110"/>
      <c r="AS116" s="110"/>
      <c r="AT116" s="114"/>
      <c r="AU116" s="3"/>
      <c r="AV116" s="3"/>
      <c r="AW116" s="3"/>
      <c r="AX116" s="3"/>
      <c r="AY116" s="113"/>
      <c r="AZ116" s="13"/>
      <c r="BA116" s="13"/>
      <c r="BB116" s="13"/>
      <c r="BC116" s="13"/>
      <c r="BD116" s="84"/>
    </row>
    <row r="117" spans="1:56" x14ac:dyDescent="0.25">
      <c r="A117" s="147" t="e">
        <f>IF('3'!$AC$12="", -B117, NA())</f>
        <v>#N/A</v>
      </c>
      <c r="B117" s="110"/>
      <c r="C117" s="96"/>
      <c r="D117" s="115"/>
      <c r="E117" s="110"/>
      <c r="F117" s="110"/>
      <c r="G117" s="110"/>
      <c r="H117" s="110"/>
      <c r="I117" s="110"/>
      <c r="J117" s="110"/>
      <c r="K117" s="109"/>
      <c r="L117" s="114"/>
      <c r="M117" s="110"/>
      <c r="N117" s="110"/>
      <c r="O117" s="110"/>
      <c r="P117" s="115"/>
      <c r="Q117" s="114"/>
      <c r="R117" s="110"/>
      <c r="S117" s="110"/>
      <c r="T117" s="110"/>
      <c r="U117" s="110"/>
      <c r="V117" s="115"/>
      <c r="W117" s="110"/>
      <c r="X117" s="110"/>
      <c r="Y117" s="110"/>
      <c r="Z117" s="110"/>
      <c r="AA117" s="110"/>
      <c r="AB117" s="110"/>
      <c r="AC117" s="110"/>
      <c r="AD117" s="114"/>
      <c r="AE117" s="3"/>
      <c r="AF117" s="3"/>
      <c r="AG117" s="3"/>
      <c r="AH117" s="3"/>
      <c r="AI117" s="3"/>
      <c r="AJ117" s="115"/>
      <c r="AK117" s="114"/>
      <c r="AL117" s="110"/>
      <c r="AM117" s="110"/>
      <c r="AN117" s="115"/>
      <c r="AO117" s="110"/>
      <c r="AP117" s="110"/>
      <c r="AQ117" s="110"/>
      <c r="AR117" s="110"/>
      <c r="AS117" s="110"/>
      <c r="AT117" s="114"/>
      <c r="AU117" s="3"/>
      <c r="AV117" s="3"/>
      <c r="AW117" s="3"/>
      <c r="AX117" s="3"/>
      <c r="AY117" s="113"/>
      <c r="AZ117" s="13"/>
      <c r="BA117" s="13"/>
      <c r="BB117" s="13"/>
      <c r="BC117" s="13"/>
      <c r="BD117" s="84"/>
    </row>
    <row r="118" spans="1:56" x14ac:dyDescent="0.25">
      <c r="A118" s="147" t="e">
        <f>IF('3'!$AC$12="", -B118, NA())</f>
        <v>#N/A</v>
      </c>
      <c r="B118" s="110"/>
      <c r="C118" s="96"/>
      <c r="D118" s="115"/>
      <c r="E118" s="110"/>
      <c r="F118" s="110"/>
      <c r="G118" s="110"/>
      <c r="H118" s="110"/>
      <c r="I118" s="110"/>
      <c r="J118" s="110"/>
      <c r="K118" s="109"/>
      <c r="L118" s="114"/>
      <c r="M118" s="110"/>
      <c r="N118" s="110"/>
      <c r="O118" s="110"/>
      <c r="P118" s="115"/>
      <c r="Q118" s="114"/>
      <c r="R118" s="110"/>
      <c r="S118" s="110"/>
      <c r="T118" s="110"/>
      <c r="U118" s="110"/>
      <c r="V118" s="115"/>
      <c r="W118" s="110"/>
      <c r="X118" s="110"/>
      <c r="Y118" s="110"/>
      <c r="Z118" s="110"/>
      <c r="AA118" s="110"/>
      <c r="AB118" s="110"/>
      <c r="AC118" s="110"/>
      <c r="AD118" s="114"/>
      <c r="AE118" s="3"/>
      <c r="AF118" s="3"/>
      <c r="AG118" s="3"/>
      <c r="AH118" s="3"/>
      <c r="AI118" s="3"/>
      <c r="AJ118" s="115"/>
      <c r="AK118" s="114"/>
      <c r="AL118" s="110"/>
      <c r="AM118" s="110"/>
      <c r="AN118" s="115"/>
      <c r="AO118" s="110"/>
      <c r="AP118" s="110"/>
      <c r="AQ118" s="110"/>
      <c r="AR118" s="110"/>
      <c r="AS118" s="110"/>
      <c r="AT118" s="114"/>
      <c r="AU118" s="3"/>
      <c r="AV118" s="3"/>
      <c r="AW118" s="3"/>
      <c r="AX118" s="3"/>
      <c r="AY118" s="113"/>
      <c r="AZ118" s="13"/>
      <c r="BA118" s="13"/>
      <c r="BB118" s="13"/>
      <c r="BC118" s="13"/>
      <c r="BD118" s="84"/>
    </row>
    <row r="119" spans="1:56" x14ac:dyDescent="0.25">
      <c r="A119" s="147" t="e">
        <f>IF('3'!$AC$12="", -B119, NA())</f>
        <v>#N/A</v>
      </c>
      <c r="B119" s="110"/>
      <c r="C119" s="96"/>
      <c r="D119" s="115"/>
      <c r="E119" s="110"/>
      <c r="F119" s="110"/>
      <c r="G119" s="110"/>
      <c r="H119" s="110"/>
      <c r="I119" s="110"/>
      <c r="J119" s="110"/>
      <c r="K119" s="109"/>
      <c r="L119" s="114"/>
      <c r="M119" s="110"/>
      <c r="N119" s="110"/>
      <c r="O119" s="110"/>
      <c r="P119" s="115"/>
      <c r="Q119" s="114"/>
      <c r="R119" s="110"/>
      <c r="S119" s="110"/>
      <c r="T119" s="110"/>
      <c r="U119" s="110"/>
      <c r="V119" s="115"/>
      <c r="W119" s="110"/>
      <c r="X119" s="110"/>
      <c r="Y119" s="110"/>
      <c r="Z119" s="110"/>
      <c r="AA119" s="110"/>
      <c r="AB119" s="110"/>
      <c r="AC119" s="110"/>
      <c r="AD119" s="114"/>
      <c r="AE119" s="3"/>
      <c r="AF119" s="3"/>
      <c r="AG119" s="3"/>
      <c r="AH119" s="3"/>
      <c r="AI119" s="3"/>
      <c r="AJ119" s="115"/>
      <c r="AK119" s="114"/>
      <c r="AL119" s="110"/>
      <c r="AM119" s="110"/>
      <c r="AN119" s="115"/>
      <c r="AO119" s="110"/>
      <c r="AP119" s="110"/>
      <c r="AQ119" s="110"/>
      <c r="AR119" s="110"/>
      <c r="AS119" s="110"/>
      <c r="AT119" s="114"/>
      <c r="AU119" s="3"/>
      <c r="AV119" s="3"/>
      <c r="AW119" s="3"/>
      <c r="AX119" s="3"/>
      <c r="AY119" s="113"/>
      <c r="AZ119" s="13"/>
      <c r="BA119" s="13"/>
      <c r="BB119" s="13"/>
      <c r="BC119" s="13"/>
      <c r="BD119" s="84"/>
    </row>
    <row r="120" spans="1:56" x14ac:dyDescent="0.25">
      <c r="A120" s="147" t="e">
        <f>IF('3'!$AC$12="", -B120, NA())</f>
        <v>#N/A</v>
      </c>
      <c r="B120" s="111"/>
      <c r="C120" s="96"/>
      <c r="D120" s="112"/>
      <c r="E120" s="96"/>
      <c r="F120" s="96"/>
      <c r="G120" s="96"/>
      <c r="H120" s="96"/>
      <c r="I120" s="96"/>
      <c r="J120" s="96"/>
      <c r="K120" s="96"/>
      <c r="L120" s="111"/>
      <c r="M120" s="96"/>
      <c r="N120" s="96"/>
      <c r="O120" s="96"/>
      <c r="P120" s="112"/>
      <c r="Q120" s="111"/>
      <c r="R120" s="96"/>
      <c r="S120" s="96"/>
      <c r="T120" s="96"/>
      <c r="U120" s="96"/>
      <c r="V120" s="112"/>
      <c r="W120" s="96"/>
      <c r="X120" s="96"/>
      <c r="Y120" s="96"/>
      <c r="Z120" s="96"/>
      <c r="AA120" s="96"/>
      <c r="AB120" s="96"/>
      <c r="AC120" s="96"/>
      <c r="AD120" s="111"/>
      <c r="AE120" s="13"/>
      <c r="AF120" s="13"/>
      <c r="AG120" s="13"/>
      <c r="AH120" s="13"/>
      <c r="AI120" s="13"/>
      <c r="AJ120" s="84"/>
      <c r="AK120" s="113"/>
      <c r="AL120" s="13"/>
      <c r="AM120" s="13"/>
      <c r="AN120" s="84"/>
      <c r="AO120" s="13"/>
      <c r="AP120" s="13"/>
      <c r="AQ120" s="13"/>
      <c r="AR120" s="13"/>
      <c r="AS120" s="13"/>
      <c r="AT120" s="113"/>
      <c r="AU120" s="13"/>
      <c r="AV120" s="13"/>
      <c r="AW120" s="13"/>
      <c r="AX120" s="84"/>
      <c r="AY120" s="113"/>
      <c r="AZ120" s="13"/>
      <c r="BA120" s="13"/>
      <c r="BB120" s="13"/>
      <c r="BC120" s="13"/>
      <c r="BD120" s="84"/>
    </row>
    <row r="121" spans="1:56" x14ac:dyDescent="0.25">
      <c r="A121" s="147" t="e">
        <f>IF('3'!$AC$12="", -B121, NA())</f>
        <v>#N/A</v>
      </c>
      <c r="B121" s="110"/>
      <c r="C121" s="96"/>
      <c r="D121" s="115"/>
      <c r="E121" s="110"/>
      <c r="F121" s="110"/>
      <c r="G121" s="110"/>
      <c r="H121" s="110"/>
      <c r="I121" s="110"/>
      <c r="J121" s="110"/>
      <c r="K121" s="109"/>
      <c r="L121" s="114"/>
      <c r="M121" s="110"/>
      <c r="N121" s="110"/>
      <c r="O121" s="110"/>
      <c r="P121" s="115"/>
      <c r="Q121" s="114"/>
      <c r="R121" s="110"/>
      <c r="S121" s="110"/>
      <c r="T121" s="110"/>
      <c r="U121" s="110"/>
      <c r="V121" s="115"/>
      <c r="W121" s="110"/>
      <c r="X121" s="110"/>
      <c r="Y121" s="110"/>
      <c r="Z121" s="110"/>
      <c r="AA121" s="110"/>
      <c r="AB121" s="110"/>
      <c r="AC121" s="110"/>
      <c r="AD121" s="114"/>
      <c r="AE121" s="3"/>
      <c r="AF121" s="3"/>
      <c r="AG121" s="3"/>
      <c r="AH121" s="3"/>
      <c r="AI121" s="3"/>
      <c r="AJ121" s="115"/>
      <c r="AK121" s="114"/>
      <c r="AL121" s="110"/>
      <c r="AM121" s="110"/>
      <c r="AN121" s="115"/>
      <c r="AO121" s="110"/>
      <c r="AP121" s="110"/>
      <c r="AQ121" s="110"/>
      <c r="AR121" s="110"/>
      <c r="AS121" s="110"/>
      <c r="AT121" s="114"/>
      <c r="AU121" s="3"/>
      <c r="AV121" s="3"/>
      <c r="AW121" s="3"/>
      <c r="AX121" s="3"/>
      <c r="AY121" s="113"/>
      <c r="AZ121" s="13"/>
      <c r="BA121" s="13"/>
      <c r="BB121" s="13"/>
      <c r="BC121" s="13"/>
      <c r="BD121" s="84"/>
    </row>
    <row r="122" spans="1:56" x14ac:dyDescent="0.25">
      <c r="A122" s="147" t="e">
        <f>IF('3'!$AC$12="", -B122, NA())</f>
        <v>#N/A</v>
      </c>
      <c r="B122" s="110"/>
      <c r="C122" s="96"/>
      <c r="D122" s="115"/>
      <c r="E122" s="110"/>
      <c r="F122" s="110"/>
      <c r="G122" s="110"/>
      <c r="H122" s="110"/>
      <c r="I122" s="110"/>
      <c r="J122" s="110"/>
      <c r="K122" s="109"/>
      <c r="L122" s="114"/>
      <c r="M122" s="110"/>
      <c r="N122" s="110"/>
      <c r="O122" s="110"/>
      <c r="P122" s="115"/>
      <c r="Q122" s="114"/>
      <c r="R122" s="110"/>
      <c r="S122" s="110"/>
      <c r="T122" s="110"/>
      <c r="U122" s="110"/>
      <c r="V122" s="115"/>
      <c r="W122" s="110"/>
      <c r="X122" s="110"/>
      <c r="Y122" s="110"/>
      <c r="Z122" s="110"/>
      <c r="AA122" s="110"/>
      <c r="AB122" s="110"/>
      <c r="AC122" s="110"/>
      <c r="AD122" s="114"/>
      <c r="AE122" s="3"/>
      <c r="AF122" s="3"/>
      <c r="AG122" s="3"/>
      <c r="AH122" s="3"/>
      <c r="AI122" s="3"/>
      <c r="AJ122" s="115"/>
      <c r="AK122" s="114"/>
      <c r="AL122" s="110"/>
      <c r="AM122" s="110"/>
      <c r="AN122" s="115"/>
      <c r="AO122" s="110"/>
      <c r="AP122" s="110"/>
      <c r="AQ122" s="110"/>
      <c r="AR122" s="110"/>
      <c r="AS122" s="110"/>
      <c r="AT122" s="114"/>
      <c r="AU122" s="3"/>
      <c r="AV122" s="3"/>
      <c r="AW122" s="3"/>
      <c r="AX122" s="3"/>
      <c r="AY122" s="113"/>
      <c r="AZ122" s="13"/>
      <c r="BA122" s="13"/>
      <c r="BB122" s="13"/>
      <c r="BC122" s="13"/>
      <c r="BD122" s="84"/>
    </row>
    <row r="123" spans="1:56" x14ac:dyDescent="0.25">
      <c r="A123" s="147" t="e">
        <f>IF('3'!$AC$12="", -B123, NA())</f>
        <v>#N/A</v>
      </c>
      <c r="B123" s="96"/>
      <c r="C123" s="96"/>
      <c r="D123" s="115"/>
      <c r="E123" s="110"/>
      <c r="F123" s="110"/>
      <c r="G123" s="110"/>
      <c r="H123" s="110"/>
      <c r="I123" s="110"/>
      <c r="J123" s="110"/>
      <c r="K123" s="109"/>
      <c r="L123" s="114"/>
      <c r="M123" s="110"/>
      <c r="N123" s="110"/>
      <c r="O123" s="110"/>
      <c r="P123" s="115"/>
      <c r="Q123" s="114"/>
      <c r="R123" s="110"/>
      <c r="S123" s="110"/>
      <c r="T123" s="110"/>
      <c r="U123" s="110"/>
      <c r="V123" s="115"/>
      <c r="W123" s="110"/>
      <c r="X123" s="110"/>
      <c r="Y123" s="110"/>
      <c r="Z123" s="110"/>
      <c r="AA123" s="110"/>
      <c r="AB123" s="110"/>
      <c r="AC123" s="110"/>
      <c r="AD123" s="114"/>
      <c r="AE123" s="3"/>
      <c r="AF123" s="3"/>
      <c r="AG123" s="3"/>
      <c r="AH123" s="3"/>
      <c r="AI123" s="3"/>
      <c r="AJ123" s="115"/>
      <c r="AK123" s="114"/>
      <c r="AL123" s="110"/>
      <c r="AM123" s="110"/>
      <c r="AN123" s="115"/>
      <c r="AO123" s="110"/>
      <c r="AP123" s="110"/>
      <c r="AQ123" s="110"/>
      <c r="AR123" s="110"/>
      <c r="AS123" s="110"/>
      <c r="AT123" s="114"/>
      <c r="AU123" s="3"/>
      <c r="AV123" s="3"/>
      <c r="AW123" s="3"/>
      <c r="AX123" s="3"/>
      <c r="AY123" s="113"/>
      <c r="AZ123" s="13"/>
      <c r="BA123" s="13"/>
      <c r="BB123" s="13"/>
      <c r="BC123" s="13"/>
      <c r="BD123" s="84"/>
    </row>
    <row r="124" spans="1:56" ht="15.75" thickBot="1" x14ac:dyDescent="0.3">
      <c r="A124" s="147" t="e">
        <f>IF('3'!$AC$12="", -B124, NA())</f>
        <v>#N/A</v>
      </c>
      <c r="B124" s="110"/>
      <c r="C124" s="110"/>
      <c r="D124" s="115"/>
      <c r="E124" s="110"/>
      <c r="F124" s="110"/>
      <c r="G124" s="110"/>
      <c r="H124" s="110"/>
      <c r="I124" s="110"/>
      <c r="J124" s="110"/>
      <c r="K124" s="109"/>
      <c r="L124" s="114"/>
      <c r="M124" s="110"/>
      <c r="N124" s="110"/>
      <c r="O124" s="110"/>
      <c r="P124" s="115"/>
      <c r="Q124" s="114"/>
      <c r="R124" s="110"/>
      <c r="S124" s="110"/>
      <c r="T124" s="110"/>
      <c r="U124" s="110"/>
      <c r="V124" s="115"/>
      <c r="W124" s="110"/>
      <c r="X124" s="110"/>
      <c r="Y124" s="110"/>
      <c r="Z124" s="110"/>
      <c r="AA124" s="110"/>
      <c r="AB124" s="110"/>
      <c r="AC124" s="110"/>
      <c r="AD124" s="114"/>
      <c r="AE124" s="3"/>
      <c r="AF124" s="3"/>
      <c r="AG124" s="3"/>
      <c r="AH124" s="3"/>
      <c r="AI124" s="3"/>
      <c r="AJ124" s="115"/>
      <c r="AK124" s="114"/>
      <c r="AL124" s="110"/>
      <c r="AM124" s="110"/>
      <c r="AN124" s="115"/>
      <c r="AO124" s="110"/>
      <c r="AP124" s="110"/>
      <c r="AQ124" s="110"/>
      <c r="AR124" s="110"/>
      <c r="AS124" s="110"/>
      <c r="AT124" s="114"/>
      <c r="AU124" s="3"/>
      <c r="AV124" s="3"/>
      <c r="AW124" s="3"/>
      <c r="AX124" s="3"/>
      <c r="AY124" s="113"/>
      <c r="AZ124" s="13"/>
      <c r="BA124" s="13"/>
      <c r="BB124" s="13"/>
      <c r="BC124" s="13"/>
      <c r="BD124" s="84"/>
    </row>
    <row r="125" spans="1:56" ht="30.75" thickBot="1" x14ac:dyDescent="0.3">
      <c r="A125" s="233" t="s">
        <v>55</v>
      </c>
      <c r="B125" s="234"/>
      <c r="C125" s="235"/>
      <c r="D125" s="39" t="s">
        <v>54</v>
      </c>
      <c r="E125" s="38">
        <f>2*(0.1/3*(E100*$B100+4*E102*$B102+2*E104*$B104+4*E105*$B105+2*E106*$B106+4*E107*$B107+2*E108*$B108+4*E109*$B109+4*E110*$B110+4*E111*$B111+E112*$B112))</f>
        <v>0</v>
      </c>
      <c r="F125" s="38">
        <f t="shared" ref="F125:BD125" si="2">2*(0.1/3*(F100*$B100+4*F102*$B102+2*F104*$B104+4*F105*$B105+2*F106*$B106+4*F107*$B107+2*F108*$B108+4*F109*$B109+4*F110*$B110+4*F111*$B111+F112*$B112))</f>
        <v>0</v>
      </c>
      <c r="G125" s="38">
        <f t="shared" si="2"/>
        <v>0</v>
      </c>
      <c r="H125" s="38">
        <f t="shared" si="2"/>
        <v>0</v>
      </c>
      <c r="I125" s="38">
        <f t="shared" si="2"/>
        <v>0</v>
      </c>
      <c r="J125" s="38">
        <f t="shared" si="2"/>
        <v>0</v>
      </c>
      <c r="K125" s="38">
        <f t="shared" si="2"/>
        <v>0</v>
      </c>
      <c r="L125" s="38">
        <f t="shared" si="2"/>
        <v>0</v>
      </c>
      <c r="M125" s="38">
        <f t="shared" si="2"/>
        <v>0</v>
      </c>
      <c r="N125" s="38">
        <f t="shared" si="2"/>
        <v>0</v>
      </c>
      <c r="O125" s="38">
        <f t="shared" si="2"/>
        <v>0</v>
      </c>
      <c r="P125" s="38">
        <f t="shared" si="2"/>
        <v>0</v>
      </c>
      <c r="Q125" s="38">
        <f t="shared" si="2"/>
        <v>0</v>
      </c>
      <c r="R125" s="38">
        <f t="shared" si="2"/>
        <v>0</v>
      </c>
      <c r="S125" s="38">
        <f t="shared" si="2"/>
        <v>0</v>
      </c>
      <c r="T125" s="38">
        <f t="shared" si="2"/>
        <v>0</v>
      </c>
      <c r="U125" s="38">
        <f t="shared" si="2"/>
        <v>0</v>
      </c>
      <c r="V125" s="38">
        <f t="shared" si="2"/>
        <v>0</v>
      </c>
      <c r="W125" s="38">
        <f t="shared" si="2"/>
        <v>0</v>
      </c>
      <c r="X125" s="38">
        <f t="shared" si="2"/>
        <v>0</v>
      </c>
      <c r="Y125" s="38">
        <f t="shared" si="2"/>
        <v>0</v>
      </c>
      <c r="Z125" s="38">
        <f t="shared" si="2"/>
        <v>0</v>
      </c>
      <c r="AA125" s="38">
        <f t="shared" si="2"/>
        <v>0</v>
      </c>
      <c r="AB125" s="38">
        <f t="shared" si="2"/>
        <v>0</v>
      </c>
      <c r="AC125" s="38">
        <f t="shared" si="2"/>
        <v>2.346666666666667E-2</v>
      </c>
      <c r="AD125" s="38">
        <f t="shared" si="2"/>
        <v>0</v>
      </c>
      <c r="AE125" s="38">
        <f t="shared" si="2"/>
        <v>0</v>
      </c>
      <c r="AF125" s="38">
        <f t="shared" si="2"/>
        <v>0</v>
      </c>
      <c r="AG125" s="38">
        <f t="shared" si="2"/>
        <v>0</v>
      </c>
      <c r="AH125" s="38">
        <f t="shared" si="2"/>
        <v>0</v>
      </c>
      <c r="AI125" s="38">
        <f t="shared" si="2"/>
        <v>0</v>
      </c>
      <c r="AJ125" s="38">
        <f t="shared" si="2"/>
        <v>0</v>
      </c>
      <c r="AK125" s="38">
        <f t="shared" si="2"/>
        <v>0</v>
      </c>
      <c r="AL125" s="38">
        <f t="shared" si="2"/>
        <v>0</v>
      </c>
      <c r="AM125" s="38">
        <f t="shared" si="2"/>
        <v>0</v>
      </c>
      <c r="AN125" s="38">
        <f t="shared" si="2"/>
        <v>0</v>
      </c>
      <c r="AO125" s="38">
        <f t="shared" si="2"/>
        <v>0</v>
      </c>
      <c r="AP125" s="38">
        <f t="shared" si="2"/>
        <v>0</v>
      </c>
      <c r="AQ125" s="38">
        <f t="shared" si="2"/>
        <v>0</v>
      </c>
      <c r="AR125" s="38">
        <f t="shared" si="2"/>
        <v>0</v>
      </c>
      <c r="AS125" s="38">
        <f t="shared" si="2"/>
        <v>0</v>
      </c>
      <c r="AT125" s="38">
        <f t="shared" si="2"/>
        <v>0</v>
      </c>
      <c r="AU125" s="38">
        <f t="shared" si="2"/>
        <v>0</v>
      </c>
      <c r="AV125" s="38">
        <f t="shared" si="2"/>
        <v>0</v>
      </c>
      <c r="AW125" s="38">
        <f t="shared" si="2"/>
        <v>0</v>
      </c>
      <c r="AX125" s="38">
        <f t="shared" si="2"/>
        <v>0</v>
      </c>
      <c r="AY125" s="38">
        <f t="shared" si="2"/>
        <v>0</v>
      </c>
      <c r="AZ125" s="38">
        <f t="shared" si="2"/>
        <v>0</v>
      </c>
      <c r="BA125" s="38">
        <f t="shared" si="2"/>
        <v>0</v>
      </c>
      <c r="BB125" s="38">
        <f t="shared" si="2"/>
        <v>0</v>
      </c>
      <c r="BC125" s="38">
        <f t="shared" si="2"/>
        <v>0</v>
      </c>
      <c r="BD125" s="38">
        <f t="shared" si="2"/>
        <v>0</v>
      </c>
    </row>
    <row r="142" spans="1:56" ht="15.75" thickBot="1" x14ac:dyDescent="0.3">
      <c r="A142" s="17" t="s">
        <v>271</v>
      </c>
      <c r="B142" t="s">
        <v>275</v>
      </c>
    </row>
    <row r="143" spans="1:56" ht="15.75" thickBot="1" x14ac:dyDescent="0.3">
      <c r="A143" s="236" t="s">
        <v>14</v>
      </c>
      <c r="B143" s="236" t="s">
        <v>49</v>
      </c>
      <c r="C143" s="238" t="s">
        <v>10</v>
      </c>
      <c r="D143" s="240" t="s">
        <v>58</v>
      </c>
      <c r="E143" s="230" t="s">
        <v>15</v>
      </c>
      <c r="F143" s="231"/>
      <c r="G143" s="231"/>
      <c r="H143" s="231"/>
      <c r="I143" s="231"/>
      <c r="J143" s="231"/>
      <c r="K143" s="232"/>
      <c r="L143" s="230" t="s">
        <v>53</v>
      </c>
      <c r="M143" s="231"/>
      <c r="N143" s="231"/>
      <c r="O143" s="231"/>
      <c r="P143" s="232"/>
      <c r="Q143" s="230" t="s">
        <v>33</v>
      </c>
      <c r="R143" s="231"/>
      <c r="S143" s="231"/>
      <c r="T143" s="231"/>
      <c r="U143" s="231"/>
      <c r="V143" s="232"/>
      <c r="W143" s="230" t="s">
        <v>16</v>
      </c>
      <c r="X143" s="231"/>
      <c r="Y143" s="231"/>
      <c r="Z143" s="231"/>
      <c r="AA143" s="231"/>
      <c r="AB143" s="231"/>
      <c r="AC143" s="232"/>
      <c r="AD143" s="230" t="s">
        <v>17</v>
      </c>
      <c r="AE143" s="231"/>
      <c r="AF143" s="231"/>
      <c r="AG143" s="231"/>
      <c r="AH143" s="231"/>
      <c r="AI143" s="231"/>
      <c r="AJ143" s="232"/>
      <c r="AK143" s="244" t="s">
        <v>34</v>
      </c>
      <c r="AL143" s="245"/>
      <c r="AM143" s="245"/>
      <c r="AN143" s="246"/>
      <c r="AO143" s="244" t="s">
        <v>18</v>
      </c>
      <c r="AP143" s="245"/>
      <c r="AQ143" s="245"/>
      <c r="AR143" s="245"/>
      <c r="AS143" s="246"/>
      <c r="AT143" s="244" t="s">
        <v>50</v>
      </c>
      <c r="AU143" s="245"/>
      <c r="AV143" s="247"/>
      <c r="AW143" s="248" t="s">
        <v>52</v>
      </c>
      <c r="AX143" s="246"/>
      <c r="AY143" s="244" t="s">
        <v>51</v>
      </c>
      <c r="AZ143" s="245"/>
      <c r="BA143" s="245"/>
      <c r="BB143" s="245"/>
      <c r="BC143" s="245"/>
      <c r="BD143" s="246"/>
    </row>
    <row r="144" spans="1:56" ht="18" thickBot="1" x14ac:dyDescent="0.3">
      <c r="A144" s="237"/>
      <c r="B144" s="237"/>
      <c r="C144" s="239"/>
      <c r="D144" s="241"/>
      <c r="E144" s="16" t="s">
        <v>19</v>
      </c>
      <c r="F144" s="17" t="s">
        <v>20</v>
      </c>
      <c r="G144" s="17" t="s">
        <v>35</v>
      </c>
      <c r="H144" s="17" t="s">
        <v>36</v>
      </c>
      <c r="I144" s="18" t="s">
        <v>47</v>
      </c>
      <c r="J144" s="18" t="s">
        <v>48</v>
      </c>
      <c r="K144" s="19" t="s">
        <v>21</v>
      </c>
      <c r="L144" s="20" t="s">
        <v>37</v>
      </c>
      <c r="M144" s="18" t="s">
        <v>38</v>
      </c>
      <c r="N144" s="18" t="s">
        <v>39</v>
      </c>
      <c r="O144" s="18" t="s">
        <v>40</v>
      </c>
      <c r="P144" s="19" t="s">
        <v>59</v>
      </c>
      <c r="Q144" s="20" t="s">
        <v>41</v>
      </c>
      <c r="R144" s="17" t="s">
        <v>42</v>
      </c>
      <c r="S144" s="18" t="s">
        <v>43</v>
      </c>
      <c r="T144" s="17" t="s">
        <v>44</v>
      </c>
      <c r="U144" s="18" t="s">
        <v>45</v>
      </c>
      <c r="V144" s="19" t="s">
        <v>46</v>
      </c>
      <c r="W144" s="21" t="s">
        <v>19</v>
      </c>
      <c r="X144" s="22" t="s">
        <v>20</v>
      </c>
      <c r="Y144" s="22" t="s">
        <v>35</v>
      </c>
      <c r="Z144" s="22" t="s">
        <v>36</v>
      </c>
      <c r="AA144" s="22" t="s">
        <v>47</v>
      </c>
      <c r="AB144" s="22" t="s">
        <v>48</v>
      </c>
      <c r="AC144" s="23" t="s">
        <v>21</v>
      </c>
      <c r="AD144" s="21" t="s">
        <v>19</v>
      </c>
      <c r="AE144" s="22" t="s">
        <v>20</v>
      </c>
      <c r="AF144" s="22" t="s">
        <v>35</v>
      </c>
      <c r="AG144" s="22" t="s">
        <v>36</v>
      </c>
      <c r="AH144" s="22" t="s">
        <v>47</v>
      </c>
      <c r="AI144" s="22" t="s">
        <v>48</v>
      </c>
      <c r="AJ144" s="23" t="s">
        <v>21</v>
      </c>
      <c r="AK144" s="24" t="s">
        <v>60</v>
      </c>
      <c r="AL144" s="25" t="s">
        <v>61</v>
      </c>
      <c r="AM144" s="25" t="s">
        <v>62</v>
      </c>
      <c r="AN144" s="26" t="s">
        <v>63</v>
      </c>
      <c r="AO144" s="27" t="s">
        <v>64</v>
      </c>
      <c r="AP144" s="25" t="s">
        <v>65</v>
      </c>
      <c r="AQ144" s="25" t="s">
        <v>66</v>
      </c>
      <c r="AR144" s="25" t="s">
        <v>67</v>
      </c>
      <c r="AS144" s="26" t="s">
        <v>68</v>
      </c>
      <c r="AT144" s="27" t="s">
        <v>69</v>
      </c>
      <c r="AU144" s="25" t="s">
        <v>70</v>
      </c>
      <c r="AV144" s="25" t="s">
        <v>71</v>
      </c>
      <c r="AW144" s="25" t="s">
        <v>72</v>
      </c>
      <c r="AX144" s="28" t="s">
        <v>73</v>
      </c>
      <c r="AY144" s="24" t="s">
        <v>23</v>
      </c>
      <c r="AZ144" s="25" t="s">
        <v>24</v>
      </c>
      <c r="BA144" s="25" t="s">
        <v>25</v>
      </c>
      <c r="BB144" s="25" t="s">
        <v>28</v>
      </c>
      <c r="BC144" s="25" t="s">
        <v>26</v>
      </c>
      <c r="BD144" s="28" t="s">
        <v>27</v>
      </c>
    </row>
    <row r="145" spans="1:56" x14ac:dyDescent="0.25">
      <c r="A145" s="111" t="e">
        <f>IF('3'!$AC$13="", B145, NA())</f>
        <v>#N/A</v>
      </c>
      <c r="B145" s="111"/>
      <c r="C145" s="96"/>
      <c r="D145" s="112"/>
      <c r="E145" s="96"/>
      <c r="F145" s="96"/>
      <c r="G145" s="96"/>
      <c r="H145" s="96"/>
      <c r="I145" s="96"/>
      <c r="J145" s="96"/>
      <c r="K145" s="96"/>
      <c r="L145" s="111"/>
      <c r="M145" s="96"/>
      <c r="N145" s="96"/>
      <c r="O145" s="96"/>
      <c r="P145" s="96"/>
      <c r="Q145" s="111"/>
      <c r="R145" s="96"/>
      <c r="S145" s="96"/>
      <c r="T145" s="96"/>
      <c r="U145" s="96"/>
      <c r="V145" s="96"/>
      <c r="W145" s="96"/>
      <c r="X145" s="96"/>
      <c r="Y145" s="96"/>
      <c r="Z145" s="96"/>
      <c r="AA145" s="96"/>
      <c r="AB145" s="96"/>
      <c r="AC145" s="96"/>
      <c r="AD145" s="111"/>
      <c r="AE145" s="13"/>
      <c r="AF145" s="13"/>
      <c r="AG145" s="13"/>
      <c r="AH145" s="13"/>
      <c r="AI145" s="13"/>
      <c r="AJ145" s="84"/>
      <c r="AK145" s="113"/>
      <c r="AL145" s="13"/>
      <c r="AM145" s="13"/>
      <c r="AN145" s="84"/>
      <c r="AO145" s="13"/>
      <c r="AP145" s="13"/>
      <c r="AQ145" s="13"/>
      <c r="AR145" s="13"/>
      <c r="AS145" s="13"/>
      <c r="AT145" s="113"/>
      <c r="AU145" s="13"/>
      <c r="AV145" s="13"/>
      <c r="AW145" s="13"/>
      <c r="AX145" s="84"/>
      <c r="AY145" s="113"/>
      <c r="AZ145" s="13"/>
      <c r="BA145" s="13"/>
      <c r="BB145" s="13"/>
      <c r="BC145" s="13"/>
      <c r="BD145" s="84"/>
    </row>
    <row r="146" spans="1:56" x14ac:dyDescent="0.25">
      <c r="A146" s="111" t="e">
        <f>IF('3'!$AC$13="", B146, NA())</f>
        <v>#N/A</v>
      </c>
      <c r="B146" s="111">
        <v>0.9</v>
      </c>
      <c r="C146" s="96"/>
      <c r="D146" s="112"/>
      <c r="E146" s="96"/>
      <c r="F146" s="96"/>
      <c r="G146" s="96"/>
      <c r="H146" s="96"/>
      <c r="I146" s="96"/>
      <c r="J146" s="96"/>
      <c r="K146" s="96"/>
      <c r="L146" s="111"/>
      <c r="M146" s="96"/>
      <c r="N146" s="96"/>
      <c r="O146" s="96"/>
      <c r="P146" s="112"/>
      <c r="Q146" s="111"/>
      <c r="R146" s="96"/>
      <c r="S146" s="96"/>
      <c r="T146" s="96"/>
      <c r="U146" s="96"/>
      <c r="V146" s="112"/>
      <c r="W146" s="96"/>
      <c r="X146" s="96"/>
      <c r="Y146" s="96"/>
      <c r="Z146" s="96"/>
      <c r="AA146" s="96"/>
      <c r="AB146" s="96"/>
      <c r="AC146" s="96">
        <v>0.1</v>
      </c>
      <c r="AD146" s="111"/>
      <c r="AE146" s="13"/>
      <c r="AF146" s="13"/>
      <c r="AG146" s="13"/>
      <c r="AH146" s="13"/>
      <c r="AI146" s="13"/>
      <c r="AJ146" s="84"/>
      <c r="AK146" s="113"/>
      <c r="AL146" s="13"/>
      <c r="AM146" s="13"/>
      <c r="AN146" s="84"/>
      <c r="AO146" s="13"/>
      <c r="AP146" s="13"/>
      <c r="AQ146" s="13"/>
      <c r="AR146" s="13"/>
      <c r="AS146" s="13"/>
      <c r="AT146" s="113"/>
      <c r="AU146" s="13"/>
      <c r="AV146" s="13"/>
      <c r="AW146" s="13"/>
      <c r="AX146" s="84"/>
      <c r="AY146" s="113"/>
      <c r="AZ146" s="13"/>
      <c r="BA146" s="13"/>
      <c r="BB146" s="13"/>
      <c r="BC146" s="13"/>
      <c r="BD146" s="84"/>
    </row>
    <row r="147" spans="1:56" x14ac:dyDescent="0.25">
      <c r="A147" s="111" t="e">
        <f>IF('3'!$AC$13="", B147, NA())</f>
        <v>#N/A</v>
      </c>
      <c r="B147" s="111">
        <v>0.8</v>
      </c>
      <c r="C147" s="96"/>
      <c r="D147" s="96"/>
      <c r="E147" s="96"/>
      <c r="F147" s="96"/>
      <c r="G147" s="96"/>
      <c r="H147" s="96"/>
      <c r="I147" s="96"/>
      <c r="J147" s="96"/>
      <c r="K147" s="96"/>
      <c r="L147" s="96"/>
      <c r="M147" s="96"/>
      <c r="N147" s="96"/>
      <c r="O147" s="96"/>
      <c r="P147" s="96"/>
      <c r="Q147" s="96"/>
      <c r="R147" s="96"/>
      <c r="S147" s="96"/>
      <c r="T147" s="96"/>
      <c r="U147" s="96"/>
      <c r="V147" s="96"/>
      <c r="W147" s="96"/>
      <c r="X147" s="96"/>
      <c r="Y147" s="96"/>
      <c r="Z147" s="96"/>
      <c r="AA147" s="96"/>
      <c r="AB147" s="96"/>
      <c r="AC147" s="96">
        <v>0.11</v>
      </c>
      <c r="AD147" s="96"/>
      <c r="AE147" s="96"/>
      <c r="AF147" s="96"/>
      <c r="AG147" s="96"/>
      <c r="AH147" s="96"/>
      <c r="AI147" s="96"/>
      <c r="AJ147" s="96"/>
      <c r="AK147" s="96"/>
      <c r="AL147" s="96"/>
      <c r="AM147" s="96"/>
      <c r="AN147" s="96"/>
      <c r="AO147" s="96"/>
      <c r="AP147" s="96"/>
      <c r="AQ147" s="96"/>
      <c r="AR147" s="96"/>
      <c r="AS147" s="96"/>
      <c r="AT147" s="96"/>
      <c r="AU147" s="96"/>
      <c r="AV147" s="96"/>
      <c r="AW147" s="96"/>
      <c r="AX147" s="96"/>
      <c r="AY147" s="96"/>
      <c r="AZ147" s="96"/>
      <c r="BA147" s="96"/>
      <c r="BB147" s="96"/>
      <c r="BC147" s="96"/>
      <c r="BD147" s="96"/>
    </row>
    <row r="148" spans="1:56" x14ac:dyDescent="0.25">
      <c r="A148" s="111" t="e">
        <f>IF('3'!$AC$13="", B148, NA())</f>
        <v>#N/A</v>
      </c>
      <c r="B148" s="111"/>
      <c r="C148" s="96"/>
      <c r="D148" s="112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</row>
    <row r="149" spans="1:56" x14ac:dyDescent="0.25">
      <c r="A149" s="111" t="e">
        <f>IF('3'!$AC$13="", B149, NA())</f>
        <v>#N/A</v>
      </c>
      <c r="B149" s="111"/>
      <c r="C149" s="96"/>
      <c r="D149" s="112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</row>
    <row r="150" spans="1:56" x14ac:dyDescent="0.25">
      <c r="A150" s="111" t="e">
        <f>IF('3'!$AC$13="", B150, NA())</f>
        <v>#N/A</v>
      </c>
      <c r="B150" s="111"/>
      <c r="C150" s="96"/>
      <c r="D150" s="112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</row>
    <row r="151" spans="1:56" x14ac:dyDescent="0.25">
      <c r="A151" s="111" t="e">
        <f>IF('3'!$AC$13="", B151, NA())</f>
        <v>#N/A</v>
      </c>
      <c r="B151" s="111"/>
      <c r="C151" s="96"/>
      <c r="D151" s="112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</row>
    <row r="152" spans="1:56" x14ac:dyDescent="0.25">
      <c r="A152" s="111" t="e">
        <f>IF('3'!$AC$13="", B152, NA())</f>
        <v>#N/A</v>
      </c>
      <c r="B152" s="111"/>
      <c r="C152" s="96"/>
      <c r="D152" s="112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</row>
    <row r="153" spans="1:56" x14ac:dyDescent="0.25">
      <c r="A153" s="111" t="e">
        <f>IF('3'!$AC$13="", B153, NA())</f>
        <v>#N/A</v>
      </c>
      <c r="B153" s="111"/>
      <c r="C153" s="96"/>
      <c r="D153" s="112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</row>
    <row r="154" spans="1:56" x14ac:dyDescent="0.25">
      <c r="A154" s="111" t="e">
        <f>IF('3'!$AC$13="", B154, NA())</f>
        <v>#N/A</v>
      </c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</row>
    <row r="155" spans="1:56" x14ac:dyDescent="0.25">
      <c r="A155" s="111" t="e">
        <f>IF('3'!$AC$13="", B155, NA())</f>
        <v>#N/A</v>
      </c>
      <c r="B155" s="111"/>
      <c r="C155" s="96"/>
      <c r="D155" s="112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</row>
    <row r="156" spans="1:56" ht="15.75" thickBot="1" x14ac:dyDescent="0.3">
      <c r="A156" s="111" t="e">
        <f>IF('3'!$AC$13="", B156, NA())</f>
        <v>#N/A</v>
      </c>
      <c r="B156" s="111"/>
      <c r="C156" s="96"/>
      <c r="D156" s="112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</row>
    <row r="157" spans="1:56" ht="15.75" thickBot="1" x14ac:dyDescent="0.3">
      <c r="A157" s="36" t="e">
        <f>IF('3'!$AC$13="", -B157, NA())</f>
        <v>#N/A</v>
      </c>
      <c r="B157" s="117"/>
      <c r="C157" s="118"/>
      <c r="D157" s="144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</row>
    <row r="158" spans="1:56" x14ac:dyDescent="0.25">
      <c r="A158" s="147" t="e">
        <f>IF('3'!$AC$13="", -B158, NA())</f>
        <v>#N/A</v>
      </c>
      <c r="B158" s="110"/>
      <c r="C158" s="96"/>
      <c r="D158" s="115"/>
      <c r="E158" s="110"/>
      <c r="F158" s="110"/>
      <c r="G158" s="110"/>
      <c r="H158" s="110"/>
      <c r="I158" s="110"/>
      <c r="J158" s="110"/>
      <c r="K158" s="109"/>
      <c r="L158" s="114"/>
      <c r="M158" s="110"/>
      <c r="N158" s="110"/>
      <c r="O158" s="110"/>
      <c r="P158" s="115"/>
      <c r="Q158" s="114"/>
      <c r="R158" s="110"/>
      <c r="S158" s="110"/>
      <c r="T158" s="110"/>
      <c r="U158" s="110"/>
      <c r="V158" s="115"/>
      <c r="W158" s="110"/>
      <c r="X158" s="110"/>
      <c r="Y158" s="110"/>
      <c r="Z158" s="110"/>
      <c r="AA158" s="110"/>
      <c r="AB158" s="110"/>
      <c r="AC158" s="110"/>
      <c r="AD158" s="114"/>
      <c r="AE158" s="3"/>
      <c r="AF158" s="3"/>
      <c r="AG158" s="3"/>
      <c r="AH158" s="3"/>
      <c r="AI158" s="3"/>
      <c r="AJ158" s="115"/>
      <c r="AK158" s="114"/>
      <c r="AL158" s="110"/>
      <c r="AM158" s="110"/>
      <c r="AN158" s="115"/>
      <c r="AO158" s="110"/>
      <c r="AP158" s="110"/>
      <c r="AQ158" s="110"/>
      <c r="AR158" s="110"/>
      <c r="AS158" s="110"/>
      <c r="AT158" s="114"/>
      <c r="AU158" s="3"/>
      <c r="AV158" s="3"/>
      <c r="AW158" s="3"/>
      <c r="AX158" s="3"/>
      <c r="AY158" s="113"/>
      <c r="AZ158" s="13"/>
      <c r="BA158" s="13"/>
      <c r="BB158" s="13"/>
      <c r="BC158" s="13"/>
      <c r="BD158" s="84"/>
    </row>
    <row r="159" spans="1:56" x14ac:dyDescent="0.25">
      <c r="A159" s="147" t="e">
        <f>IF('3'!$AC$13="", -B159, NA())</f>
        <v>#N/A</v>
      </c>
      <c r="B159" s="110"/>
      <c r="C159" s="96"/>
      <c r="D159" s="115"/>
      <c r="E159" s="110"/>
      <c r="F159" s="110"/>
      <c r="G159" s="110"/>
      <c r="H159" s="110"/>
      <c r="I159" s="110"/>
      <c r="J159" s="110"/>
      <c r="K159" s="109"/>
      <c r="L159" s="114"/>
      <c r="M159" s="110"/>
      <c r="N159" s="110"/>
      <c r="O159" s="110"/>
      <c r="P159" s="115"/>
      <c r="Q159" s="114"/>
      <c r="R159" s="110"/>
      <c r="S159" s="110"/>
      <c r="T159" s="110"/>
      <c r="U159" s="110"/>
      <c r="V159" s="115"/>
      <c r="W159" s="110"/>
      <c r="X159" s="110"/>
      <c r="Y159" s="110"/>
      <c r="Z159" s="110"/>
      <c r="AA159" s="110"/>
      <c r="AB159" s="110"/>
      <c r="AC159" s="110"/>
      <c r="AD159" s="114"/>
      <c r="AE159" s="3"/>
      <c r="AF159" s="3"/>
      <c r="AG159" s="3"/>
      <c r="AH159" s="3"/>
      <c r="AI159" s="3"/>
      <c r="AJ159" s="115"/>
      <c r="AK159" s="114"/>
      <c r="AL159" s="110"/>
      <c r="AM159" s="110"/>
      <c r="AN159" s="115"/>
      <c r="AO159" s="110"/>
      <c r="AP159" s="110"/>
      <c r="AQ159" s="110"/>
      <c r="AR159" s="110"/>
      <c r="AS159" s="110"/>
      <c r="AT159" s="114"/>
      <c r="AU159" s="3"/>
      <c r="AV159" s="3"/>
      <c r="AW159" s="3"/>
      <c r="AX159" s="3"/>
      <c r="AY159" s="113"/>
      <c r="AZ159" s="13"/>
      <c r="BA159" s="13"/>
      <c r="BB159" s="13"/>
      <c r="BC159" s="13"/>
      <c r="BD159" s="84"/>
    </row>
    <row r="160" spans="1:56" x14ac:dyDescent="0.25">
      <c r="A160" s="147" t="e">
        <f>IF('3'!$AC$13="", -B160, NA())</f>
        <v>#N/A</v>
      </c>
      <c r="B160" s="110"/>
      <c r="C160" s="96"/>
      <c r="D160" s="115"/>
      <c r="E160" s="110"/>
      <c r="F160" s="110"/>
      <c r="G160" s="110"/>
      <c r="H160" s="110"/>
      <c r="I160" s="110"/>
      <c r="J160" s="110"/>
      <c r="K160" s="109"/>
      <c r="L160" s="114"/>
      <c r="M160" s="110"/>
      <c r="N160" s="110"/>
      <c r="O160" s="110"/>
      <c r="P160" s="115"/>
      <c r="Q160" s="114"/>
      <c r="R160" s="110"/>
      <c r="S160" s="110"/>
      <c r="T160" s="110"/>
      <c r="U160" s="110"/>
      <c r="V160" s="115"/>
      <c r="W160" s="110"/>
      <c r="X160" s="110"/>
      <c r="Y160" s="110"/>
      <c r="Z160" s="110"/>
      <c r="AA160" s="110"/>
      <c r="AB160" s="110"/>
      <c r="AC160" s="110"/>
      <c r="AD160" s="114"/>
      <c r="AE160" s="3"/>
      <c r="AF160" s="3"/>
      <c r="AG160" s="3"/>
      <c r="AH160" s="3"/>
      <c r="AI160" s="3"/>
      <c r="AJ160" s="115"/>
      <c r="AK160" s="114"/>
      <c r="AL160" s="110"/>
      <c r="AM160" s="110"/>
      <c r="AN160" s="115"/>
      <c r="AO160" s="110"/>
      <c r="AP160" s="110"/>
      <c r="AQ160" s="110"/>
      <c r="AR160" s="110"/>
      <c r="AS160" s="110"/>
      <c r="AT160" s="114"/>
      <c r="AU160" s="3"/>
      <c r="AV160" s="3"/>
      <c r="AW160" s="3"/>
      <c r="AX160" s="3"/>
      <c r="AY160" s="113"/>
      <c r="AZ160" s="13"/>
      <c r="BA160" s="13"/>
      <c r="BB160" s="13"/>
      <c r="BC160" s="13"/>
      <c r="BD160" s="84"/>
    </row>
    <row r="161" spans="1:56" x14ac:dyDescent="0.25">
      <c r="A161" s="147" t="e">
        <f>IF('3'!$AC$13="", -B161, NA())</f>
        <v>#N/A</v>
      </c>
      <c r="B161" s="110"/>
      <c r="C161" s="96"/>
      <c r="D161" s="115"/>
      <c r="E161" s="110"/>
      <c r="F161" s="110"/>
      <c r="G161" s="110"/>
      <c r="H161" s="110"/>
      <c r="I161" s="110"/>
      <c r="J161" s="110"/>
      <c r="K161" s="109"/>
      <c r="L161" s="114"/>
      <c r="M161" s="110"/>
      <c r="N161" s="110"/>
      <c r="O161" s="110"/>
      <c r="P161" s="115"/>
      <c r="Q161" s="114"/>
      <c r="R161" s="110"/>
      <c r="S161" s="110"/>
      <c r="T161" s="110"/>
      <c r="U161" s="110"/>
      <c r="V161" s="115"/>
      <c r="W161" s="110"/>
      <c r="X161" s="110"/>
      <c r="Y161" s="110"/>
      <c r="Z161" s="110"/>
      <c r="AA161" s="110"/>
      <c r="AB161" s="110"/>
      <c r="AC161" s="110"/>
      <c r="AD161" s="114"/>
      <c r="AE161" s="3"/>
      <c r="AF161" s="3"/>
      <c r="AG161" s="3"/>
      <c r="AH161" s="3"/>
      <c r="AI161" s="3"/>
      <c r="AJ161" s="115"/>
      <c r="AK161" s="114"/>
      <c r="AL161" s="110"/>
      <c r="AM161" s="110"/>
      <c r="AN161" s="115"/>
      <c r="AO161" s="110"/>
      <c r="AP161" s="110"/>
      <c r="AQ161" s="110"/>
      <c r="AR161" s="110"/>
      <c r="AS161" s="110"/>
      <c r="AT161" s="114"/>
      <c r="AU161" s="3"/>
      <c r="AV161" s="3"/>
      <c r="AW161" s="3"/>
      <c r="AX161" s="3"/>
      <c r="AY161" s="113"/>
      <c r="AZ161" s="13"/>
      <c r="BA161" s="13"/>
      <c r="BB161" s="13"/>
      <c r="BC161" s="13"/>
      <c r="BD161" s="84"/>
    </row>
    <row r="162" spans="1:56" x14ac:dyDescent="0.25">
      <c r="A162" s="147" t="e">
        <f>IF('3'!$AC$13="", -B162, NA())</f>
        <v>#N/A</v>
      </c>
      <c r="B162" s="110"/>
      <c r="C162" s="96"/>
      <c r="D162" s="115"/>
      <c r="E162" s="110"/>
      <c r="F162" s="110"/>
      <c r="G162" s="110"/>
      <c r="H162" s="110"/>
      <c r="I162" s="110"/>
      <c r="J162" s="110"/>
      <c r="K162" s="109"/>
      <c r="L162" s="114"/>
      <c r="M162" s="110"/>
      <c r="N162" s="110"/>
      <c r="O162" s="110"/>
      <c r="P162" s="115"/>
      <c r="Q162" s="114"/>
      <c r="R162" s="110"/>
      <c r="S162" s="110"/>
      <c r="T162" s="110"/>
      <c r="U162" s="110"/>
      <c r="V162" s="115"/>
      <c r="W162" s="110"/>
      <c r="X162" s="110"/>
      <c r="Y162" s="110"/>
      <c r="Z162" s="110"/>
      <c r="AA162" s="110"/>
      <c r="AB162" s="110"/>
      <c r="AC162" s="110"/>
      <c r="AD162" s="114"/>
      <c r="AE162" s="3"/>
      <c r="AF162" s="3"/>
      <c r="AG162" s="3"/>
      <c r="AH162" s="3"/>
      <c r="AI162" s="3"/>
      <c r="AJ162" s="115"/>
      <c r="AK162" s="114"/>
      <c r="AL162" s="110"/>
      <c r="AM162" s="110"/>
      <c r="AN162" s="115"/>
      <c r="AO162" s="110"/>
      <c r="AP162" s="110"/>
      <c r="AQ162" s="110"/>
      <c r="AR162" s="110"/>
      <c r="AS162" s="110"/>
      <c r="AT162" s="114"/>
      <c r="AU162" s="3"/>
      <c r="AV162" s="3"/>
      <c r="AW162" s="3"/>
      <c r="AX162" s="3"/>
      <c r="AY162" s="113"/>
      <c r="AZ162" s="13"/>
      <c r="BA162" s="13"/>
      <c r="BB162" s="13"/>
      <c r="BC162" s="13"/>
      <c r="BD162" s="84"/>
    </row>
    <row r="163" spans="1:56" x14ac:dyDescent="0.25">
      <c r="A163" s="147" t="e">
        <f>IF('3'!$AC$13="", -B163, NA())</f>
        <v>#N/A</v>
      </c>
      <c r="B163" s="110"/>
      <c r="C163" s="96"/>
      <c r="D163" s="115"/>
      <c r="E163" s="110"/>
      <c r="F163" s="110"/>
      <c r="G163" s="110"/>
      <c r="H163" s="110"/>
      <c r="I163" s="110"/>
      <c r="J163" s="110"/>
      <c r="K163" s="109"/>
      <c r="L163" s="114"/>
      <c r="M163" s="110"/>
      <c r="N163" s="110"/>
      <c r="O163" s="110"/>
      <c r="P163" s="115"/>
      <c r="Q163" s="114"/>
      <c r="R163" s="110"/>
      <c r="S163" s="110"/>
      <c r="T163" s="110"/>
      <c r="U163" s="110"/>
      <c r="V163" s="115"/>
      <c r="W163" s="110"/>
      <c r="X163" s="110"/>
      <c r="Y163" s="110"/>
      <c r="Z163" s="110"/>
      <c r="AA163" s="110"/>
      <c r="AB163" s="110"/>
      <c r="AC163" s="110"/>
      <c r="AD163" s="114"/>
      <c r="AE163" s="3"/>
      <c r="AF163" s="3"/>
      <c r="AG163" s="3"/>
      <c r="AH163" s="3"/>
      <c r="AI163" s="3"/>
      <c r="AJ163" s="115"/>
      <c r="AK163" s="114"/>
      <c r="AL163" s="110"/>
      <c r="AM163" s="110"/>
      <c r="AN163" s="115"/>
      <c r="AO163" s="110"/>
      <c r="AP163" s="110"/>
      <c r="AQ163" s="110"/>
      <c r="AR163" s="110"/>
      <c r="AS163" s="110"/>
      <c r="AT163" s="114"/>
      <c r="AU163" s="3"/>
      <c r="AV163" s="3"/>
      <c r="AW163" s="3"/>
      <c r="AX163" s="3"/>
      <c r="AY163" s="113"/>
      <c r="AZ163" s="13"/>
      <c r="BA163" s="13"/>
      <c r="BB163" s="13"/>
      <c r="BC163" s="13"/>
      <c r="BD163" s="84"/>
    </row>
    <row r="164" spans="1:56" x14ac:dyDescent="0.25">
      <c r="A164" s="147" t="e">
        <f>IF('3'!$AC$13="", -B164, NA())</f>
        <v>#N/A</v>
      </c>
      <c r="B164" s="110"/>
      <c r="C164" s="96"/>
      <c r="D164" s="115"/>
      <c r="E164" s="110"/>
      <c r="F164" s="110"/>
      <c r="G164" s="110"/>
      <c r="H164" s="110"/>
      <c r="I164" s="110"/>
      <c r="J164" s="110"/>
      <c r="K164" s="109"/>
      <c r="L164" s="114"/>
      <c r="M164" s="110"/>
      <c r="N164" s="110"/>
      <c r="O164" s="110"/>
      <c r="P164" s="115"/>
      <c r="Q164" s="114"/>
      <c r="R164" s="110"/>
      <c r="S164" s="110"/>
      <c r="T164" s="110"/>
      <c r="U164" s="110"/>
      <c r="V164" s="115"/>
      <c r="W164" s="110"/>
      <c r="X164" s="110"/>
      <c r="Y164" s="110"/>
      <c r="Z164" s="110"/>
      <c r="AA164" s="110"/>
      <c r="AB164" s="110"/>
      <c r="AC164" s="110"/>
      <c r="AD164" s="114"/>
      <c r="AE164" s="3"/>
      <c r="AF164" s="3"/>
      <c r="AG164" s="3"/>
      <c r="AH164" s="3"/>
      <c r="AI164" s="3"/>
      <c r="AJ164" s="115"/>
      <c r="AK164" s="114"/>
      <c r="AL164" s="110"/>
      <c r="AM164" s="110"/>
      <c r="AN164" s="115"/>
      <c r="AO164" s="110"/>
      <c r="AP164" s="110"/>
      <c r="AQ164" s="110"/>
      <c r="AR164" s="110"/>
      <c r="AS164" s="110"/>
      <c r="AT164" s="114"/>
      <c r="AU164" s="3"/>
      <c r="AV164" s="3"/>
      <c r="AW164" s="3"/>
      <c r="AX164" s="3"/>
      <c r="AY164" s="113"/>
      <c r="AZ164" s="13"/>
      <c r="BA164" s="13"/>
      <c r="BB164" s="13"/>
      <c r="BC164" s="13"/>
      <c r="BD164" s="84"/>
    </row>
    <row r="165" spans="1:56" x14ac:dyDescent="0.25">
      <c r="A165" s="147" t="e">
        <f>IF('3'!$AC$13="", -B165, NA())</f>
        <v>#N/A</v>
      </c>
      <c r="B165" s="111"/>
      <c r="C165" s="96"/>
      <c r="D165" s="112"/>
      <c r="E165" s="96"/>
      <c r="F165" s="96"/>
      <c r="G165" s="96"/>
      <c r="H165" s="96"/>
      <c r="I165" s="96"/>
      <c r="J165" s="96"/>
      <c r="K165" s="96"/>
      <c r="L165" s="111"/>
      <c r="M165" s="96"/>
      <c r="N165" s="96"/>
      <c r="O165" s="96"/>
      <c r="P165" s="112"/>
      <c r="Q165" s="111"/>
      <c r="R165" s="96"/>
      <c r="S165" s="96"/>
      <c r="T165" s="96"/>
      <c r="U165" s="96"/>
      <c r="V165" s="112"/>
      <c r="W165" s="96"/>
      <c r="X165" s="96"/>
      <c r="Y165" s="96"/>
      <c r="Z165" s="96"/>
      <c r="AA165" s="96"/>
      <c r="AB165" s="96"/>
      <c r="AC165" s="96"/>
      <c r="AD165" s="111"/>
      <c r="AE165" s="13"/>
      <c r="AF165" s="13"/>
      <c r="AG165" s="13"/>
      <c r="AH165" s="13"/>
      <c r="AI165" s="13"/>
      <c r="AJ165" s="84"/>
      <c r="AK165" s="113"/>
      <c r="AL165" s="13"/>
      <c r="AM165" s="13"/>
      <c r="AN165" s="84"/>
      <c r="AO165" s="13"/>
      <c r="AP165" s="13"/>
      <c r="AQ165" s="13"/>
      <c r="AR165" s="13"/>
      <c r="AS165" s="13"/>
      <c r="AT165" s="113"/>
      <c r="AU165" s="13"/>
      <c r="AV165" s="13"/>
      <c r="AW165" s="13"/>
      <c r="AX165" s="84"/>
      <c r="AY165" s="113"/>
      <c r="AZ165" s="13"/>
      <c r="BA165" s="13"/>
      <c r="BB165" s="13"/>
      <c r="BC165" s="13"/>
      <c r="BD165" s="84"/>
    </row>
    <row r="166" spans="1:56" x14ac:dyDescent="0.25">
      <c r="A166" s="147" t="e">
        <f>IF('3'!$AC$13="", -B166, NA())</f>
        <v>#N/A</v>
      </c>
      <c r="B166" s="110"/>
      <c r="C166" s="96"/>
      <c r="D166" s="115"/>
      <c r="E166" s="110"/>
      <c r="F166" s="110"/>
      <c r="G166" s="110"/>
      <c r="H166" s="110"/>
      <c r="I166" s="110"/>
      <c r="J166" s="110"/>
      <c r="K166" s="109"/>
      <c r="L166" s="114"/>
      <c r="M166" s="110"/>
      <c r="N166" s="110"/>
      <c r="O166" s="110"/>
      <c r="P166" s="115"/>
      <c r="Q166" s="114"/>
      <c r="R166" s="110"/>
      <c r="S166" s="110"/>
      <c r="T166" s="110"/>
      <c r="U166" s="110"/>
      <c r="V166" s="115"/>
      <c r="W166" s="110"/>
      <c r="X166" s="110"/>
      <c r="Y166" s="110"/>
      <c r="Z166" s="110"/>
      <c r="AA166" s="110"/>
      <c r="AB166" s="110"/>
      <c r="AC166" s="110"/>
      <c r="AD166" s="114"/>
      <c r="AE166" s="3"/>
      <c r="AF166" s="3"/>
      <c r="AG166" s="3"/>
      <c r="AH166" s="3"/>
      <c r="AI166" s="3"/>
      <c r="AJ166" s="115"/>
      <c r="AK166" s="114"/>
      <c r="AL166" s="110"/>
      <c r="AM166" s="110"/>
      <c r="AN166" s="115"/>
      <c r="AO166" s="110"/>
      <c r="AP166" s="110"/>
      <c r="AQ166" s="110"/>
      <c r="AR166" s="110"/>
      <c r="AS166" s="110"/>
      <c r="AT166" s="114"/>
      <c r="AU166" s="3"/>
      <c r="AV166" s="3"/>
      <c r="AW166" s="3"/>
      <c r="AX166" s="3"/>
      <c r="AY166" s="113"/>
      <c r="AZ166" s="13"/>
      <c r="BA166" s="13"/>
      <c r="BB166" s="13"/>
      <c r="BC166" s="13"/>
      <c r="BD166" s="84"/>
    </row>
    <row r="167" spans="1:56" x14ac:dyDescent="0.25">
      <c r="A167" s="147" t="e">
        <f>IF('3'!$AC$13="", -B167, NA())</f>
        <v>#N/A</v>
      </c>
      <c r="B167" s="110"/>
      <c r="C167" s="96"/>
      <c r="D167" s="115"/>
      <c r="E167" s="110"/>
      <c r="F167" s="110"/>
      <c r="G167" s="110"/>
      <c r="H167" s="110"/>
      <c r="I167" s="110"/>
      <c r="J167" s="110"/>
      <c r="K167" s="109"/>
      <c r="L167" s="114"/>
      <c r="M167" s="110"/>
      <c r="N167" s="110"/>
      <c r="O167" s="110"/>
      <c r="P167" s="115"/>
      <c r="Q167" s="114"/>
      <c r="R167" s="110"/>
      <c r="S167" s="110"/>
      <c r="T167" s="110"/>
      <c r="U167" s="110"/>
      <c r="V167" s="115"/>
      <c r="W167" s="110"/>
      <c r="X167" s="110"/>
      <c r="Y167" s="110"/>
      <c r="Z167" s="110"/>
      <c r="AA167" s="110"/>
      <c r="AB167" s="110"/>
      <c r="AC167" s="110"/>
      <c r="AD167" s="114"/>
      <c r="AE167" s="3"/>
      <c r="AF167" s="3"/>
      <c r="AG167" s="3"/>
      <c r="AH167" s="3"/>
      <c r="AI167" s="3"/>
      <c r="AJ167" s="115"/>
      <c r="AK167" s="114"/>
      <c r="AL167" s="110"/>
      <c r="AM167" s="110"/>
      <c r="AN167" s="115"/>
      <c r="AO167" s="110"/>
      <c r="AP167" s="110"/>
      <c r="AQ167" s="110"/>
      <c r="AR167" s="110"/>
      <c r="AS167" s="110"/>
      <c r="AT167" s="114"/>
      <c r="AU167" s="3"/>
      <c r="AV167" s="3"/>
      <c r="AW167" s="3"/>
      <c r="AX167" s="3"/>
      <c r="AY167" s="113"/>
      <c r="AZ167" s="13"/>
      <c r="BA167" s="13"/>
      <c r="BB167" s="13"/>
      <c r="BC167" s="13"/>
      <c r="BD167" s="84"/>
    </row>
    <row r="168" spans="1:56" x14ac:dyDescent="0.25">
      <c r="A168" s="147" t="e">
        <f>IF('3'!$AC$13="", -B168, NA())</f>
        <v>#N/A</v>
      </c>
      <c r="B168" s="96"/>
      <c r="C168" s="96"/>
      <c r="D168" s="115"/>
      <c r="E168" s="110"/>
      <c r="F168" s="110"/>
      <c r="G168" s="110"/>
      <c r="H168" s="110"/>
      <c r="I168" s="110"/>
      <c r="J168" s="110"/>
      <c r="K168" s="109"/>
      <c r="L168" s="114"/>
      <c r="M168" s="110"/>
      <c r="N168" s="110"/>
      <c r="O168" s="110"/>
      <c r="P168" s="115"/>
      <c r="Q168" s="114"/>
      <c r="R168" s="110"/>
      <c r="S168" s="110"/>
      <c r="T168" s="110"/>
      <c r="U168" s="110"/>
      <c r="V168" s="115"/>
      <c r="W168" s="110"/>
      <c r="X168" s="110"/>
      <c r="Y168" s="110"/>
      <c r="Z168" s="110"/>
      <c r="AA168" s="110"/>
      <c r="AB168" s="110"/>
      <c r="AC168" s="110"/>
      <c r="AD168" s="114"/>
      <c r="AE168" s="3"/>
      <c r="AF168" s="3"/>
      <c r="AG168" s="3"/>
      <c r="AH168" s="3"/>
      <c r="AI168" s="3"/>
      <c r="AJ168" s="115"/>
      <c r="AK168" s="114"/>
      <c r="AL168" s="110"/>
      <c r="AM168" s="110"/>
      <c r="AN168" s="115"/>
      <c r="AO168" s="110"/>
      <c r="AP168" s="110"/>
      <c r="AQ168" s="110"/>
      <c r="AR168" s="110"/>
      <c r="AS168" s="110"/>
      <c r="AT168" s="114"/>
      <c r="AU168" s="3"/>
      <c r="AV168" s="3"/>
      <c r="AW168" s="3"/>
      <c r="AX168" s="3"/>
      <c r="AY168" s="113"/>
      <c r="AZ168" s="13"/>
      <c r="BA168" s="13"/>
      <c r="BB168" s="13"/>
      <c r="BC168" s="13"/>
      <c r="BD168" s="84"/>
    </row>
    <row r="169" spans="1:56" ht="15.75" thickBot="1" x14ac:dyDescent="0.3">
      <c r="A169" s="147" t="e">
        <f>IF('3'!$AC$13="", -B169, NA())</f>
        <v>#N/A</v>
      </c>
      <c r="B169" s="110"/>
      <c r="C169" s="110"/>
      <c r="D169" s="115"/>
      <c r="E169" s="110"/>
      <c r="F169" s="110"/>
      <c r="G169" s="110"/>
      <c r="H169" s="110"/>
      <c r="I169" s="110"/>
      <c r="J169" s="110"/>
      <c r="K169" s="109"/>
      <c r="L169" s="114"/>
      <c r="M169" s="110"/>
      <c r="N169" s="110"/>
      <c r="O169" s="110"/>
      <c r="P169" s="115"/>
      <c r="Q169" s="114"/>
      <c r="R169" s="110"/>
      <c r="S169" s="110"/>
      <c r="T169" s="110"/>
      <c r="U169" s="110"/>
      <c r="V169" s="115"/>
      <c r="W169" s="110"/>
      <c r="X169" s="110"/>
      <c r="Y169" s="110"/>
      <c r="Z169" s="110"/>
      <c r="AA169" s="110"/>
      <c r="AB169" s="110"/>
      <c r="AC169" s="110"/>
      <c r="AD169" s="114"/>
      <c r="AE169" s="3"/>
      <c r="AF169" s="3"/>
      <c r="AG169" s="3"/>
      <c r="AH169" s="3"/>
      <c r="AI169" s="3"/>
      <c r="AJ169" s="115"/>
      <c r="AK169" s="114"/>
      <c r="AL169" s="110"/>
      <c r="AM169" s="110"/>
      <c r="AN169" s="115"/>
      <c r="AO169" s="110"/>
      <c r="AP169" s="110"/>
      <c r="AQ169" s="110"/>
      <c r="AR169" s="110"/>
      <c r="AS169" s="110"/>
      <c r="AT169" s="114"/>
      <c r="AU169" s="3"/>
      <c r="AV169" s="3"/>
      <c r="AW169" s="3"/>
      <c r="AX169" s="3"/>
      <c r="AY169" s="113"/>
      <c r="AZ169" s="13"/>
      <c r="BA169" s="13"/>
      <c r="BB169" s="13"/>
      <c r="BC169" s="13"/>
      <c r="BD169" s="84"/>
    </row>
    <row r="170" spans="1:56" ht="30.75" thickBot="1" x14ac:dyDescent="0.3">
      <c r="A170" s="233" t="s">
        <v>55</v>
      </c>
      <c r="B170" s="234"/>
      <c r="C170" s="235"/>
      <c r="D170" s="39" t="s">
        <v>54</v>
      </c>
      <c r="E170" s="38">
        <f>2*(0.1/3*(E145*$B145+4*E147*$B147+2*E149*$B149+4*E150*$B150+2*E151*$B151+4*E152*$B152+2*E153*$B153+4*E154*$B154+4*E155*$B155+4*E156*$B156+E157*$B157))</f>
        <v>0</v>
      </c>
      <c r="F170" s="38">
        <f t="shared" ref="F170:BD170" si="3">2*(0.1/3*(F145*$B145+4*F147*$B147+2*F149*$B149+4*F150*$B150+2*F151*$B151+4*F152*$B152+2*F153*$B153+4*F154*$B154+4*F155*$B155+4*F156*$B156+F157*$B157))</f>
        <v>0</v>
      </c>
      <c r="G170" s="38">
        <f t="shared" si="3"/>
        <v>0</v>
      </c>
      <c r="H170" s="38">
        <f t="shared" si="3"/>
        <v>0</v>
      </c>
      <c r="I170" s="38">
        <f t="shared" si="3"/>
        <v>0</v>
      </c>
      <c r="J170" s="38">
        <f t="shared" si="3"/>
        <v>0</v>
      </c>
      <c r="K170" s="38">
        <f t="shared" si="3"/>
        <v>0</v>
      </c>
      <c r="L170" s="38">
        <f t="shared" si="3"/>
        <v>0</v>
      </c>
      <c r="M170" s="38">
        <f t="shared" si="3"/>
        <v>0</v>
      </c>
      <c r="N170" s="38">
        <f t="shared" si="3"/>
        <v>0</v>
      </c>
      <c r="O170" s="38">
        <f t="shared" si="3"/>
        <v>0</v>
      </c>
      <c r="P170" s="38">
        <f t="shared" si="3"/>
        <v>0</v>
      </c>
      <c r="Q170" s="38">
        <f t="shared" si="3"/>
        <v>0</v>
      </c>
      <c r="R170" s="38">
        <f t="shared" si="3"/>
        <v>0</v>
      </c>
      <c r="S170" s="38">
        <f t="shared" si="3"/>
        <v>0</v>
      </c>
      <c r="T170" s="38">
        <f t="shared" si="3"/>
        <v>0</v>
      </c>
      <c r="U170" s="38">
        <f t="shared" si="3"/>
        <v>0</v>
      </c>
      <c r="V170" s="38">
        <f t="shared" si="3"/>
        <v>0</v>
      </c>
      <c r="W170" s="38">
        <f t="shared" si="3"/>
        <v>0</v>
      </c>
      <c r="X170" s="38">
        <f t="shared" si="3"/>
        <v>0</v>
      </c>
      <c r="Y170" s="38">
        <f t="shared" si="3"/>
        <v>0</v>
      </c>
      <c r="Z170" s="38">
        <f t="shared" si="3"/>
        <v>0</v>
      </c>
      <c r="AA170" s="38">
        <f t="shared" si="3"/>
        <v>0</v>
      </c>
      <c r="AB170" s="38">
        <f t="shared" si="3"/>
        <v>0</v>
      </c>
      <c r="AC170" s="38">
        <f t="shared" si="3"/>
        <v>2.346666666666667E-2</v>
      </c>
      <c r="AD170" s="38">
        <f t="shared" si="3"/>
        <v>0</v>
      </c>
      <c r="AE170" s="38">
        <f t="shared" si="3"/>
        <v>0</v>
      </c>
      <c r="AF170" s="38">
        <f t="shared" si="3"/>
        <v>0</v>
      </c>
      <c r="AG170" s="38">
        <f t="shared" si="3"/>
        <v>0</v>
      </c>
      <c r="AH170" s="38">
        <f t="shared" si="3"/>
        <v>0</v>
      </c>
      <c r="AI170" s="38">
        <f t="shared" si="3"/>
        <v>0</v>
      </c>
      <c r="AJ170" s="38">
        <f t="shared" si="3"/>
        <v>0</v>
      </c>
      <c r="AK170" s="38">
        <f t="shared" si="3"/>
        <v>0</v>
      </c>
      <c r="AL170" s="38">
        <f t="shared" si="3"/>
        <v>0</v>
      </c>
      <c r="AM170" s="38">
        <f t="shared" si="3"/>
        <v>0</v>
      </c>
      <c r="AN170" s="38">
        <f t="shared" si="3"/>
        <v>0</v>
      </c>
      <c r="AO170" s="38">
        <f t="shared" si="3"/>
        <v>0</v>
      </c>
      <c r="AP170" s="38">
        <f t="shared" si="3"/>
        <v>0</v>
      </c>
      <c r="AQ170" s="38">
        <f t="shared" si="3"/>
        <v>0</v>
      </c>
      <c r="AR170" s="38">
        <f t="shared" si="3"/>
        <v>0</v>
      </c>
      <c r="AS170" s="38">
        <f t="shared" si="3"/>
        <v>0</v>
      </c>
      <c r="AT170" s="38">
        <f t="shared" si="3"/>
        <v>0</v>
      </c>
      <c r="AU170" s="38">
        <f t="shared" si="3"/>
        <v>0</v>
      </c>
      <c r="AV170" s="38">
        <f t="shared" si="3"/>
        <v>0</v>
      </c>
      <c r="AW170" s="38">
        <f t="shared" si="3"/>
        <v>0</v>
      </c>
      <c r="AX170" s="38">
        <f t="shared" si="3"/>
        <v>0</v>
      </c>
      <c r="AY170" s="38">
        <f t="shared" si="3"/>
        <v>0</v>
      </c>
      <c r="AZ170" s="38">
        <f t="shared" si="3"/>
        <v>0</v>
      </c>
      <c r="BA170" s="38">
        <f t="shared" si="3"/>
        <v>0</v>
      </c>
      <c r="BB170" s="38">
        <f t="shared" si="3"/>
        <v>0</v>
      </c>
      <c r="BC170" s="38">
        <f t="shared" si="3"/>
        <v>0</v>
      </c>
      <c r="BD170" s="38">
        <f t="shared" si="3"/>
        <v>0</v>
      </c>
    </row>
    <row r="189" spans="1:56" ht="15.75" thickBot="1" x14ac:dyDescent="0.3">
      <c r="A189" s="17" t="s">
        <v>271</v>
      </c>
      <c r="B189" t="s">
        <v>276</v>
      </c>
    </row>
    <row r="190" spans="1:56" ht="15.75" thickBot="1" x14ac:dyDescent="0.3">
      <c r="A190" s="236" t="s">
        <v>14</v>
      </c>
      <c r="B190" s="236" t="s">
        <v>49</v>
      </c>
      <c r="C190" s="238" t="s">
        <v>10</v>
      </c>
      <c r="D190" s="240" t="s">
        <v>58</v>
      </c>
      <c r="E190" s="230" t="s">
        <v>15</v>
      </c>
      <c r="F190" s="231"/>
      <c r="G190" s="231"/>
      <c r="H190" s="231"/>
      <c r="I190" s="231"/>
      <c r="J190" s="231"/>
      <c r="K190" s="232"/>
      <c r="L190" s="230" t="s">
        <v>53</v>
      </c>
      <c r="M190" s="231"/>
      <c r="N190" s="231"/>
      <c r="O190" s="231"/>
      <c r="P190" s="232"/>
      <c r="Q190" s="230" t="s">
        <v>33</v>
      </c>
      <c r="R190" s="231"/>
      <c r="S190" s="231"/>
      <c r="T190" s="231"/>
      <c r="U190" s="231"/>
      <c r="V190" s="232"/>
      <c r="W190" s="230" t="s">
        <v>16</v>
      </c>
      <c r="X190" s="231"/>
      <c r="Y190" s="231"/>
      <c r="Z190" s="231"/>
      <c r="AA190" s="231"/>
      <c r="AB190" s="231"/>
      <c r="AC190" s="232"/>
      <c r="AD190" s="230" t="s">
        <v>17</v>
      </c>
      <c r="AE190" s="231"/>
      <c r="AF190" s="231"/>
      <c r="AG190" s="231"/>
      <c r="AH190" s="231"/>
      <c r="AI190" s="231"/>
      <c r="AJ190" s="232"/>
      <c r="AK190" s="244" t="s">
        <v>34</v>
      </c>
      <c r="AL190" s="245"/>
      <c r="AM190" s="245"/>
      <c r="AN190" s="246"/>
      <c r="AO190" s="244" t="s">
        <v>18</v>
      </c>
      <c r="AP190" s="245"/>
      <c r="AQ190" s="245"/>
      <c r="AR190" s="245"/>
      <c r="AS190" s="246"/>
      <c r="AT190" s="244" t="s">
        <v>50</v>
      </c>
      <c r="AU190" s="245"/>
      <c r="AV190" s="247"/>
      <c r="AW190" s="248" t="s">
        <v>52</v>
      </c>
      <c r="AX190" s="246"/>
      <c r="AY190" s="244" t="s">
        <v>51</v>
      </c>
      <c r="AZ190" s="245"/>
      <c r="BA190" s="245"/>
      <c r="BB190" s="245"/>
      <c r="BC190" s="245"/>
      <c r="BD190" s="246"/>
    </row>
    <row r="191" spans="1:56" ht="18" thickBot="1" x14ac:dyDescent="0.3">
      <c r="A191" s="237"/>
      <c r="B191" s="237"/>
      <c r="C191" s="239"/>
      <c r="D191" s="241"/>
      <c r="E191" s="16" t="s">
        <v>19</v>
      </c>
      <c r="F191" s="17" t="s">
        <v>20</v>
      </c>
      <c r="G191" s="17" t="s">
        <v>35</v>
      </c>
      <c r="H191" s="17" t="s">
        <v>36</v>
      </c>
      <c r="I191" s="18" t="s">
        <v>47</v>
      </c>
      <c r="J191" s="18" t="s">
        <v>48</v>
      </c>
      <c r="K191" s="19" t="s">
        <v>21</v>
      </c>
      <c r="L191" s="20" t="s">
        <v>37</v>
      </c>
      <c r="M191" s="18" t="s">
        <v>38</v>
      </c>
      <c r="N191" s="18" t="s">
        <v>39</v>
      </c>
      <c r="O191" s="18" t="s">
        <v>40</v>
      </c>
      <c r="P191" s="19" t="s">
        <v>59</v>
      </c>
      <c r="Q191" s="20" t="s">
        <v>41</v>
      </c>
      <c r="R191" s="17" t="s">
        <v>42</v>
      </c>
      <c r="S191" s="18" t="s">
        <v>43</v>
      </c>
      <c r="T191" s="17" t="s">
        <v>44</v>
      </c>
      <c r="U191" s="18" t="s">
        <v>45</v>
      </c>
      <c r="V191" s="19" t="s">
        <v>46</v>
      </c>
      <c r="W191" s="21" t="s">
        <v>19</v>
      </c>
      <c r="X191" s="22" t="s">
        <v>20</v>
      </c>
      <c r="Y191" s="22" t="s">
        <v>35</v>
      </c>
      <c r="Z191" s="22" t="s">
        <v>36</v>
      </c>
      <c r="AA191" s="22" t="s">
        <v>47</v>
      </c>
      <c r="AB191" s="22" t="s">
        <v>48</v>
      </c>
      <c r="AC191" s="23" t="s">
        <v>21</v>
      </c>
      <c r="AD191" s="21" t="s">
        <v>19</v>
      </c>
      <c r="AE191" s="22" t="s">
        <v>20</v>
      </c>
      <c r="AF191" s="22" t="s">
        <v>35</v>
      </c>
      <c r="AG191" s="22" t="s">
        <v>36</v>
      </c>
      <c r="AH191" s="22" t="s">
        <v>47</v>
      </c>
      <c r="AI191" s="22" t="s">
        <v>48</v>
      </c>
      <c r="AJ191" s="23" t="s">
        <v>21</v>
      </c>
      <c r="AK191" s="24" t="s">
        <v>60</v>
      </c>
      <c r="AL191" s="25" t="s">
        <v>61</v>
      </c>
      <c r="AM191" s="25" t="s">
        <v>62</v>
      </c>
      <c r="AN191" s="26" t="s">
        <v>63</v>
      </c>
      <c r="AO191" s="27" t="s">
        <v>64</v>
      </c>
      <c r="AP191" s="25" t="s">
        <v>65</v>
      </c>
      <c r="AQ191" s="25" t="s">
        <v>66</v>
      </c>
      <c r="AR191" s="25" t="s">
        <v>67</v>
      </c>
      <c r="AS191" s="26" t="s">
        <v>68</v>
      </c>
      <c r="AT191" s="27" t="s">
        <v>69</v>
      </c>
      <c r="AU191" s="25" t="s">
        <v>70</v>
      </c>
      <c r="AV191" s="25" t="s">
        <v>71</v>
      </c>
      <c r="AW191" s="25" t="s">
        <v>72</v>
      </c>
      <c r="AX191" s="28" t="s">
        <v>73</v>
      </c>
      <c r="AY191" s="24" t="s">
        <v>23</v>
      </c>
      <c r="AZ191" s="25" t="s">
        <v>24</v>
      </c>
      <c r="BA191" s="25" t="s">
        <v>25</v>
      </c>
      <c r="BB191" s="25" t="s">
        <v>28</v>
      </c>
      <c r="BC191" s="25" t="s">
        <v>26</v>
      </c>
      <c r="BD191" s="28" t="s">
        <v>27</v>
      </c>
    </row>
    <row r="192" spans="1:56" x14ac:dyDescent="0.25">
      <c r="A192" s="111" t="e">
        <f>IF('3'!$AC$14="", B192, NA())</f>
        <v>#N/A</v>
      </c>
      <c r="B192" s="111"/>
      <c r="C192" s="96"/>
      <c r="D192" s="112"/>
      <c r="E192" s="96"/>
      <c r="F192" s="96"/>
      <c r="G192" s="96"/>
      <c r="H192" s="96"/>
      <c r="I192" s="96"/>
      <c r="J192" s="96"/>
      <c r="K192" s="96"/>
      <c r="L192" s="111"/>
      <c r="M192" s="96"/>
      <c r="N192" s="96"/>
      <c r="O192" s="96"/>
      <c r="P192" s="96"/>
      <c r="Q192" s="111"/>
      <c r="R192" s="96"/>
      <c r="S192" s="96"/>
      <c r="T192" s="96"/>
      <c r="U192" s="96"/>
      <c r="V192" s="96"/>
      <c r="W192" s="96"/>
      <c r="X192" s="96"/>
      <c r="Y192" s="96"/>
      <c r="Z192" s="96"/>
      <c r="AA192" s="96"/>
      <c r="AB192" s="96"/>
      <c r="AC192" s="96"/>
      <c r="AD192" s="111"/>
      <c r="AE192" s="13"/>
      <c r="AF192" s="13"/>
      <c r="AG192" s="13"/>
      <c r="AH192" s="13"/>
      <c r="AI192" s="13"/>
      <c r="AJ192" s="84"/>
      <c r="AK192" s="113"/>
      <c r="AL192" s="13"/>
      <c r="AM192" s="13"/>
      <c r="AN192" s="84"/>
      <c r="AO192" s="13"/>
      <c r="AP192" s="13"/>
      <c r="AQ192" s="13"/>
      <c r="AR192" s="13"/>
      <c r="AS192" s="13"/>
      <c r="AT192" s="113"/>
      <c r="AU192" s="13"/>
      <c r="AV192" s="13"/>
      <c r="AW192" s="13"/>
      <c r="AX192" s="84"/>
      <c r="AY192" s="113"/>
      <c r="AZ192" s="13"/>
      <c r="BA192" s="13"/>
      <c r="BB192" s="13"/>
      <c r="BC192" s="13"/>
      <c r="BD192" s="84"/>
    </row>
    <row r="193" spans="1:56" x14ac:dyDescent="0.25">
      <c r="A193" s="111" t="e">
        <f>IF('3'!$AC$14="", B193, NA())</f>
        <v>#N/A</v>
      </c>
      <c r="B193" s="111">
        <v>0.9</v>
      </c>
      <c r="C193" s="96"/>
      <c r="D193" s="112"/>
      <c r="E193" s="96"/>
      <c r="F193" s="96"/>
      <c r="G193" s="96"/>
      <c r="H193" s="96"/>
      <c r="I193" s="96"/>
      <c r="J193" s="96"/>
      <c r="K193" s="96"/>
      <c r="L193" s="111"/>
      <c r="M193" s="96"/>
      <c r="N193" s="96"/>
      <c r="O193" s="96"/>
      <c r="P193" s="112"/>
      <c r="Q193" s="111"/>
      <c r="R193" s="96"/>
      <c r="S193" s="96"/>
      <c r="T193" s="96"/>
      <c r="U193" s="96"/>
      <c r="V193" s="112"/>
      <c r="W193" s="96"/>
      <c r="X193" s="96"/>
      <c r="Y193" s="96"/>
      <c r="Z193" s="96"/>
      <c r="AA193" s="96"/>
      <c r="AB193" s="96"/>
      <c r="AC193" s="96">
        <v>0.1</v>
      </c>
      <c r="AD193" s="111"/>
      <c r="AE193" s="13"/>
      <c r="AF193" s="13"/>
      <c r="AG193" s="13"/>
      <c r="AH193" s="13"/>
      <c r="AI193" s="13"/>
      <c r="AJ193" s="84"/>
      <c r="AK193" s="113"/>
      <c r="AL193" s="13"/>
      <c r="AM193" s="13"/>
      <c r="AN193" s="84"/>
      <c r="AO193" s="13"/>
      <c r="AP193" s="13"/>
      <c r="AQ193" s="13"/>
      <c r="AR193" s="13"/>
      <c r="AS193" s="13"/>
      <c r="AT193" s="113"/>
      <c r="AU193" s="13"/>
      <c r="AV193" s="13"/>
      <c r="AW193" s="13"/>
      <c r="AX193" s="84"/>
      <c r="AY193" s="113"/>
      <c r="AZ193" s="13"/>
      <c r="BA193" s="13"/>
      <c r="BB193" s="13"/>
      <c r="BC193" s="13"/>
      <c r="BD193" s="84"/>
    </row>
    <row r="194" spans="1:56" x14ac:dyDescent="0.25">
      <c r="A194" s="111" t="e">
        <f>IF('3'!$AC$14="", B194, NA())</f>
        <v>#N/A</v>
      </c>
      <c r="B194" s="111">
        <v>0.8</v>
      </c>
      <c r="C194" s="96"/>
      <c r="D194" s="96"/>
      <c r="E194" s="96"/>
      <c r="F194" s="96"/>
      <c r="G194" s="96"/>
      <c r="H194" s="96"/>
      <c r="I194" s="96"/>
      <c r="J194" s="96"/>
      <c r="K194" s="96"/>
      <c r="L194" s="96"/>
      <c r="M194" s="96"/>
      <c r="N194" s="96"/>
      <c r="O194" s="96"/>
      <c r="P194" s="96"/>
      <c r="Q194" s="96"/>
      <c r="R194" s="96"/>
      <c r="S194" s="96"/>
      <c r="T194" s="96"/>
      <c r="U194" s="96"/>
      <c r="V194" s="96"/>
      <c r="W194" s="96"/>
      <c r="X194" s="96"/>
      <c r="Y194" s="96"/>
      <c r="Z194" s="96"/>
      <c r="AA194" s="96"/>
      <c r="AB194" s="96"/>
      <c r="AC194" s="96">
        <v>0.11</v>
      </c>
      <c r="AD194" s="96"/>
      <c r="AE194" s="96"/>
      <c r="AF194" s="96"/>
      <c r="AG194" s="96"/>
      <c r="AH194" s="96"/>
      <c r="AI194" s="96"/>
      <c r="AJ194" s="96"/>
      <c r="AK194" s="96"/>
      <c r="AL194" s="96"/>
      <c r="AM194" s="96"/>
      <c r="AN194" s="96"/>
      <c r="AO194" s="96"/>
      <c r="AP194" s="96"/>
      <c r="AQ194" s="96"/>
      <c r="AR194" s="96"/>
      <c r="AS194" s="96"/>
      <c r="AT194" s="96"/>
      <c r="AU194" s="96"/>
      <c r="AV194" s="96"/>
      <c r="AW194" s="96"/>
      <c r="AX194" s="96"/>
      <c r="AY194" s="96"/>
      <c r="AZ194" s="96"/>
      <c r="BA194" s="96"/>
      <c r="BB194" s="96"/>
      <c r="BC194" s="96"/>
      <c r="BD194" s="96"/>
    </row>
    <row r="195" spans="1:56" x14ac:dyDescent="0.25">
      <c r="A195" s="111" t="e">
        <f>IF('3'!$AC$14="", B195, NA())</f>
        <v>#N/A</v>
      </c>
      <c r="B195" s="111"/>
      <c r="C195" s="96"/>
      <c r="D195" s="112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</row>
    <row r="196" spans="1:56" x14ac:dyDescent="0.25">
      <c r="A196" s="111" t="e">
        <f>IF('3'!$AC$14="", B196, NA())</f>
        <v>#N/A</v>
      </c>
      <c r="B196" s="111"/>
      <c r="C196" s="96"/>
      <c r="D196" s="112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</row>
    <row r="197" spans="1:56" x14ac:dyDescent="0.25">
      <c r="A197" s="111" t="e">
        <f>IF('3'!$AC$14="", B197, NA())</f>
        <v>#N/A</v>
      </c>
      <c r="B197" s="111"/>
      <c r="C197" s="96"/>
      <c r="D197" s="112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</row>
    <row r="198" spans="1:56" x14ac:dyDescent="0.25">
      <c r="A198" s="111" t="e">
        <f>IF('3'!$AC$14="", B198, NA())</f>
        <v>#N/A</v>
      </c>
      <c r="B198" s="111"/>
      <c r="C198" s="96"/>
      <c r="D198" s="112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</row>
    <row r="199" spans="1:56" x14ac:dyDescent="0.25">
      <c r="A199" s="111" t="e">
        <f>IF('3'!$AC$14="", B199, NA())</f>
        <v>#N/A</v>
      </c>
      <c r="B199" s="111"/>
      <c r="C199" s="96"/>
      <c r="D199" s="112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</row>
    <row r="200" spans="1:56" x14ac:dyDescent="0.25">
      <c r="A200" s="111" t="e">
        <f>IF('3'!$AC$14="", B200, NA())</f>
        <v>#N/A</v>
      </c>
      <c r="B200" s="111"/>
      <c r="C200" s="96"/>
      <c r="D200" s="112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</row>
    <row r="201" spans="1:56" x14ac:dyDescent="0.25">
      <c r="A201" s="111" t="e">
        <f>IF('3'!$AC$14="", B201, NA())</f>
        <v>#N/A</v>
      </c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</row>
    <row r="202" spans="1:56" x14ac:dyDescent="0.25">
      <c r="A202" s="111" t="e">
        <f>IF('3'!$AC$14="", B202, NA())</f>
        <v>#N/A</v>
      </c>
      <c r="B202" s="111"/>
      <c r="C202" s="96"/>
      <c r="D202" s="112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</row>
    <row r="203" spans="1:56" ht="15.75" thickBot="1" x14ac:dyDescent="0.3">
      <c r="A203" s="111" t="e">
        <f>IF('3'!$AC$14="", B203, NA())</f>
        <v>#N/A</v>
      </c>
      <c r="B203" s="111"/>
      <c r="C203" s="96"/>
      <c r="D203" s="112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</row>
    <row r="204" spans="1:56" ht="15.75" thickBot="1" x14ac:dyDescent="0.3">
      <c r="A204" s="36" t="e">
        <f>IF('3'!$AC$14="", -B204, NA())</f>
        <v>#N/A</v>
      </c>
      <c r="B204" s="117"/>
      <c r="C204" s="118"/>
      <c r="D204" s="144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</row>
    <row r="205" spans="1:56" x14ac:dyDescent="0.25">
      <c r="A205" s="147" t="e">
        <f>IF('3'!$AC$14="", -B205, NA())</f>
        <v>#N/A</v>
      </c>
      <c r="B205" s="110"/>
      <c r="C205" s="96"/>
      <c r="D205" s="115"/>
      <c r="E205" s="110"/>
      <c r="F205" s="110"/>
      <c r="G205" s="110"/>
      <c r="H205" s="110"/>
      <c r="I205" s="110"/>
      <c r="J205" s="110"/>
      <c r="K205" s="109"/>
      <c r="L205" s="114"/>
      <c r="M205" s="110"/>
      <c r="N205" s="110"/>
      <c r="O205" s="110"/>
      <c r="P205" s="115"/>
      <c r="Q205" s="114"/>
      <c r="R205" s="110"/>
      <c r="S205" s="110"/>
      <c r="T205" s="110"/>
      <c r="U205" s="110"/>
      <c r="V205" s="115"/>
      <c r="W205" s="110"/>
      <c r="X205" s="110"/>
      <c r="Y205" s="110"/>
      <c r="Z205" s="110"/>
      <c r="AA205" s="110"/>
      <c r="AB205" s="110"/>
      <c r="AC205" s="110"/>
      <c r="AD205" s="114"/>
      <c r="AE205" s="3"/>
      <c r="AF205" s="3"/>
      <c r="AG205" s="3"/>
      <c r="AH205" s="3"/>
      <c r="AI205" s="3"/>
      <c r="AJ205" s="115"/>
      <c r="AK205" s="114"/>
      <c r="AL205" s="110"/>
      <c r="AM205" s="110"/>
      <c r="AN205" s="115"/>
      <c r="AO205" s="110"/>
      <c r="AP205" s="110"/>
      <c r="AQ205" s="110"/>
      <c r="AR205" s="110"/>
      <c r="AS205" s="110"/>
      <c r="AT205" s="114"/>
      <c r="AU205" s="3"/>
      <c r="AV205" s="3"/>
      <c r="AW205" s="3"/>
      <c r="AX205" s="3"/>
      <c r="AY205" s="113"/>
      <c r="AZ205" s="13"/>
      <c r="BA205" s="13"/>
      <c r="BB205" s="13"/>
      <c r="BC205" s="13"/>
      <c r="BD205" s="84"/>
    </row>
    <row r="206" spans="1:56" x14ac:dyDescent="0.25">
      <c r="A206" s="147" t="e">
        <f>IF('3'!$AC$14="", -B206, NA())</f>
        <v>#N/A</v>
      </c>
      <c r="B206" s="110"/>
      <c r="C206" s="96"/>
      <c r="D206" s="115"/>
      <c r="E206" s="110"/>
      <c r="F206" s="110"/>
      <c r="G206" s="110"/>
      <c r="H206" s="110"/>
      <c r="I206" s="110"/>
      <c r="J206" s="110"/>
      <c r="K206" s="109"/>
      <c r="L206" s="114"/>
      <c r="M206" s="110"/>
      <c r="N206" s="110"/>
      <c r="O206" s="110"/>
      <c r="P206" s="115"/>
      <c r="Q206" s="114"/>
      <c r="R206" s="110"/>
      <c r="S206" s="110"/>
      <c r="T206" s="110"/>
      <c r="U206" s="110"/>
      <c r="V206" s="115"/>
      <c r="W206" s="110"/>
      <c r="X206" s="110"/>
      <c r="Y206" s="110"/>
      <c r="Z206" s="110"/>
      <c r="AA206" s="110"/>
      <c r="AB206" s="110"/>
      <c r="AC206" s="110"/>
      <c r="AD206" s="114"/>
      <c r="AE206" s="3"/>
      <c r="AF206" s="3"/>
      <c r="AG206" s="3"/>
      <c r="AH206" s="3"/>
      <c r="AI206" s="3"/>
      <c r="AJ206" s="115"/>
      <c r="AK206" s="114"/>
      <c r="AL206" s="110"/>
      <c r="AM206" s="110"/>
      <c r="AN206" s="115"/>
      <c r="AO206" s="110"/>
      <c r="AP206" s="110"/>
      <c r="AQ206" s="110"/>
      <c r="AR206" s="110"/>
      <c r="AS206" s="110"/>
      <c r="AT206" s="114"/>
      <c r="AU206" s="3"/>
      <c r="AV206" s="3"/>
      <c r="AW206" s="3"/>
      <c r="AX206" s="3"/>
      <c r="AY206" s="113"/>
      <c r="AZ206" s="13"/>
      <c r="BA206" s="13"/>
      <c r="BB206" s="13"/>
      <c r="BC206" s="13"/>
      <c r="BD206" s="84"/>
    </row>
    <row r="207" spans="1:56" x14ac:dyDescent="0.25">
      <c r="A207" s="147" t="e">
        <f>IF('3'!$AC$14="", -B207, NA())</f>
        <v>#N/A</v>
      </c>
      <c r="B207" s="110"/>
      <c r="C207" s="96"/>
      <c r="D207" s="115"/>
      <c r="E207" s="110"/>
      <c r="F207" s="110"/>
      <c r="G207" s="110"/>
      <c r="H207" s="110"/>
      <c r="I207" s="110"/>
      <c r="J207" s="110"/>
      <c r="K207" s="109"/>
      <c r="L207" s="114"/>
      <c r="M207" s="110"/>
      <c r="N207" s="110"/>
      <c r="O207" s="110"/>
      <c r="P207" s="115"/>
      <c r="Q207" s="114"/>
      <c r="R207" s="110"/>
      <c r="S207" s="110"/>
      <c r="T207" s="110"/>
      <c r="U207" s="110"/>
      <c r="V207" s="115"/>
      <c r="W207" s="110"/>
      <c r="X207" s="110"/>
      <c r="Y207" s="110"/>
      <c r="Z207" s="110"/>
      <c r="AA207" s="110"/>
      <c r="AB207" s="110"/>
      <c r="AC207" s="110"/>
      <c r="AD207" s="114"/>
      <c r="AE207" s="3"/>
      <c r="AF207" s="3"/>
      <c r="AG207" s="3"/>
      <c r="AH207" s="3"/>
      <c r="AI207" s="3"/>
      <c r="AJ207" s="115"/>
      <c r="AK207" s="114"/>
      <c r="AL207" s="110"/>
      <c r="AM207" s="110"/>
      <c r="AN207" s="115"/>
      <c r="AO207" s="110"/>
      <c r="AP207" s="110"/>
      <c r="AQ207" s="110"/>
      <c r="AR207" s="110"/>
      <c r="AS207" s="110"/>
      <c r="AT207" s="114"/>
      <c r="AU207" s="3"/>
      <c r="AV207" s="3"/>
      <c r="AW207" s="3"/>
      <c r="AX207" s="3"/>
      <c r="AY207" s="113"/>
      <c r="AZ207" s="13"/>
      <c r="BA207" s="13"/>
      <c r="BB207" s="13"/>
      <c r="BC207" s="13"/>
      <c r="BD207" s="84"/>
    </row>
    <row r="208" spans="1:56" x14ac:dyDescent="0.25">
      <c r="A208" s="147" t="e">
        <f>IF('3'!$AC$14="", -B208, NA())</f>
        <v>#N/A</v>
      </c>
      <c r="B208" s="110"/>
      <c r="C208" s="96"/>
      <c r="D208" s="115"/>
      <c r="E208" s="110"/>
      <c r="F208" s="110"/>
      <c r="G208" s="110"/>
      <c r="H208" s="110"/>
      <c r="I208" s="110"/>
      <c r="J208" s="110"/>
      <c r="K208" s="109"/>
      <c r="L208" s="114"/>
      <c r="M208" s="110"/>
      <c r="N208" s="110"/>
      <c r="O208" s="110"/>
      <c r="P208" s="115"/>
      <c r="Q208" s="114"/>
      <c r="R208" s="110"/>
      <c r="S208" s="110"/>
      <c r="T208" s="110"/>
      <c r="U208" s="110"/>
      <c r="V208" s="115"/>
      <c r="W208" s="110"/>
      <c r="X208" s="110"/>
      <c r="Y208" s="110"/>
      <c r="Z208" s="110"/>
      <c r="AA208" s="110"/>
      <c r="AB208" s="110"/>
      <c r="AC208" s="110"/>
      <c r="AD208" s="114"/>
      <c r="AE208" s="3"/>
      <c r="AF208" s="3"/>
      <c r="AG208" s="3"/>
      <c r="AH208" s="3"/>
      <c r="AI208" s="3"/>
      <c r="AJ208" s="115"/>
      <c r="AK208" s="114"/>
      <c r="AL208" s="110"/>
      <c r="AM208" s="110"/>
      <c r="AN208" s="115"/>
      <c r="AO208" s="110"/>
      <c r="AP208" s="110"/>
      <c r="AQ208" s="110"/>
      <c r="AR208" s="110"/>
      <c r="AS208" s="110"/>
      <c r="AT208" s="114"/>
      <c r="AU208" s="3"/>
      <c r="AV208" s="3"/>
      <c r="AW208" s="3"/>
      <c r="AX208" s="3"/>
      <c r="AY208" s="113"/>
      <c r="AZ208" s="13"/>
      <c r="BA208" s="13"/>
      <c r="BB208" s="13"/>
      <c r="BC208" s="13"/>
      <c r="BD208" s="84"/>
    </row>
    <row r="209" spans="1:56" x14ac:dyDescent="0.25">
      <c r="A209" s="147" t="e">
        <f>IF('3'!$AC$14="", -B209, NA())</f>
        <v>#N/A</v>
      </c>
      <c r="B209" s="110"/>
      <c r="C209" s="96"/>
      <c r="D209" s="115"/>
      <c r="E209" s="110"/>
      <c r="F209" s="110"/>
      <c r="G209" s="110"/>
      <c r="H209" s="110"/>
      <c r="I209" s="110"/>
      <c r="J209" s="110"/>
      <c r="K209" s="109"/>
      <c r="L209" s="114"/>
      <c r="M209" s="110"/>
      <c r="N209" s="110"/>
      <c r="O209" s="110"/>
      <c r="P209" s="115"/>
      <c r="Q209" s="114"/>
      <c r="R209" s="110"/>
      <c r="S209" s="110"/>
      <c r="T209" s="110"/>
      <c r="U209" s="110"/>
      <c r="V209" s="115"/>
      <c r="W209" s="110"/>
      <c r="X209" s="110"/>
      <c r="Y209" s="110"/>
      <c r="Z209" s="110"/>
      <c r="AA209" s="110"/>
      <c r="AB209" s="110"/>
      <c r="AC209" s="110"/>
      <c r="AD209" s="114"/>
      <c r="AE209" s="3"/>
      <c r="AF209" s="3"/>
      <c r="AG209" s="3"/>
      <c r="AH209" s="3"/>
      <c r="AI209" s="3"/>
      <c r="AJ209" s="115"/>
      <c r="AK209" s="114"/>
      <c r="AL209" s="110"/>
      <c r="AM209" s="110"/>
      <c r="AN209" s="115"/>
      <c r="AO209" s="110"/>
      <c r="AP209" s="110"/>
      <c r="AQ209" s="110"/>
      <c r="AR209" s="110"/>
      <c r="AS209" s="110"/>
      <c r="AT209" s="114"/>
      <c r="AU209" s="3"/>
      <c r="AV209" s="3"/>
      <c r="AW209" s="3"/>
      <c r="AX209" s="3"/>
      <c r="AY209" s="113"/>
      <c r="AZ209" s="13"/>
      <c r="BA209" s="13"/>
      <c r="BB209" s="13"/>
      <c r="BC209" s="13"/>
      <c r="BD209" s="84"/>
    </row>
    <row r="210" spans="1:56" x14ac:dyDescent="0.25">
      <c r="A210" s="147" t="e">
        <f>IF('3'!$AC$14="", -B210, NA())</f>
        <v>#N/A</v>
      </c>
      <c r="B210" s="110"/>
      <c r="C210" s="96"/>
      <c r="D210" s="115"/>
      <c r="E210" s="110"/>
      <c r="F210" s="110"/>
      <c r="G210" s="110"/>
      <c r="H210" s="110"/>
      <c r="I210" s="110"/>
      <c r="J210" s="110"/>
      <c r="K210" s="109"/>
      <c r="L210" s="114"/>
      <c r="M210" s="110"/>
      <c r="N210" s="110"/>
      <c r="O210" s="110"/>
      <c r="P210" s="115"/>
      <c r="Q210" s="114"/>
      <c r="R210" s="110"/>
      <c r="S210" s="110"/>
      <c r="T210" s="110"/>
      <c r="U210" s="110"/>
      <c r="V210" s="115"/>
      <c r="W210" s="110"/>
      <c r="X210" s="110"/>
      <c r="Y210" s="110"/>
      <c r="Z210" s="110"/>
      <c r="AA210" s="110"/>
      <c r="AB210" s="110"/>
      <c r="AC210" s="110"/>
      <c r="AD210" s="114"/>
      <c r="AE210" s="3"/>
      <c r="AF210" s="3"/>
      <c r="AG210" s="3"/>
      <c r="AH210" s="3"/>
      <c r="AI210" s="3"/>
      <c r="AJ210" s="115"/>
      <c r="AK210" s="114"/>
      <c r="AL210" s="110"/>
      <c r="AM210" s="110"/>
      <c r="AN210" s="115"/>
      <c r="AO210" s="110"/>
      <c r="AP210" s="110"/>
      <c r="AQ210" s="110"/>
      <c r="AR210" s="110"/>
      <c r="AS210" s="110"/>
      <c r="AT210" s="114"/>
      <c r="AU210" s="3"/>
      <c r="AV210" s="3"/>
      <c r="AW210" s="3"/>
      <c r="AX210" s="3"/>
      <c r="AY210" s="113"/>
      <c r="AZ210" s="13"/>
      <c r="BA210" s="13"/>
      <c r="BB210" s="13"/>
      <c r="BC210" s="13"/>
      <c r="BD210" s="84"/>
    </row>
    <row r="211" spans="1:56" x14ac:dyDescent="0.25">
      <c r="A211" s="147" t="e">
        <f>IF('3'!$AC$14="", -B211, NA())</f>
        <v>#N/A</v>
      </c>
      <c r="B211" s="110"/>
      <c r="C211" s="96"/>
      <c r="D211" s="115"/>
      <c r="E211" s="110"/>
      <c r="F211" s="110"/>
      <c r="G211" s="110"/>
      <c r="H211" s="110"/>
      <c r="I211" s="110"/>
      <c r="J211" s="110"/>
      <c r="K211" s="109"/>
      <c r="L211" s="114"/>
      <c r="M211" s="110"/>
      <c r="N211" s="110"/>
      <c r="O211" s="110"/>
      <c r="P211" s="115"/>
      <c r="Q211" s="114"/>
      <c r="R211" s="110"/>
      <c r="S211" s="110"/>
      <c r="T211" s="110"/>
      <c r="U211" s="110"/>
      <c r="V211" s="115"/>
      <c r="W211" s="110"/>
      <c r="X211" s="110"/>
      <c r="Y211" s="110"/>
      <c r="Z211" s="110"/>
      <c r="AA211" s="110"/>
      <c r="AB211" s="110"/>
      <c r="AC211" s="110"/>
      <c r="AD211" s="114"/>
      <c r="AE211" s="3"/>
      <c r="AF211" s="3"/>
      <c r="AG211" s="3"/>
      <c r="AH211" s="3"/>
      <c r="AI211" s="3"/>
      <c r="AJ211" s="115"/>
      <c r="AK211" s="114"/>
      <c r="AL211" s="110"/>
      <c r="AM211" s="110"/>
      <c r="AN211" s="115"/>
      <c r="AO211" s="110"/>
      <c r="AP211" s="110"/>
      <c r="AQ211" s="110"/>
      <c r="AR211" s="110"/>
      <c r="AS211" s="110"/>
      <c r="AT211" s="114"/>
      <c r="AU211" s="3"/>
      <c r="AV211" s="3"/>
      <c r="AW211" s="3"/>
      <c r="AX211" s="3"/>
      <c r="AY211" s="113"/>
      <c r="AZ211" s="13"/>
      <c r="BA211" s="13"/>
      <c r="BB211" s="13"/>
      <c r="BC211" s="13"/>
      <c r="BD211" s="84"/>
    </row>
    <row r="212" spans="1:56" x14ac:dyDescent="0.25">
      <c r="A212" s="147" t="e">
        <f>IF('3'!$AC$14="", -B212, NA())</f>
        <v>#N/A</v>
      </c>
      <c r="B212" s="111"/>
      <c r="C212" s="96"/>
      <c r="D212" s="112"/>
      <c r="E212" s="96"/>
      <c r="F212" s="96"/>
      <c r="G212" s="96"/>
      <c r="H212" s="96"/>
      <c r="I212" s="96"/>
      <c r="J212" s="96"/>
      <c r="K212" s="96"/>
      <c r="L212" s="111"/>
      <c r="M212" s="96"/>
      <c r="N212" s="96"/>
      <c r="O212" s="96"/>
      <c r="P212" s="112"/>
      <c r="Q212" s="111"/>
      <c r="R212" s="96"/>
      <c r="S212" s="96"/>
      <c r="T212" s="96"/>
      <c r="U212" s="96"/>
      <c r="V212" s="112"/>
      <c r="W212" s="96"/>
      <c r="X212" s="96"/>
      <c r="Y212" s="96"/>
      <c r="Z212" s="96"/>
      <c r="AA212" s="96"/>
      <c r="AB212" s="96"/>
      <c r="AC212" s="96"/>
      <c r="AD212" s="111"/>
      <c r="AE212" s="13"/>
      <c r="AF212" s="13"/>
      <c r="AG212" s="13"/>
      <c r="AH212" s="13"/>
      <c r="AI212" s="13"/>
      <c r="AJ212" s="84"/>
      <c r="AK212" s="113"/>
      <c r="AL212" s="13"/>
      <c r="AM212" s="13"/>
      <c r="AN212" s="84"/>
      <c r="AO212" s="13"/>
      <c r="AP212" s="13"/>
      <c r="AQ212" s="13"/>
      <c r="AR212" s="13"/>
      <c r="AS212" s="13"/>
      <c r="AT212" s="113"/>
      <c r="AU212" s="13"/>
      <c r="AV212" s="13"/>
      <c r="AW212" s="13"/>
      <c r="AX212" s="84"/>
      <c r="AY212" s="113"/>
      <c r="AZ212" s="13"/>
      <c r="BA212" s="13"/>
      <c r="BB212" s="13"/>
      <c r="BC212" s="13"/>
      <c r="BD212" s="84"/>
    </row>
    <row r="213" spans="1:56" x14ac:dyDescent="0.25">
      <c r="A213" s="147" t="e">
        <f>IF('3'!$AC$14="", -B213, NA())</f>
        <v>#N/A</v>
      </c>
      <c r="B213" s="110"/>
      <c r="C213" s="96"/>
      <c r="D213" s="115"/>
      <c r="E213" s="110"/>
      <c r="F213" s="110"/>
      <c r="G213" s="110"/>
      <c r="H213" s="110"/>
      <c r="I213" s="110"/>
      <c r="J213" s="110"/>
      <c r="K213" s="109"/>
      <c r="L213" s="114"/>
      <c r="M213" s="110"/>
      <c r="N213" s="110"/>
      <c r="O213" s="110"/>
      <c r="P213" s="115"/>
      <c r="Q213" s="114"/>
      <c r="R213" s="110"/>
      <c r="S213" s="110"/>
      <c r="T213" s="110"/>
      <c r="U213" s="110"/>
      <c r="V213" s="115"/>
      <c r="W213" s="110"/>
      <c r="X213" s="110"/>
      <c r="Y213" s="110"/>
      <c r="Z213" s="110"/>
      <c r="AA213" s="110"/>
      <c r="AB213" s="110"/>
      <c r="AC213" s="110"/>
      <c r="AD213" s="114"/>
      <c r="AE213" s="3"/>
      <c r="AF213" s="3"/>
      <c r="AG213" s="3"/>
      <c r="AH213" s="3"/>
      <c r="AI213" s="3"/>
      <c r="AJ213" s="115"/>
      <c r="AK213" s="114"/>
      <c r="AL213" s="110"/>
      <c r="AM213" s="110"/>
      <c r="AN213" s="115"/>
      <c r="AO213" s="110"/>
      <c r="AP213" s="110"/>
      <c r="AQ213" s="110"/>
      <c r="AR213" s="110"/>
      <c r="AS213" s="110"/>
      <c r="AT213" s="114"/>
      <c r="AU213" s="3"/>
      <c r="AV213" s="3"/>
      <c r="AW213" s="3"/>
      <c r="AX213" s="3"/>
      <c r="AY213" s="113"/>
      <c r="AZ213" s="13"/>
      <c r="BA213" s="13"/>
      <c r="BB213" s="13"/>
      <c r="BC213" s="13"/>
      <c r="BD213" s="84"/>
    </row>
    <row r="214" spans="1:56" x14ac:dyDescent="0.25">
      <c r="A214" s="147" t="e">
        <f>IF('3'!$AC$14="", -B214, NA())</f>
        <v>#N/A</v>
      </c>
      <c r="B214" s="110"/>
      <c r="C214" s="96"/>
      <c r="D214" s="115"/>
      <c r="E214" s="110"/>
      <c r="F214" s="110"/>
      <c r="G214" s="110"/>
      <c r="H214" s="110"/>
      <c r="I214" s="110"/>
      <c r="J214" s="110"/>
      <c r="K214" s="109"/>
      <c r="L214" s="114"/>
      <c r="M214" s="110"/>
      <c r="N214" s="110"/>
      <c r="O214" s="110"/>
      <c r="P214" s="115"/>
      <c r="Q214" s="114"/>
      <c r="R214" s="110"/>
      <c r="S214" s="110"/>
      <c r="T214" s="110"/>
      <c r="U214" s="110"/>
      <c r="V214" s="115"/>
      <c r="W214" s="110"/>
      <c r="X214" s="110"/>
      <c r="Y214" s="110"/>
      <c r="Z214" s="110"/>
      <c r="AA214" s="110"/>
      <c r="AB214" s="110"/>
      <c r="AC214" s="110"/>
      <c r="AD214" s="114"/>
      <c r="AE214" s="3"/>
      <c r="AF214" s="3"/>
      <c r="AG214" s="3"/>
      <c r="AH214" s="3"/>
      <c r="AI214" s="3"/>
      <c r="AJ214" s="115"/>
      <c r="AK214" s="114"/>
      <c r="AL214" s="110"/>
      <c r="AM214" s="110"/>
      <c r="AN214" s="115"/>
      <c r="AO214" s="110"/>
      <c r="AP214" s="110"/>
      <c r="AQ214" s="110"/>
      <c r="AR214" s="110"/>
      <c r="AS214" s="110"/>
      <c r="AT214" s="114"/>
      <c r="AU214" s="3"/>
      <c r="AV214" s="3"/>
      <c r="AW214" s="3"/>
      <c r="AX214" s="3"/>
      <c r="AY214" s="113"/>
      <c r="AZ214" s="13"/>
      <c r="BA214" s="13"/>
      <c r="BB214" s="13"/>
      <c r="BC214" s="13"/>
      <c r="BD214" s="84"/>
    </row>
    <row r="215" spans="1:56" x14ac:dyDescent="0.25">
      <c r="A215" s="147" t="e">
        <f>IF('3'!$AC$14="", -B215, NA())</f>
        <v>#N/A</v>
      </c>
      <c r="B215" s="96"/>
      <c r="C215" s="96"/>
      <c r="D215" s="115"/>
      <c r="E215" s="110"/>
      <c r="F215" s="110"/>
      <c r="G215" s="110"/>
      <c r="H215" s="110"/>
      <c r="I215" s="110"/>
      <c r="J215" s="110"/>
      <c r="K215" s="109"/>
      <c r="L215" s="114"/>
      <c r="M215" s="110"/>
      <c r="N215" s="110"/>
      <c r="O215" s="110"/>
      <c r="P215" s="115"/>
      <c r="Q215" s="114"/>
      <c r="R215" s="110"/>
      <c r="S215" s="110"/>
      <c r="T215" s="110"/>
      <c r="U215" s="110"/>
      <c r="V215" s="115"/>
      <c r="W215" s="110"/>
      <c r="X215" s="110"/>
      <c r="Y215" s="110"/>
      <c r="Z215" s="110"/>
      <c r="AA215" s="110"/>
      <c r="AB215" s="110"/>
      <c r="AC215" s="110"/>
      <c r="AD215" s="114"/>
      <c r="AE215" s="3"/>
      <c r="AF215" s="3"/>
      <c r="AG215" s="3"/>
      <c r="AH215" s="3"/>
      <c r="AI215" s="3"/>
      <c r="AJ215" s="115"/>
      <c r="AK215" s="114"/>
      <c r="AL215" s="110"/>
      <c r="AM215" s="110"/>
      <c r="AN215" s="115"/>
      <c r="AO215" s="110"/>
      <c r="AP215" s="110"/>
      <c r="AQ215" s="110"/>
      <c r="AR215" s="110"/>
      <c r="AS215" s="110"/>
      <c r="AT215" s="114"/>
      <c r="AU215" s="3"/>
      <c r="AV215" s="3"/>
      <c r="AW215" s="3"/>
      <c r="AX215" s="3"/>
      <c r="AY215" s="113"/>
      <c r="AZ215" s="13"/>
      <c r="BA215" s="13"/>
      <c r="BB215" s="13"/>
      <c r="BC215" s="13"/>
      <c r="BD215" s="84"/>
    </row>
    <row r="216" spans="1:56" ht="15.75" thickBot="1" x14ac:dyDescent="0.3">
      <c r="A216" s="147" t="e">
        <f>IF('3'!$AC$14="", -B216, NA())</f>
        <v>#N/A</v>
      </c>
      <c r="B216" s="110"/>
      <c r="C216" s="110"/>
      <c r="D216" s="115"/>
      <c r="E216" s="110"/>
      <c r="F216" s="110"/>
      <c r="G216" s="110"/>
      <c r="H216" s="110"/>
      <c r="I216" s="110"/>
      <c r="J216" s="110"/>
      <c r="K216" s="109"/>
      <c r="L216" s="114"/>
      <c r="M216" s="110"/>
      <c r="N216" s="110"/>
      <c r="O216" s="110"/>
      <c r="P216" s="115"/>
      <c r="Q216" s="114"/>
      <c r="R216" s="110"/>
      <c r="S216" s="110"/>
      <c r="T216" s="110"/>
      <c r="U216" s="110"/>
      <c r="V216" s="115"/>
      <c r="W216" s="110"/>
      <c r="X216" s="110"/>
      <c r="Y216" s="110"/>
      <c r="Z216" s="110"/>
      <c r="AA216" s="110"/>
      <c r="AB216" s="110"/>
      <c r="AC216" s="110"/>
      <c r="AD216" s="114"/>
      <c r="AE216" s="3"/>
      <c r="AF216" s="3"/>
      <c r="AG216" s="3"/>
      <c r="AH216" s="3"/>
      <c r="AI216" s="3"/>
      <c r="AJ216" s="115"/>
      <c r="AK216" s="114"/>
      <c r="AL216" s="110"/>
      <c r="AM216" s="110"/>
      <c r="AN216" s="115"/>
      <c r="AO216" s="110"/>
      <c r="AP216" s="110"/>
      <c r="AQ216" s="110"/>
      <c r="AR216" s="110"/>
      <c r="AS216" s="110"/>
      <c r="AT216" s="114"/>
      <c r="AU216" s="3"/>
      <c r="AV216" s="3"/>
      <c r="AW216" s="3"/>
      <c r="AX216" s="3"/>
      <c r="AY216" s="113"/>
      <c r="AZ216" s="13"/>
      <c r="BA216" s="13"/>
      <c r="BB216" s="13"/>
      <c r="BC216" s="13"/>
      <c r="BD216" s="84"/>
    </row>
    <row r="217" spans="1:56" ht="30.75" thickBot="1" x14ac:dyDescent="0.3">
      <c r="A217" s="233" t="s">
        <v>55</v>
      </c>
      <c r="B217" s="234"/>
      <c r="C217" s="235"/>
      <c r="D217" s="39" t="s">
        <v>54</v>
      </c>
      <c r="E217" s="38">
        <f>2*(0.1/3*(E192*$B192+4*E194*$B194+2*E196*$B196+4*E197*$B197+2*E198*$B198+4*E199*$B199+2*E200*$B200+4*E201*$B201+4*E202*$B202+4*E203*$B203+E204*$B204))</f>
        <v>0</v>
      </c>
      <c r="F217" s="38">
        <f t="shared" ref="F217:BD217" si="4">2*(0.1/3*(F192*$B192+4*F194*$B194+2*F196*$B196+4*F197*$B197+2*F198*$B198+4*F199*$B199+2*F200*$B200+4*F201*$B201+4*F202*$B202+4*F203*$B203+F204*$B204))</f>
        <v>0</v>
      </c>
      <c r="G217" s="38">
        <f t="shared" si="4"/>
        <v>0</v>
      </c>
      <c r="H217" s="38">
        <f t="shared" si="4"/>
        <v>0</v>
      </c>
      <c r="I217" s="38">
        <f t="shared" si="4"/>
        <v>0</v>
      </c>
      <c r="J217" s="38">
        <f t="shared" si="4"/>
        <v>0</v>
      </c>
      <c r="K217" s="38">
        <f t="shared" si="4"/>
        <v>0</v>
      </c>
      <c r="L217" s="38">
        <f t="shared" si="4"/>
        <v>0</v>
      </c>
      <c r="M217" s="38">
        <f t="shared" si="4"/>
        <v>0</v>
      </c>
      <c r="N217" s="38">
        <f t="shared" si="4"/>
        <v>0</v>
      </c>
      <c r="O217" s="38">
        <f t="shared" si="4"/>
        <v>0</v>
      </c>
      <c r="P217" s="38">
        <f t="shared" si="4"/>
        <v>0</v>
      </c>
      <c r="Q217" s="38">
        <f t="shared" si="4"/>
        <v>0</v>
      </c>
      <c r="R217" s="38">
        <f t="shared" si="4"/>
        <v>0</v>
      </c>
      <c r="S217" s="38">
        <f t="shared" si="4"/>
        <v>0</v>
      </c>
      <c r="T217" s="38">
        <f t="shared" si="4"/>
        <v>0</v>
      </c>
      <c r="U217" s="38">
        <f t="shared" si="4"/>
        <v>0</v>
      </c>
      <c r="V217" s="38">
        <f t="shared" si="4"/>
        <v>0</v>
      </c>
      <c r="W217" s="38">
        <f t="shared" si="4"/>
        <v>0</v>
      </c>
      <c r="X217" s="38">
        <f t="shared" si="4"/>
        <v>0</v>
      </c>
      <c r="Y217" s="38">
        <f t="shared" si="4"/>
        <v>0</v>
      </c>
      <c r="Z217" s="38">
        <f t="shared" si="4"/>
        <v>0</v>
      </c>
      <c r="AA217" s="38">
        <f t="shared" si="4"/>
        <v>0</v>
      </c>
      <c r="AB217" s="38">
        <f t="shared" si="4"/>
        <v>0</v>
      </c>
      <c r="AC217" s="38">
        <f t="shared" si="4"/>
        <v>2.346666666666667E-2</v>
      </c>
      <c r="AD217" s="38">
        <f t="shared" si="4"/>
        <v>0</v>
      </c>
      <c r="AE217" s="38">
        <f t="shared" si="4"/>
        <v>0</v>
      </c>
      <c r="AF217" s="38">
        <f t="shared" si="4"/>
        <v>0</v>
      </c>
      <c r="AG217" s="38">
        <f t="shared" si="4"/>
        <v>0</v>
      </c>
      <c r="AH217" s="38">
        <f t="shared" si="4"/>
        <v>0</v>
      </c>
      <c r="AI217" s="38">
        <f t="shared" si="4"/>
        <v>0</v>
      </c>
      <c r="AJ217" s="38">
        <f t="shared" si="4"/>
        <v>0</v>
      </c>
      <c r="AK217" s="38">
        <f t="shared" si="4"/>
        <v>0</v>
      </c>
      <c r="AL217" s="38">
        <f t="shared" si="4"/>
        <v>0</v>
      </c>
      <c r="AM217" s="38">
        <f t="shared" si="4"/>
        <v>0</v>
      </c>
      <c r="AN217" s="38">
        <f t="shared" si="4"/>
        <v>0</v>
      </c>
      <c r="AO217" s="38">
        <f t="shared" si="4"/>
        <v>0</v>
      </c>
      <c r="AP217" s="38">
        <f t="shared" si="4"/>
        <v>0</v>
      </c>
      <c r="AQ217" s="38">
        <f t="shared" si="4"/>
        <v>0</v>
      </c>
      <c r="AR217" s="38">
        <f t="shared" si="4"/>
        <v>0</v>
      </c>
      <c r="AS217" s="38">
        <f t="shared" si="4"/>
        <v>0</v>
      </c>
      <c r="AT217" s="38">
        <f t="shared" si="4"/>
        <v>0</v>
      </c>
      <c r="AU217" s="38">
        <f t="shared" si="4"/>
        <v>0</v>
      </c>
      <c r="AV217" s="38">
        <f t="shared" si="4"/>
        <v>0</v>
      </c>
      <c r="AW217" s="38">
        <f t="shared" si="4"/>
        <v>0</v>
      </c>
      <c r="AX217" s="38">
        <f t="shared" si="4"/>
        <v>0</v>
      </c>
      <c r="AY217" s="38">
        <f t="shared" si="4"/>
        <v>0</v>
      </c>
      <c r="AZ217" s="38">
        <f t="shared" si="4"/>
        <v>0</v>
      </c>
      <c r="BA217" s="38">
        <f t="shared" si="4"/>
        <v>0</v>
      </c>
      <c r="BB217" s="38">
        <f t="shared" si="4"/>
        <v>0</v>
      </c>
      <c r="BC217" s="38">
        <f t="shared" si="4"/>
        <v>0</v>
      </c>
      <c r="BD217" s="38">
        <f t="shared" si="4"/>
        <v>0</v>
      </c>
    </row>
  </sheetData>
  <mergeCells count="75">
    <mergeCell ref="AO6:AS6"/>
    <mergeCell ref="AT6:AV6"/>
    <mergeCell ref="A6:A7"/>
    <mergeCell ref="B6:B7"/>
    <mergeCell ref="C6:C7"/>
    <mergeCell ref="D6:D7"/>
    <mergeCell ref="E6:K6"/>
    <mergeCell ref="L6:P6"/>
    <mergeCell ref="AT51:AV51"/>
    <mergeCell ref="AW51:AX51"/>
    <mergeCell ref="AW6:AX6"/>
    <mergeCell ref="AY6:BD6"/>
    <mergeCell ref="A33:C33"/>
    <mergeCell ref="A51:A52"/>
    <mergeCell ref="B51:B52"/>
    <mergeCell ref="C51:C52"/>
    <mergeCell ref="D51:D52"/>
    <mergeCell ref="E51:K51"/>
    <mergeCell ref="L51:P51"/>
    <mergeCell ref="Q51:V51"/>
    <mergeCell ref="Q6:V6"/>
    <mergeCell ref="W6:AC6"/>
    <mergeCell ref="AD6:AJ6"/>
    <mergeCell ref="AK6:AN6"/>
    <mergeCell ref="AW98:AX98"/>
    <mergeCell ref="AY98:BD98"/>
    <mergeCell ref="AY51:BD51"/>
    <mergeCell ref="A78:C78"/>
    <mergeCell ref="A98:A99"/>
    <mergeCell ref="B98:B99"/>
    <mergeCell ref="C98:C99"/>
    <mergeCell ref="D98:D99"/>
    <mergeCell ref="E98:K98"/>
    <mergeCell ref="L98:P98"/>
    <mergeCell ref="Q98:V98"/>
    <mergeCell ref="W98:AC98"/>
    <mergeCell ref="W51:AC51"/>
    <mergeCell ref="AD51:AJ51"/>
    <mergeCell ref="AK51:AN51"/>
    <mergeCell ref="AO51:AS51"/>
    <mergeCell ref="E143:K143"/>
    <mergeCell ref="AD98:AJ98"/>
    <mergeCell ref="AK98:AN98"/>
    <mergeCell ref="AO98:AS98"/>
    <mergeCell ref="AT98:AV98"/>
    <mergeCell ref="AT143:AV143"/>
    <mergeCell ref="A125:C125"/>
    <mergeCell ref="A143:A144"/>
    <mergeCell ref="B143:B144"/>
    <mergeCell ref="C143:C144"/>
    <mergeCell ref="D143:D144"/>
    <mergeCell ref="AW143:AX143"/>
    <mergeCell ref="AY143:BD143"/>
    <mergeCell ref="A170:C170"/>
    <mergeCell ref="A190:A191"/>
    <mergeCell ref="B190:B191"/>
    <mergeCell ref="C190:C191"/>
    <mergeCell ref="D190:D191"/>
    <mergeCell ref="E190:K190"/>
    <mergeCell ref="L190:P190"/>
    <mergeCell ref="L143:P143"/>
    <mergeCell ref="Q143:V143"/>
    <mergeCell ref="W143:AC143"/>
    <mergeCell ref="AD143:AJ143"/>
    <mergeCell ref="AK143:AN143"/>
    <mergeCell ref="AO143:AS143"/>
    <mergeCell ref="AW190:AX190"/>
    <mergeCell ref="AY190:BD190"/>
    <mergeCell ref="A217:C217"/>
    <mergeCell ref="Q190:V190"/>
    <mergeCell ref="W190:AC190"/>
    <mergeCell ref="AD190:AJ190"/>
    <mergeCell ref="AK190:AN190"/>
    <mergeCell ref="AO190:AS190"/>
    <mergeCell ref="AT190:AV190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1</vt:lpstr>
      <vt:lpstr>2</vt:lpstr>
      <vt:lpstr>3</vt:lpstr>
      <vt:lpstr>4</vt:lpstr>
      <vt:lpstr>5</vt:lpstr>
      <vt:lpstr>6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SKim</dc:creator>
  <cp:lastModifiedBy>SKim</cp:lastModifiedBy>
  <cp:lastPrinted>2016-12-16T21:36:22Z</cp:lastPrinted>
  <dcterms:created xsi:type="dcterms:W3CDTF">2012-11-16T20:36:03Z</dcterms:created>
  <dcterms:modified xsi:type="dcterms:W3CDTF">2024-08-14T17:51:04Z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044bd30-2ed7-4c9d-9d12-46200872a97b_Enabled">
    <vt:lpwstr>true</vt:lpwstr>
  </property>
  <property fmtid="{D5CDD505-2E9C-101B-9397-08002B2CF9AE}" pid="3" name="MSIP_Label_4044bd30-2ed7-4c9d-9d12-46200872a97b_SetDate">
    <vt:lpwstr>2024-08-13T23:05:23Z</vt:lpwstr>
  </property>
  <property fmtid="{D5CDD505-2E9C-101B-9397-08002B2CF9AE}" pid="4" name="MSIP_Label_4044bd30-2ed7-4c9d-9d12-46200872a97b_Method">
    <vt:lpwstr>Standard</vt:lpwstr>
  </property>
  <property fmtid="{D5CDD505-2E9C-101B-9397-08002B2CF9AE}" pid="5" name="MSIP_Label_4044bd30-2ed7-4c9d-9d12-46200872a97b_Name">
    <vt:lpwstr>defa4170-0d19-0005-0004-bc88714345d2</vt:lpwstr>
  </property>
  <property fmtid="{D5CDD505-2E9C-101B-9397-08002B2CF9AE}" pid="6" name="MSIP_Label_4044bd30-2ed7-4c9d-9d12-46200872a97b_SiteId">
    <vt:lpwstr>4130bd39-7c53-419c-b1e5-8758d6d63f21</vt:lpwstr>
  </property>
  <property fmtid="{D5CDD505-2E9C-101B-9397-08002B2CF9AE}" pid="7" name="MSIP_Label_4044bd30-2ed7-4c9d-9d12-46200872a97b_ActionId">
    <vt:lpwstr>e094feea-fab1-4a8b-b14f-00004767a180</vt:lpwstr>
  </property>
  <property fmtid="{D5CDD505-2E9C-101B-9397-08002B2CF9AE}" pid="8" name="MSIP_Label_4044bd30-2ed7-4c9d-9d12-46200872a97b_ContentBits">
    <vt:lpwstr>0</vt:lpwstr>
  </property>
</Properties>
</file>